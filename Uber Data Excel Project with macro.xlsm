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5.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https://d.docs.live.net/1d7d0288d1932053/Desktop/Welingkar/Trim 1/Excel with macros/Excel Project/"/>
    </mc:Choice>
  </mc:AlternateContent>
  <xr:revisionPtr revIDLastSave="2" documentId="13_ncr:1_{E69C0E18-FA3A-45ED-B60E-D5B5A686C9CA}" xr6:coauthVersionLast="47" xr6:coauthVersionMax="47" xr10:uidLastSave="{8BA994FF-6DD7-4D31-A779-3097C0EA5265}"/>
  <bookViews>
    <workbookView xWindow="-110" yWindow="-110" windowWidth="19420" windowHeight="10300" firstSheet="2" activeTab="5" xr2:uid="{D3960645-3488-4375-92F9-C5953FE1C89C}"/>
  </bookViews>
  <sheets>
    <sheet name="Uber Data Excel Project" sheetId="1" r:id="rId1"/>
    <sheet name="Dashboard Using Function" sheetId="2" r:id="rId2"/>
    <sheet name="Rough Work" sheetId="6" r:id="rId3"/>
    <sheet name="Dashboard Using Pivot" sheetId="3" r:id="rId4"/>
    <sheet name="Data Link" sheetId="5" r:id="rId5"/>
    <sheet name="Macro Dashboard" sheetId="8" r:id="rId6"/>
  </sheets>
  <functionGroups builtInGroupCount="19"/>
  <definedNames>
    <definedName name="_xlcn.WorksheetConnection_UberDataExcelProjectwithmacro.xlsmTable11" hidden="1">Table1[]</definedName>
    <definedName name="Slicer_Driver_Ratings">#N/A</definedName>
    <definedName name="Slicer_Month">#N/A</definedName>
    <definedName name="Slicer_Month1">#N/A</definedName>
    <definedName name="Slicer_Vehicle_Type">#N/A</definedName>
  </definedNames>
  <calcPr calcId="191029"/>
  <pivotCaches>
    <pivotCache cacheId="47" r:id="rId7"/>
    <pivotCache cacheId="46" r:id="rId8"/>
    <pivotCache cacheId="70"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Uber Data Excel Project with macro.xlsm!Table1"/>
        </x15:modelTables>
      </x15:dataModel>
    </ext>
  </extLst>
</workbook>
</file>

<file path=xl/calcChain.xml><?xml version="1.0" encoding="utf-8"?>
<calcChain xmlns="http://schemas.openxmlformats.org/spreadsheetml/2006/main">
  <c r="C11" i="2" l="1"/>
  <c r="B8" i="2"/>
  <c r="E6" i="6"/>
  <c r="E7" i="6"/>
  <c r="E8" i="6"/>
  <c r="E9" i="6"/>
  <c r="E5" i="6"/>
  <c r="E4" i="6"/>
  <c r="F5" i="2"/>
  <c r="E5" i="2"/>
  <c r="D5" i="2"/>
  <c r="C5" i="2"/>
  <c r="B5"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288F0F5-05A2-43AA-AFFA-E11734AA757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ABD6E61E-254C-444F-8706-43F8E1D56C73}" name="WorksheetConnection_Uber Data Excel Project with macro.xlsm!Table1" type="102" refreshedVersion="8" minRefreshableVersion="5">
    <extLst>
      <ext xmlns:x15="http://schemas.microsoft.com/office/spreadsheetml/2010/11/main" uri="{DE250136-89BD-433C-8126-D09CA5730AF9}">
        <x15:connection id="Table1" autoDelete="1">
          <x15:rangePr sourceName="_xlcn.WorksheetConnection_UberDataExcelProjectwithmacro.xlsmTable11"/>
        </x15:connection>
      </ext>
    </extLst>
  </connection>
</connections>
</file>

<file path=xl/sharedStrings.xml><?xml version="1.0" encoding="utf-8"?>
<sst xmlns="http://schemas.openxmlformats.org/spreadsheetml/2006/main" count="24799" uniqueCount="3258">
  <si>
    <t>Date</t>
  </si>
  <si>
    <t>Month</t>
  </si>
  <si>
    <t>Time</t>
  </si>
  <si>
    <t>Booking ID</t>
  </si>
  <si>
    <t>Booking Status</t>
  </si>
  <si>
    <t>Customer ID</t>
  </si>
  <si>
    <t>Vehicle Type</t>
  </si>
  <si>
    <t>Pickup Location</t>
  </si>
  <si>
    <t>Drop Location</t>
  </si>
  <si>
    <t>Avg VTAT</t>
  </si>
  <si>
    <t>Avg CTAT</t>
  </si>
  <si>
    <t>Cancelled Rides by Customer</t>
  </si>
  <si>
    <t>Reason for cancelling by Customer</t>
  </si>
  <si>
    <t>Cancelled Rides by Driver</t>
  </si>
  <si>
    <t>Driver Cancellation Reason</t>
  </si>
  <si>
    <t>Incomplete Rides</t>
  </si>
  <si>
    <t>Incomplete Rides Reason</t>
  </si>
  <si>
    <t>Booking Value</t>
  </si>
  <si>
    <t>Ride Distance</t>
  </si>
  <si>
    <t>Driver Ratings</t>
  </si>
  <si>
    <t>Customer Rating</t>
  </si>
  <si>
    <t>Payment Method</t>
  </si>
  <si>
    <t>March</t>
  </si>
  <si>
    <t>"CNR5884300"</t>
  </si>
  <si>
    <t>No Driver Found</t>
  </si>
  <si>
    <t>"CID1982111"</t>
  </si>
  <si>
    <t>eBike</t>
  </si>
  <si>
    <t>Palam Vihar</t>
  </si>
  <si>
    <t>Jhilmil</t>
  </si>
  <si>
    <t>null</t>
  </si>
  <si>
    <t>November</t>
  </si>
  <si>
    <t>"CNR1326809"</t>
  </si>
  <si>
    <t>Incomplete</t>
  </si>
  <si>
    <t>"CID4604802"</t>
  </si>
  <si>
    <t>Go Sedan</t>
  </si>
  <si>
    <t>Shastri Nagar</t>
  </si>
  <si>
    <t>Gurgaon Sector 56</t>
  </si>
  <si>
    <t>Vehicle Breakdown</t>
  </si>
  <si>
    <t>UPI</t>
  </si>
  <si>
    <t>August</t>
  </si>
  <si>
    <t>"CNR8494506"</t>
  </si>
  <si>
    <t>Completed</t>
  </si>
  <si>
    <t>"CID9202816"</t>
  </si>
  <si>
    <t>Auto</t>
  </si>
  <si>
    <t>Khandsa</t>
  </si>
  <si>
    <t>Malviya Nagar</t>
  </si>
  <si>
    <t>Debit Card</t>
  </si>
  <si>
    <t>October</t>
  </si>
  <si>
    <t>"CNR8906825"</t>
  </si>
  <si>
    <t>"CID2610914"</t>
  </si>
  <si>
    <t>Premier Sedan</t>
  </si>
  <si>
    <t>Central Secretariat</t>
  </si>
  <si>
    <t>Inderlok</t>
  </si>
  <si>
    <t>September</t>
  </si>
  <si>
    <t>"CNR1950162"</t>
  </si>
  <si>
    <t>"CID9933542"</t>
  </si>
  <si>
    <t>Bike</t>
  </si>
  <si>
    <t>Ghitorni Village</t>
  </si>
  <si>
    <t>Khan Market</t>
  </si>
  <si>
    <t>February</t>
  </si>
  <si>
    <t>"CNR4096693"</t>
  </si>
  <si>
    <t>"CID4670564"</t>
  </si>
  <si>
    <t>AIIMS</t>
  </si>
  <si>
    <t>Narsinghpur</t>
  </si>
  <si>
    <t>June</t>
  </si>
  <si>
    <t>"CNR2002539"</t>
  </si>
  <si>
    <t>"CID6800553"</t>
  </si>
  <si>
    <t>Go Mini</t>
  </si>
  <si>
    <t>Vaishali</t>
  </si>
  <si>
    <t>Punjabi Bagh</t>
  </si>
  <si>
    <t>"CNR6568000"</t>
  </si>
  <si>
    <t>"CID8610436"</t>
  </si>
  <si>
    <t>Mayur Vihar</t>
  </si>
  <si>
    <t>Cyber Hub</t>
  </si>
  <si>
    <t>"CNR4510807"</t>
  </si>
  <si>
    <t>"CID7873618"</t>
  </si>
  <si>
    <t>Noida Sector 62</t>
  </si>
  <si>
    <t>Noida Sector 18</t>
  </si>
  <si>
    <t>December</t>
  </si>
  <si>
    <t>"CNR7721892"</t>
  </si>
  <si>
    <t>"CID5214275"</t>
  </si>
  <si>
    <t>Rohini</t>
  </si>
  <si>
    <t>Adarsh Nagar</t>
  </si>
  <si>
    <t>Other Issue</t>
  </si>
  <si>
    <t>Cash</t>
  </si>
  <si>
    <t>"CNR9070334"</t>
  </si>
  <si>
    <t>"CID6680340"</t>
  </si>
  <si>
    <t>Udyog Bhawan</t>
  </si>
  <si>
    <t>Dwarka Sector 21</t>
  </si>
  <si>
    <t>"CNR9551927"</t>
  </si>
  <si>
    <t>"CID7568143"</t>
  </si>
  <si>
    <t>Vidhan Sabha</t>
  </si>
  <si>
    <t>"CNR4386945"</t>
  </si>
  <si>
    <t>Cancelled by Driver</t>
  </si>
  <si>
    <t>"CID5543520"</t>
  </si>
  <si>
    <t>Patel Chowk</t>
  </si>
  <si>
    <t>Kherki Daula Toll</t>
  </si>
  <si>
    <t>Personal &amp; Car related issues</t>
  </si>
  <si>
    <t>"CNR2987763"</t>
  </si>
  <si>
    <t>"CID2669710"</t>
  </si>
  <si>
    <t>"CNR8962232"</t>
  </si>
  <si>
    <t>"CID1789354"</t>
  </si>
  <si>
    <t>Madipur</t>
  </si>
  <si>
    <t>GTB Nagar</t>
  </si>
  <si>
    <t>"CNR2390352"</t>
  </si>
  <si>
    <t>"CID5432215"</t>
  </si>
  <si>
    <t>Jama Masjid</t>
  </si>
  <si>
    <t>Uber Wallet</t>
  </si>
  <si>
    <t>July</t>
  </si>
  <si>
    <t>"CNR3221338"</t>
  </si>
  <si>
    <t>"CID2581698"</t>
  </si>
  <si>
    <t>IGI Airport</t>
  </si>
  <si>
    <t>"CNR6739317"</t>
  </si>
  <si>
    <t>"CID8682675"</t>
  </si>
  <si>
    <t>Vinobapuri</t>
  </si>
  <si>
    <t>Customer related issue</t>
  </si>
  <si>
    <t>"CNR6126048"</t>
  </si>
  <si>
    <t>Cancelled by Customer</t>
  </si>
  <si>
    <t>"CID1060329"</t>
  </si>
  <si>
    <t>Kashmere Gate</t>
  </si>
  <si>
    <t>Anand Vihar</t>
  </si>
  <si>
    <t>Driver is not moving towards pickup location</t>
  </si>
  <si>
    <t>May</t>
  </si>
  <si>
    <t>"CNR9465840"</t>
  </si>
  <si>
    <t>"CID9046501"</t>
  </si>
  <si>
    <t>Pitampura</t>
  </si>
  <si>
    <t>Rajiv Nagar</t>
  </si>
  <si>
    <t>"CNR9843229"</t>
  </si>
  <si>
    <t>"CID4929303"</t>
  </si>
  <si>
    <t>Mansarovar Park</t>
  </si>
  <si>
    <t>"CNR7911434"</t>
  </si>
  <si>
    <t>"CID8465004"</t>
  </si>
  <si>
    <t>Greater Noida</t>
  </si>
  <si>
    <t>Botanical Garden</t>
  </si>
  <si>
    <t>"CNR6178330"</t>
  </si>
  <si>
    <t>"CID7719678"</t>
  </si>
  <si>
    <t>Tis Hazari</t>
  </si>
  <si>
    <t>IMT Manesar</t>
  </si>
  <si>
    <t>"CNR5309981"</t>
  </si>
  <si>
    <t>"CID3870048"</t>
  </si>
  <si>
    <t>Old Gurgaon</t>
  </si>
  <si>
    <t>"CNR2978950"</t>
  </si>
  <si>
    <t>"CID2977484"</t>
  </si>
  <si>
    <t>Kanhaiya Nagar</t>
  </si>
  <si>
    <t>"CNR2806943"</t>
  </si>
  <si>
    <t>"CID7550481"</t>
  </si>
  <si>
    <t>Uber XL</t>
  </si>
  <si>
    <t>Okhla</t>
  </si>
  <si>
    <t>Barakhamba Road</t>
  </si>
  <si>
    <t>Credit Card</t>
  </si>
  <si>
    <t>January</t>
  </si>
  <si>
    <t>"CNR3614535"</t>
  </si>
  <si>
    <t>"CID2507102"</t>
  </si>
  <si>
    <t>Saket</t>
  </si>
  <si>
    <t>April</t>
  </si>
  <si>
    <t>"CNR4499383"</t>
  </si>
  <si>
    <t>"CID5717521"</t>
  </si>
  <si>
    <t>Sadar Bazar Gurgaon</t>
  </si>
  <si>
    <t>Mehrauli</t>
  </si>
  <si>
    <t>"CNR9834201"</t>
  </si>
  <si>
    <t>"CID7891331"</t>
  </si>
  <si>
    <t>Shastri Park</t>
  </si>
  <si>
    <t>"CNR8779845"</t>
  </si>
  <si>
    <t>"CID7444351"</t>
  </si>
  <si>
    <t>Faridabad Sector 15</t>
  </si>
  <si>
    <t>"CNR2178654"</t>
  </si>
  <si>
    <t>"CID3631860"</t>
  </si>
  <si>
    <t>Qutub Minar</t>
  </si>
  <si>
    <t>Vishwavidyalaya</t>
  </si>
  <si>
    <t>More than permitted people in there</t>
  </si>
  <si>
    <t>"CNR3871541"</t>
  </si>
  <si>
    <t>"CID9849259"</t>
  </si>
  <si>
    <t>Mundka</t>
  </si>
  <si>
    <t>Preet Vihar</t>
  </si>
  <si>
    <t>"CNR2877692"</t>
  </si>
  <si>
    <t>"CID5901711"</t>
  </si>
  <si>
    <t>DLF City Court</t>
  </si>
  <si>
    <t>Nehru Place</t>
  </si>
  <si>
    <t>"CNR9603633"</t>
  </si>
  <si>
    <t>"CID5856503"</t>
  </si>
  <si>
    <t>Shahdara</t>
  </si>
  <si>
    <t>"CNR8087051"</t>
  </si>
  <si>
    <t>"CID9716528"</t>
  </si>
  <si>
    <t>New Colony</t>
  </si>
  <si>
    <t>"CNR7823292"</t>
  </si>
  <si>
    <t>"CID9377721"</t>
  </si>
  <si>
    <t>Nirman Vihar</t>
  </si>
  <si>
    <t>"CNR9918895"</t>
  </si>
  <si>
    <t>"CID9520433"</t>
  </si>
  <si>
    <t>New Delhi Railway Station</t>
  </si>
  <si>
    <t>Noida Film City</t>
  </si>
  <si>
    <t>"CNR7401001"</t>
  </si>
  <si>
    <t>"CID9958715"</t>
  </si>
  <si>
    <t>Civil Lines Gurgaon</t>
  </si>
  <si>
    <t>Mandi House</t>
  </si>
  <si>
    <t>"CNR2631310"</t>
  </si>
  <si>
    <t>"CID4355670"</t>
  </si>
  <si>
    <t>Seelampur</t>
  </si>
  <si>
    <t>Janakpuri</t>
  </si>
  <si>
    <t>"CNR4218487"</t>
  </si>
  <si>
    <t>"CID3037053"</t>
  </si>
  <si>
    <t>Noida Extension</t>
  </si>
  <si>
    <t>Udyog Vihar Phase 4</t>
  </si>
  <si>
    <t>"CNR5333099"</t>
  </si>
  <si>
    <t>"CID5112050"</t>
  </si>
  <si>
    <t>"CNR5969954"</t>
  </si>
  <si>
    <t>"CID5558118"</t>
  </si>
  <si>
    <t>Karkarduma</t>
  </si>
  <si>
    <t>"CNR4130953"</t>
  </si>
  <si>
    <t>"CID3196782"</t>
  </si>
  <si>
    <t>Panipat</t>
  </si>
  <si>
    <t>Tagore Garden</t>
  </si>
  <si>
    <t>"CNR6693125"</t>
  </si>
  <si>
    <t>"CID7364449"</t>
  </si>
  <si>
    <t>Karol Bagh</t>
  </si>
  <si>
    <t>"CNR9572979"</t>
  </si>
  <si>
    <t>"CID3474992"</t>
  </si>
  <si>
    <t>Sultanpur</t>
  </si>
  <si>
    <t>"CNR6444364"</t>
  </si>
  <si>
    <t>"CID8262635"</t>
  </si>
  <si>
    <t>Moti Nagar</t>
  </si>
  <si>
    <t>Anand Vihar ISBT</t>
  </si>
  <si>
    <t>"CNR4862806"</t>
  </si>
  <si>
    <t>"CID7875150"</t>
  </si>
  <si>
    <t>Driver asked to cancel</t>
  </si>
  <si>
    <t>"CNR4674790"</t>
  </si>
  <si>
    <t>"CID4795905"</t>
  </si>
  <si>
    <t>Dilshad Garden</t>
  </si>
  <si>
    <t>"CNR6866217"</t>
  </si>
  <si>
    <t>"CID7798304"</t>
  </si>
  <si>
    <t>"CNR4932611"</t>
  </si>
  <si>
    <t>"CID8795963"</t>
  </si>
  <si>
    <t>Aya Nagar</t>
  </si>
  <si>
    <t>"CNR1572483"</t>
  </si>
  <si>
    <t>"CID6059557"</t>
  </si>
  <si>
    <t>Rajiv Chowk</t>
  </si>
  <si>
    <t>"CNR6945858"</t>
  </si>
  <si>
    <t>"CID9079088"</t>
  </si>
  <si>
    <t>MG Road</t>
  </si>
  <si>
    <t>Hauz Rani</t>
  </si>
  <si>
    <t>"CNR6584679"</t>
  </si>
  <si>
    <t>"CID4738537"</t>
  </si>
  <si>
    <t>Jasola</t>
  </si>
  <si>
    <t>"CNR6125653"</t>
  </si>
  <si>
    <t>"CID2808212"</t>
  </si>
  <si>
    <t>RK Puram</t>
  </si>
  <si>
    <t>"CNR6092529"</t>
  </si>
  <si>
    <t>"CID5040634"</t>
  </si>
  <si>
    <t>Ardee City</t>
  </si>
  <si>
    <t>Basai Dhankot</t>
  </si>
  <si>
    <t>"CNR6339107"</t>
  </si>
  <si>
    <t>"CID7358763"</t>
  </si>
  <si>
    <t>"CNR1349015"</t>
  </si>
  <si>
    <t>"CID9386278"</t>
  </si>
  <si>
    <t>Meerut</t>
  </si>
  <si>
    <t>Badarpur</t>
  </si>
  <si>
    <t>"CNR9773309"</t>
  </si>
  <si>
    <t>"CID9965847"</t>
  </si>
  <si>
    <t>"CNR2107544"</t>
  </si>
  <si>
    <t>"CID1266188"</t>
  </si>
  <si>
    <t>"CNR4171959"</t>
  </si>
  <si>
    <t>"CID8470723"</t>
  </si>
  <si>
    <t>Lajpat Nagar</t>
  </si>
  <si>
    <t>Ramesh Nagar</t>
  </si>
  <si>
    <t>"CNR5316307"</t>
  </si>
  <si>
    <t>"CID1816553"</t>
  </si>
  <si>
    <t>Tughlakabad</t>
  </si>
  <si>
    <t>Akshardham</t>
  </si>
  <si>
    <t>"CNR3635865"</t>
  </si>
  <si>
    <t>"CID6477355"</t>
  </si>
  <si>
    <t>Yamuna Bank</t>
  </si>
  <si>
    <t>"CNR2497989"</t>
  </si>
  <si>
    <t>"CID5007066"</t>
  </si>
  <si>
    <t>"CNR8946337"</t>
  </si>
  <si>
    <t>"CID6438326"</t>
  </si>
  <si>
    <t>"CNR3740694"</t>
  </si>
  <si>
    <t>"CID5885514"</t>
  </si>
  <si>
    <t>Green Park</t>
  </si>
  <si>
    <t>"CNR4660896"</t>
  </si>
  <si>
    <t>"CID5486947"</t>
  </si>
  <si>
    <t>Dwarka Mor</t>
  </si>
  <si>
    <t>ITO</t>
  </si>
  <si>
    <t>"CNR2513330"</t>
  </si>
  <si>
    <t>"CID7805280"</t>
  </si>
  <si>
    <t>"CNR9252424"</t>
  </si>
  <si>
    <t>"CID9413620"</t>
  </si>
  <si>
    <t>"CNR3096031"</t>
  </si>
  <si>
    <t>"CID3101926"</t>
  </si>
  <si>
    <t>"CNR4141159"</t>
  </si>
  <si>
    <t>"CID6810411"</t>
  </si>
  <si>
    <t>Uttam Nagar</t>
  </si>
  <si>
    <t>"CNR6757829"</t>
  </si>
  <si>
    <t>"CID8433663"</t>
  </si>
  <si>
    <t>Model Town</t>
  </si>
  <si>
    <t>"CNR6204326"</t>
  </si>
  <si>
    <t>"CID9419495"</t>
  </si>
  <si>
    <t>India Gate</t>
  </si>
  <si>
    <t>"CNR3347993"</t>
  </si>
  <si>
    <t>"CID4871438"</t>
  </si>
  <si>
    <t>Ghitorni</t>
  </si>
  <si>
    <t>"CNR6796311"</t>
  </si>
  <si>
    <t>"CID1880505"</t>
  </si>
  <si>
    <t>Customer Demand</t>
  </si>
  <si>
    <t>"CNR3908312"</t>
  </si>
  <si>
    <t>"CID8787746"</t>
  </si>
  <si>
    <t>Netaji Subhash Place</t>
  </si>
  <si>
    <t>"CNR9416323"</t>
  </si>
  <si>
    <t>"CID1025742"</t>
  </si>
  <si>
    <t>"CNR2912296"</t>
  </si>
  <si>
    <t>"CID8094609"</t>
  </si>
  <si>
    <t>"CNR4611314"</t>
  </si>
  <si>
    <t>"CID6968311"</t>
  </si>
  <si>
    <t>Sohna Road</t>
  </si>
  <si>
    <t>"CNR2601752"</t>
  </si>
  <si>
    <t>"CID9283370"</t>
  </si>
  <si>
    <t>Indraprastha</t>
  </si>
  <si>
    <t>"CNR5793527"</t>
  </si>
  <si>
    <t>"CID5705499"</t>
  </si>
  <si>
    <t>"CNR4487090"</t>
  </si>
  <si>
    <t>"CID1210782"</t>
  </si>
  <si>
    <t>Chirag Delhi</t>
  </si>
  <si>
    <t>"CNR5266935"</t>
  </si>
  <si>
    <t>"CID2831708"</t>
  </si>
  <si>
    <t>Bahadurgarh</t>
  </si>
  <si>
    <t>Pataudi Chowk</t>
  </si>
  <si>
    <t>"CNR1487489"</t>
  </si>
  <si>
    <t>"CID3403699"</t>
  </si>
  <si>
    <t>Moolchand</t>
  </si>
  <si>
    <t>"CNR6351034"</t>
  </si>
  <si>
    <t>"CID2038230"</t>
  </si>
  <si>
    <t>"CNR7600870"</t>
  </si>
  <si>
    <t>"CID7289498"</t>
  </si>
  <si>
    <t>INA Market</t>
  </si>
  <si>
    <t>IFFCO Chowk</t>
  </si>
  <si>
    <t>"CNR5444321"</t>
  </si>
  <si>
    <t>"CID3326946"</t>
  </si>
  <si>
    <t>Sushant Lok</t>
  </si>
  <si>
    <t>The customer was coughing/sick</t>
  </si>
  <si>
    <t>"CNR8509610"</t>
  </si>
  <si>
    <t>"CID8227993"</t>
  </si>
  <si>
    <t>IIT Delhi</t>
  </si>
  <si>
    <t>"CNR6851549"</t>
  </si>
  <si>
    <t>"CID9560489"</t>
  </si>
  <si>
    <t>Satguru Ram Singh Marg</t>
  </si>
  <si>
    <t>"CNR3318044"</t>
  </si>
  <si>
    <t>"CID4051792"</t>
  </si>
  <si>
    <t>Gwal Pahari</t>
  </si>
  <si>
    <t>"CNR3126177"</t>
  </si>
  <si>
    <t>"CID1851430"</t>
  </si>
  <si>
    <t>Munirka</t>
  </si>
  <si>
    <t>Saidulajab</t>
  </si>
  <si>
    <t>"CNR6453539"</t>
  </si>
  <si>
    <t>"CID6999817"</t>
  </si>
  <si>
    <t>"CNR7449144"</t>
  </si>
  <si>
    <t>"CID8609350"</t>
  </si>
  <si>
    <t>IGNOU Road</t>
  </si>
  <si>
    <t>"CNR1970319"</t>
  </si>
  <si>
    <t>"CID6085619"</t>
  </si>
  <si>
    <t>"CNR4415815"</t>
  </si>
  <si>
    <t>"CID8351180"</t>
  </si>
  <si>
    <t>Saket A Block</t>
  </si>
  <si>
    <t>"CNR3899082"</t>
  </si>
  <si>
    <t>"CID5467225"</t>
  </si>
  <si>
    <t>"CNR3274519"</t>
  </si>
  <si>
    <t>"CID3829804"</t>
  </si>
  <si>
    <t>Chhatarpur</t>
  </si>
  <si>
    <t>Gurgaon Sector 29</t>
  </si>
  <si>
    <t>"CNR3263958"</t>
  </si>
  <si>
    <t>"CID3231090"</t>
  </si>
  <si>
    <t>Ashram</t>
  </si>
  <si>
    <t>"CNR5822542"</t>
  </si>
  <si>
    <t>"CID1628370"</t>
  </si>
  <si>
    <t>"CNR9652983"</t>
  </si>
  <si>
    <t>"CID4773175"</t>
  </si>
  <si>
    <t>Azadpur</t>
  </si>
  <si>
    <t>"CNR2598306"</t>
  </si>
  <si>
    <t>"CID5704025"</t>
  </si>
  <si>
    <t>Badshahpur</t>
  </si>
  <si>
    <t>AC is not working</t>
  </si>
  <si>
    <t>"CNR3274827"</t>
  </si>
  <si>
    <t>"CID3134967"</t>
  </si>
  <si>
    <t>"CNR9139265"</t>
  </si>
  <si>
    <t>"CID4003339"</t>
  </si>
  <si>
    <t>DLF Phase 3</t>
  </si>
  <si>
    <t>"CNR8036415"</t>
  </si>
  <si>
    <t>"CID9244184"</t>
  </si>
  <si>
    <t>Sikanderpur</t>
  </si>
  <si>
    <t>"CNR8433849"</t>
  </si>
  <si>
    <t>"CID7659765"</t>
  </si>
  <si>
    <t>"CNR2948784"</t>
  </si>
  <si>
    <t>"CID7747807"</t>
  </si>
  <si>
    <t>Rohini West</t>
  </si>
  <si>
    <t>"CNR1996806"</t>
  </si>
  <si>
    <t>"CID2293483"</t>
  </si>
  <si>
    <t>"CNR6241612"</t>
  </si>
  <si>
    <t>"CID5715130"</t>
  </si>
  <si>
    <t>"CNR5222120"</t>
  </si>
  <si>
    <t>"CID2370613"</t>
  </si>
  <si>
    <t>Chandni Chowk</t>
  </si>
  <si>
    <t>"CNR6596872"</t>
  </si>
  <si>
    <t>"CID2589193"</t>
  </si>
  <si>
    <t>"CNR7149058"</t>
  </si>
  <si>
    <t>"CID7341591"</t>
  </si>
  <si>
    <t>"CNR5726463"</t>
  </si>
  <si>
    <t>"CID3407189"</t>
  </si>
  <si>
    <t>"CNR3975551"</t>
  </si>
  <si>
    <t>"CID2944423"</t>
  </si>
  <si>
    <t>Kashmere Gate ISBT</t>
  </si>
  <si>
    <t>"CNR8637930"</t>
  </si>
  <si>
    <t>"CID8137475"</t>
  </si>
  <si>
    <t>"CNR9935095"</t>
  </si>
  <si>
    <t>"CID7359331"</t>
  </si>
  <si>
    <t>Nawada</t>
  </si>
  <si>
    <t>"CNR8893726"</t>
  </si>
  <si>
    <t>"CID8335294"</t>
  </si>
  <si>
    <t>"CNR3975051"</t>
  </si>
  <si>
    <t>"CID5797043"</t>
  </si>
  <si>
    <t>Kaushambi</t>
  </si>
  <si>
    <t>"CNR1984811"</t>
  </si>
  <si>
    <t>"CID6701334"</t>
  </si>
  <si>
    <t>Change of plans</t>
  </si>
  <si>
    <t>"CNR7036055"</t>
  </si>
  <si>
    <t>"CID7359512"</t>
  </si>
  <si>
    <t>"CNR3449107"</t>
  </si>
  <si>
    <t>"CID8684841"</t>
  </si>
  <si>
    <t>Sarai Kale Khan</t>
  </si>
  <si>
    <t>"CNR6919653"</t>
  </si>
  <si>
    <t>"CID5736754"</t>
  </si>
  <si>
    <t>"CNR8504461"</t>
  </si>
  <si>
    <t>"CID3984123"</t>
  </si>
  <si>
    <t>Chanakyapuri</t>
  </si>
  <si>
    <t>"CNR3712671"</t>
  </si>
  <si>
    <t>"CID5160108"</t>
  </si>
  <si>
    <t>"CNR8819329"</t>
  </si>
  <si>
    <t>"CID6695773"</t>
  </si>
  <si>
    <t>Tilak Nagar</t>
  </si>
  <si>
    <t>"CNR3734278"</t>
  </si>
  <si>
    <t>"CID6462328"</t>
  </si>
  <si>
    <t>Laxmi Nagar</t>
  </si>
  <si>
    <t>"CNR2472864"</t>
  </si>
  <si>
    <t>"CID7156852"</t>
  </si>
  <si>
    <t>Maidan Garhi</t>
  </si>
  <si>
    <t>Panchsheel Park</t>
  </si>
  <si>
    <t>"CNR3239651"</t>
  </si>
  <si>
    <t>"CID9573465"</t>
  </si>
  <si>
    <t>"CNR2646387"</t>
  </si>
  <si>
    <t>"CID8652330"</t>
  </si>
  <si>
    <t>"CNR4724814"</t>
  </si>
  <si>
    <t>"CID1251463"</t>
  </si>
  <si>
    <t>Pragati Maidan</t>
  </si>
  <si>
    <t>"CNR2200152"</t>
  </si>
  <si>
    <t>"CID6635464"</t>
  </si>
  <si>
    <t>"CNR5060137"</t>
  </si>
  <si>
    <t>"CID2961093"</t>
  </si>
  <si>
    <t>Rithala</t>
  </si>
  <si>
    <t>"CNR9291876"</t>
  </si>
  <si>
    <t>"CID9026677"</t>
  </si>
  <si>
    <t>"CNR4212658"</t>
  </si>
  <si>
    <t>"CID5774800"</t>
  </si>
  <si>
    <t>"CNR7677229"</t>
  </si>
  <si>
    <t>"CID8986725"</t>
  </si>
  <si>
    <t>"CNR4415643"</t>
  </si>
  <si>
    <t>"CID4718297"</t>
  </si>
  <si>
    <t>Hauz Khas</t>
  </si>
  <si>
    <t>"CNR4092218"</t>
  </si>
  <si>
    <t>"CID5726360"</t>
  </si>
  <si>
    <t>"CNR8034979"</t>
  </si>
  <si>
    <t>"CID1915443"</t>
  </si>
  <si>
    <t>"CNR7228014"</t>
  </si>
  <si>
    <t>"CID3515824"</t>
  </si>
  <si>
    <t>"CNR1435581"</t>
  </si>
  <si>
    <t>"CID1856576"</t>
  </si>
  <si>
    <t>"CNR5373942"</t>
  </si>
  <si>
    <t>"CID7792143"</t>
  </si>
  <si>
    <t>Jahangirpuri</t>
  </si>
  <si>
    <t>"CNR3434703"</t>
  </si>
  <si>
    <t>"CID3333217"</t>
  </si>
  <si>
    <t>Bhiwadi</t>
  </si>
  <si>
    <t>"CNR6987620"</t>
  </si>
  <si>
    <t>"CID3121337"</t>
  </si>
  <si>
    <t>"CNR4132145"</t>
  </si>
  <si>
    <t>"CID5140786"</t>
  </si>
  <si>
    <t>"CNR8207805"</t>
  </si>
  <si>
    <t>"CID6685791"</t>
  </si>
  <si>
    <t>"CNR1438443"</t>
  </si>
  <si>
    <t>"CID5468663"</t>
  </si>
  <si>
    <t>Huda City Centre</t>
  </si>
  <si>
    <t>"CNR6129081"</t>
  </si>
  <si>
    <t>"CID2998238"</t>
  </si>
  <si>
    <t>Shivaji Park</t>
  </si>
  <si>
    <t>Wrong Address</t>
  </si>
  <si>
    <t>"CNR1361929"</t>
  </si>
  <si>
    <t>"CID9052724"</t>
  </si>
  <si>
    <t>Greater Kailash</t>
  </si>
  <si>
    <t>"CNR2687237"</t>
  </si>
  <si>
    <t>"CID4887972"</t>
  </si>
  <si>
    <t>"CNR7486337"</t>
  </si>
  <si>
    <t>"CID8581638"</t>
  </si>
  <si>
    <t>Manesar</t>
  </si>
  <si>
    <t>"CNR4269906"</t>
  </si>
  <si>
    <t>"CID9683944"</t>
  </si>
  <si>
    <t>"CNR1224347"</t>
  </si>
  <si>
    <t>"CID5493342"</t>
  </si>
  <si>
    <t>"CNR1401386"</t>
  </si>
  <si>
    <t>"CID2154950"</t>
  </si>
  <si>
    <t>"CNR2013487"</t>
  </si>
  <si>
    <t>"CID4175153"</t>
  </si>
  <si>
    <t>"CNR7409512"</t>
  </si>
  <si>
    <t>"CID5474366"</t>
  </si>
  <si>
    <t>"CNR7658099"</t>
  </si>
  <si>
    <t>"CID8951576"</t>
  </si>
  <si>
    <t>Raj Nagar Extension</t>
  </si>
  <si>
    <t>"CNR1980045"</t>
  </si>
  <si>
    <t>"CID9418411"</t>
  </si>
  <si>
    <t>"CNR8584951"</t>
  </si>
  <si>
    <t>"CID2820460"</t>
  </si>
  <si>
    <t>"CNR2607733"</t>
  </si>
  <si>
    <t>"CID5637874"</t>
  </si>
  <si>
    <t>"CNR6693847"</t>
  </si>
  <si>
    <t>"CID6386344"</t>
  </si>
  <si>
    <t>Keshav Puram</t>
  </si>
  <si>
    <t>"CNR9749627"</t>
  </si>
  <si>
    <t>"CID3065827"</t>
  </si>
  <si>
    <t>"CNR1706908"</t>
  </si>
  <si>
    <t>"CID1807270"</t>
  </si>
  <si>
    <t>"CNR6236514"</t>
  </si>
  <si>
    <t>"CID3761463"</t>
  </si>
  <si>
    <t>"CNR9048385"</t>
  </si>
  <si>
    <t>"CID5242973"</t>
  </si>
  <si>
    <t>"CNR1903168"</t>
  </si>
  <si>
    <t>"CID1051794"</t>
  </si>
  <si>
    <t>Samaypur Badli</t>
  </si>
  <si>
    <t>"CNR2922907"</t>
  </si>
  <si>
    <t>"CID4507250"</t>
  </si>
  <si>
    <t>"CNR7621341"</t>
  </si>
  <si>
    <t>"CID1429306"</t>
  </si>
  <si>
    <t>Jor Bagh</t>
  </si>
  <si>
    <t>"CNR5803828"</t>
  </si>
  <si>
    <t>"CID1039074"</t>
  </si>
  <si>
    <t>"CNR4868713"</t>
  </si>
  <si>
    <t>"CID2089650"</t>
  </si>
  <si>
    <t>"CNR2575334"</t>
  </si>
  <si>
    <t>"CID7330180"</t>
  </si>
  <si>
    <t>"CNR3841045"</t>
  </si>
  <si>
    <t>"CID1210899"</t>
  </si>
  <si>
    <t>"CNR5265040"</t>
  </si>
  <si>
    <t>"CID3076700"</t>
  </si>
  <si>
    <t>"CNR8112878"</t>
  </si>
  <si>
    <t>"CID4809063"</t>
  </si>
  <si>
    <t>Paharganj</t>
  </si>
  <si>
    <t>"CNR4617937"</t>
  </si>
  <si>
    <t>"CID7348314"</t>
  </si>
  <si>
    <t>Delhi Gate</t>
  </si>
  <si>
    <t>"CNR7311169"</t>
  </si>
  <si>
    <t>"CID2529885"</t>
  </si>
  <si>
    <t>Vasant Kunj</t>
  </si>
  <si>
    <t>"CNR7340396"</t>
  </si>
  <si>
    <t>"CID7334750"</t>
  </si>
  <si>
    <t>"CNR4259279"</t>
  </si>
  <si>
    <t>"CID7993999"</t>
  </si>
  <si>
    <t>Golf Course Road</t>
  </si>
  <si>
    <t>"CNR7554746"</t>
  </si>
  <si>
    <t>"CID3234126"</t>
  </si>
  <si>
    <t>"CNR9430550"</t>
  </si>
  <si>
    <t>"CID3901448"</t>
  </si>
  <si>
    <t>Subhash Nagar</t>
  </si>
  <si>
    <t>"CNR9984761"</t>
  </si>
  <si>
    <t>"CID1201304"</t>
  </si>
  <si>
    <t>"CNR4112922"</t>
  </si>
  <si>
    <t>"CID8248967"</t>
  </si>
  <si>
    <t>"CNR5939223"</t>
  </si>
  <si>
    <t>"CID1109267"</t>
  </si>
  <si>
    <t>"CNR7645307"</t>
  </si>
  <si>
    <t>"CID6238168"</t>
  </si>
  <si>
    <t>"CNR4722464"</t>
  </si>
  <si>
    <t>"CID7557487"</t>
  </si>
  <si>
    <t>"CNR3191144"</t>
  </si>
  <si>
    <t>"CID5636263"</t>
  </si>
  <si>
    <t>"CNR4720063"</t>
  </si>
  <si>
    <t>"CID1461597"</t>
  </si>
  <si>
    <t>"CNR6216825"</t>
  </si>
  <si>
    <t>"CID3685295"</t>
  </si>
  <si>
    <t>Bhikaji Cama Place</t>
  </si>
  <si>
    <t>"CNR5314934"</t>
  </si>
  <si>
    <t>"CID1026547"</t>
  </si>
  <si>
    <t>Arjangarh</t>
  </si>
  <si>
    <t>"CNR5517193"</t>
  </si>
  <si>
    <t>"CID9143442"</t>
  </si>
  <si>
    <t>"CNR8412946"</t>
  </si>
  <si>
    <t>"CID7723858"</t>
  </si>
  <si>
    <t>Hero Honda Chowk</t>
  </si>
  <si>
    <t>"CNR1867567"</t>
  </si>
  <si>
    <t>"CID6010303"</t>
  </si>
  <si>
    <t>"CNR3455701"</t>
  </si>
  <si>
    <t>"CID9643714"</t>
  </si>
  <si>
    <t>"CNR5149854"</t>
  </si>
  <si>
    <t>"CID9975388"</t>
  </si>
  <si>
    <t>"CNR6027511"</t>
  </si>
  <si>
    <t>"CID6080643"</t>
  </si>
  <si>
    <t>"CNR4569804"</t>
  </si>
  <si>
    <t>"CID8474448"</t>
  </si>
  <si>
    <t>"CNR7585582"</t>
  </si>
  <si>
    <t>"CID1607386"</t>
  </si>
  <si>
    <t>"CNR5534901"</t>
  </si>
  <si>
    <t>"CID9231793"</t>
  </si>
  <si>
    <t>"CNR5784218"</t>
  </si>
  <si>
    <t>"CID1814194"</t>
  </si>
  <si>
    <t>"CNR6349771"</t>
  </si>
  <si>
    <t>"CID5577961"</t>
  </si>
  <si>
    <t>"CNR3708287"</t>
  </si>
  <si>
    <t>"CID2958217"</t>
  </si>
  <si>
    <t>"CNR8365625"</t>
  </si>
  <si>
    <t>"CID4463605"</t>
  </si>
  <si>
    <t>Lok Kalyan Marg</t>
  </si>
  <si>
    <t>"CNR7435840"</t>
  </si>
  <si>
    <t>"CID9084957"</t>
  </si>
  <si>
    <t>Pulbangash</t>
  </si>
  <si>
    <t>"CNR8577529"</t>
  </si>
  <si>
    <t>"CID8121948"</t>
  </si>
  <si>
    <t>"CNR6158921"</t>
  </si>
  <si>
    <t>"CID4203688"</t>
  </si>
  <si>
    <t>"CNR7484371"</t>
  </si>
  <si>
    <t>"CID7265108"</t>
  </si>
  <si>
    <t>"CNR9301716"</t>
  </si>
  <si>
    <t>"CID4647277"</t>
  </si>
  <si>
    <t>"CNR6511558"</t>
  </si>
  <si>
    <t>"CID5808222"</t>
  </si>
  <si>
    <t>Sarojini Nagar</t>
  </si>
  <si>
    <t>"CNR1801249"</t>
  </si>
  <si>
    <t>"CID2012161"</t>
  </si>
  <si>
    <t>"CNR5712520"</t>
  </si>
  <si>
    <t>"CID8152575"</t>
  </si>
  <si>
    <t>"CNR1038498"</t>
  </si>
  <si>
    <t>"CID6242930"</t>
  </si>
  <si>
    <t>"CNR2395349"</t>
  </si>
  <si>
    <t>"CID3389825"</t>
  </si>
  <si>
    <t>Vatika Chowk</t>
  </si>
  <si>
    <t>"CNR4896767"</t>
  </si>
  <si>
    <t>"CID6418422"</t>
  </si>
  <si>
    <t>"CNR5047025"</t>
  </si>
  <si>
    <t>"CID6365387"</t>
  </si>
  <si>
    <t>"CNR7514462"</t>
  </si>
  <si>
    <t>"CID5973257"</t>
  </si>
  <si>
    <t>"CNR5269641"</t>
  </si>
  <si>
    <t>"CID8225890"</t>
  </si>
  <si>
    <t>"CNR9927786"</t>
  </si>
  <si>
    <t>"CID8378909"</t>
  </si>
  <si>
    <t>"CNR9619867"</t>
  </si>
  <si>
    <t>"CID9032039"</t>
  </si>
  <si>
    <t>"CNR7250271"</t>
  </si>
  <si>
    <t>"CID9448818"</t>
  </si>
  <si>
    <t>"CNR5629774"</t>
  </si>
  <si>
    <t>"CID8747096"</t>
  </si>
  <si>
    <t>Ghaziabad</t>
  </si>
  <si>
    <t>Udyog Vihar</t>
  </si>
  <si>
    <t>"CNR4578797"</t>
  </si>
  <si>
    <t>"CID1104786"</t>
  </si>
  <si>
    <t>"CNR5277125"</t>
  </si>
  <si>
    <t>"CID7166980"</t>
  </si>
  <si>
    <t>"CNR2343017"</t>
  </si>
  <si>
    <t>"CID9190683"</t>
  </si>
  <si>
    <t>"CNR4356773"</t>
  </si>
  <si>
    <t>"CID9031824"</t>
  </si>
  <si>
    <t>"CNR1050716"</t>
  </si>
  <si>
    <t>"CID3789359"</t>
  </si>
  <si>
    <t>South Extension</t>
  </si>
  <si>
    <t>"CNR7850961"</t>
  </si>
  <si>
    <t>"CID5103518"</t>
  </si>
  <si>
    <t>"CNR1254363"</t>
  </si>
  <si>
    <t>"CID9092173"</t>
  </si>
  <si>
    <t>"CNR6569789"</t>
  </si>
  <si>
    <t>"CID3372949"</t>
  </si>
  <si>
    <t>"CNR6092310"</t>
  </si>
  <si>
    <t>"CID4998701"</t>
  </si>
  <si>
    <t>"CNR2742692"</t>
  </si>
  <si>
    <t>"CID6825812"</t>
  </si>
  <si>
    <t>"CNR7165550"</t>
  </si>
  <si>
    <t>"CID7694379"</t>
  </si>
  <si>
    <t>"CNR9101826"</t>
  </si>
  <si>
    <t>"CID1875498"</t>
  </si>
  <si>
    <t>"CNR7054338"</t>
  </si>
  <si>
    <t>"CID5302286"</t>
  </si>
  <si>
    <t>"CNR5871454"</t>
  </si>
  <si>
    <t>"CID8316899"</t>
  </si>
  <si>
    <t>"CNR4399523"</t>
  </si>
  <si>
    <t>"CID2089022"</t>
  </si>
  <si>
    <t>"CNR9707820"</t>
  </si>
  <si>
    <t>"CID2183387"</t>
  </si>
  <si>
    <t>"CNR2693001"</t>
  </si>
  <si>
    <t>"CID1889689"</t>
  </si>
  <si>
    <t>Peeragarhi</t>
  </si>
  <si>
    <t>"CNR3363167"</t>
  </si>
  <si>
    <t>"CID8741995"</t>
  </si>
  <si>
    <t>Ambience Mall</t>
  </si>
  <si>
    <t>"CNR9573367"</t>
  </si>
  <si>
    <t>"CID7080252"</t>
  </si>
  <si>
    <t>"CNR4563554"</t>
  </si>
  <si>
    <t>"CID3656786"</t>
  </si>
  <si>
    <t>"CNR3121090"</t>
  </si>
  <si>
    <t>"CID1670641"</t>
  </si>
  <si>
    <t>"CNR2969701"</t>
  </si>
  <si>
    <t>"CID1401223"</t>
  </si>
  <si>
    <t>"CNR3590282"</t>
  </si>
  <si>
    <t>"CID7281467"</t>
  </si>
  <si>
    <t>"CNR5792733"</t>
  </si>
  <si>
    <t>"CID2894784"</t>
  </si>
  <si>
    <t>"CNR7417036"</t>
  </si>
  <si>
    <t>"CID8283589"</t>
  </si>
  <si>
    <t>"CNR7957879"</t>
  </si>
  <si>
    <t>"CID3277993"</t>
  </si>
  <si>
    <t>"CNR3649243"</t>
  </si>
  <si>
    <t>"CID2049171"</t>
  </si>
  <si>
    <t>"CNR8918353"</t>
  </si>
  <si>
    <t>"CID4955715"</t>
  </si>
  <si>
    <t>Kalkaji</t>
  </si>
  <si>
    <t>"CNR1343265"</t>
  </si>
  <si>
    <t>"CID2749175"</t>
  </si>
  <si>
    <t>"CNR1390232"</t>
  </si>
  <si>
    <t>"CID6307524"</t>
  </si>
  <si>
    <t>"CNR3047231"</t>
  </si>
  <si>
    <t>"CID5464558"</t>
  </si>
  <si>
    <t>"CNR5380412"</t>
  </si>
  <si>
    <t>"CID8125937"</t>
  </si>
  <si>
    <t>"CNR4886117"</t>
  </si>
  <si>
    <t>"CID2026490"</t>
  </si>
  <si>
    <t>"CNR1155206"</t>
  </si>
  <si>
    <t>"CID3865002"</t>
  </si>
  <si>
    <t>"CNR7623737"</t>
  </si>
  <si>
    <t>"CID6954811"</t>
  </si>
  <si>
    <t>"CNR5468556"</t>
  </si>
  <si>
    <t>"CID4533250"</t>
  </si>
  <si>
    <t>"CNR8037805"</t>
  </si>
  <si>
    <t>"CID2099192"</t>
  </si>
  <si>
    <t>"CNR5137585"</t>
  </si>
  <si>
    <t>"CID3906781"</t>
  </si>
  <si>
    <t>"CNR5622847"</t>
  </si>
  <si>
    <t>"CID7679264"</t>
  </si>
  <si>
    <t>"CNR4461457"</t>
  </si>
  <si>
    <t>"CID8192836"</t>
  </si>
  <si>
    <t>Kirti Nagar</t>
  </si>
  <si>
    <t>"CNR3788830"</t>
  </si>
  <si>
    <t>"CID1892630"</t>
  </si>
  <si>
    <t>"CNR8254837"</t>
  </si>
  <si>
    <t>"CID5350125"</t>
  </si>
  <si>
    <t>Ashok Park Main</t>
  </si>
  <si>
    <t>"CNR5483670"</t>
  </si>
  <si>
    <t>"CID3570152"</t>
  </si>
  <si>
    <t>"CNR7372127"</t>
  </si>
  <si>
    <t>"CID2108992"</t>
  </si>
  <si>
    <t>"CNR5166870"</t>
  </si>
  <si>
    <t>"CID9712348"</t>
  </si>
  <si>
    <t>"CNR1915557"</t>
  </si>
  <si>
    <t>"CID8572565"</t>
  </si>
  <si>
    <t>"CNR3460247"</t>
  </si>
  <si>
    <t>"CID7449191"</t>
  </si>
  <si>
    <t>"CNR8192412"</t>
  </si>
  <si>
    <t>"CID3617414"</t>
  </si>
  <si>
    <t>"CNR7439127"</t>
  </si>
  <si>
    <t>"CID2424398"</t>
  </si>
  <si>
    <t>"CNR3712135"</t>
  </si>
  <si>
    <t>"CID7174383"</t>
  </si>
  <si>
    <t>"CNR1675599"</t>
  </si>
  <si>
    <t>"CID9232923"</t>
  </si>
  <si>
    <t>"CNR1935772"</t>
  </si>
  <si>
    <t>"CID2909332"</t>
  </si>
  <si>
    <t>"CNR4730676"</t>
  </si>
  <si>
    <t>"CID5429248"</t>
  </si>
  <si>
    <t>"CNR6139544"</t>
  </si>
  <si>
    <t>"CID9812979"</t>
  </si>
  <si>
    <t>"CNR3805926"</t>
  </si>
  <si>
    <t>"CID1837528"</t>
  </si>
  <si>
    <t>"CNR5129655"</t>
  </si>
  <si>
    <t>"CID6449078"</t>
  </si>
  <si>
    <t>"CNR8725828"</t>
  </si>
  <si>
    <t>"CID5970413"</t>
  </si>
  <si>
    <t>"CNR6557966"</t>
  </si>
  <si>
    <t>"CID9646686"</t>
  </si>
  <si>
    <t>"CNR5403690"</t>
  </si>
  <si>
    <t>"CID2856626"</t>
  </si>
  <si>
    <t>"CNR4969264"</t>
  </si>
  <si>
    <t>"CID8159457"</t>
  </si>
  <si>
    <t>"CNR6028710"</t>
  </si>
  <si>
    <t>"CID1715075"</t>
  </si>
  <si>
    <t>"CNR3761377"</t>
  </si>
  <si>
    <t>"CID2461173"</t>
  </si>
  <si>
    <t>"CNR2650074"</t>
  </si>
  <si>
    <t>"CID5603156"</t>
  </si>
  <si>
    <t>"CNR7381283"</t>
  </si>
  <si>
    <t>"CID8868738"</t>
  </si>
  <si>
    <t>"CNR2531495"</t>
  </si>
  <si>
    <t>"CID7656183"</t>
  </si>
  <si>
    <t>"CNR1939605"</t>
  </si>
  <si>
    <t>"CID1229469"</t>
  </si>
  <si>
    <t>"CNR5149041"</t>
  </si>
  <si>
    <t>"CID6951861"</t>
  </si>
  <si>
    <t>"CNR7041241"</t>
  </si>
  <si>
    <t>"CID1368334"</t>
  </si>
  <si>
    <t>Rohini East</t>
  </si>
  <si>
    <t>"CNR8035160"</t>
  </si>
  <si>
    <t>"CID5283020"</t>
  </si>
  <si>
    <t>Connaught Place</t>
  </si>
  <si>
    <t>"CNR1918341"</t>
  </si>
  <si>
    <t>"CID7417050"</t>
  </si>
  <si>
    <t>Paschim Vihar</t>
  </si>
  <si>
    <t>"CNR9600846"</t>
  </si>
  <si>
    <t>"CID8949589"</t>
  </si>
  <si>
    <t>"CNR2775291"</t>
  </si>
  <si>
    <t>"CID9116623"</t>
  </si>
  <si>
    <t>Indirapuram</t>
  </si>
  <si>
    <t>"CNR4263854"</t>
  </si>
  <si>
    <t>"CID3967495"</t>
  </si>
  <si>
    <t>"CNR4635401"</t>
  </si>
  <si>
    <t>"CID3741723"</t>
  </si>
  <si>
    <t>"CNR2135475"</t>
  </si>
  <si>
    <t>"CID8123696"</t>
  </si>
  <si>
    <t>"CNR2438435"</t>
  </si>
  <si>
    <t>"CID7928240"</t>
  </si>
  <si>
    <t>"CNR2068345"</t>
  </si>
  <si>
    <t>"CID1975343"</t>
  </si>
  <si>
    <t>Govindpuri</t>
  </si>
  <si>
    <t>"CNR6107939"</t>
  </si>
  <si>
    <t>"CID3244272"</t>
  </si>
  <si>
    <t>Welcome</t>
  </si>
  <si>
    <t>"CNR6577172"</t>
  </si>
  <si>
    <t>"CID5963264"</t>
  </si>
  <si>
    <t>"CNR1957129"</t>
  </si>
  <si>
    <t>"CID5761924"</t>
  </si>
  <si>
    <t>"CNR1531092"</t>
  </si>
  <si>
    <t>"CID7911273"</t>
  </si>
  <si>
    <t>"CNR6891932"</t>
  </si>
  <si>
    <t>"CID1466189"</t>
  </si>
  <si>
    <t>"CNR2192659"</t>
  </si>
  <si>
    <t>"CID5227340"</t>
  </si>
  <si>
    <t>"CNR6262174"</t>
  </si>
  <si>
    <t>"CID4943288"</t>
  </si>
  <si>
    <t>"CNR7791863"</t>
  </si>
  <si>
    <t>"CID1873624"</t>
  </si>
  <si>
    <t>"CNR8243301"</t>
  </si>
  <si>
    <t>"CID7666967"</t>
  </si>
  <si>
    <t>"CNR9897424"</t>
  </si>
  <si>
    <t>"CID8433669"</t>
  </si>
  <si>
    <t>"CNR5745004"</t>
  </si>
  <si>
    <t>"CNR9659819"</t>
  </si>
  <si>
    <t>"CID5653812"</t>
  </si>
  <si>
    <t>"CNR8084453"</t>
  </si>
  <si>
    <t>"CID5057901"</t>
  </si>
  <si>
    <t>"CNR6574173"</t>
  </si>
  <si>
    <t>"CID6454968"</t>
  </si>
  <si>
    <t>"CNR4467044"</t>
  </si>
  <si>
    <t>"CID9935423"</t>
  </si>
  <si>
    <t>"CNR3334608"</t>
  </si>
  <si>
    <t>"CID2336782"</t>
  </si>
  <si>
    <t>"CNR3901250"</t>
  </si>
  <si>
    <t>"CID4369282"</t>
  </si>
  <si>
    <t>"CNR3899180"</t>
  </si>
  <si>
    <t>"CID3915373"</t>
  </si>
  <si>
    <t>"CNR7686844"</t>
  </si>
  <si>
    <t>"CID4485200"</t>
  </si>
  <si>
    <t>Sonipat</t>
  </si>
  <si>
    <t>"CNR7619619"</t>
  </si>
  <si>
    <t>"CID9964707"</t>
  </si>
  <si>
    <t>"CNR3128056"</t>
  </si>
  <si>
    <t>"CID1669827"</t>
  </si>
  <si>
    <t>"CNR2415257"</t>
  </si>
  <si>
    <t>"CID6909825"</t>
  </si>
  <si>
    <t>"CNR9756448"</t>
  </si>
  <si>
    <t>"CID6952097"</t>
  </si>
  <si>
    <t>"CNR5071968"</t>
  </si>
  <si>
    <t>"CID7384045"</t>
  </si>
  <si>
    <t>"CNR9262105"</t>
  </si>
  <si>
    <t>"CID3597216"</t>
  </si>
  <si>
    <t>"CNR6026973"</t>
  </si>
  <si>
    <t>"CID7000290"</t>
  </si>
  <si>
    <t>"CNR6798581"</t>
  </si>
  <si>
    <t>"CID4412829"</t>
  </si>
  <si>
    <t>"CNR1511311"</t>
  </si>
  <si>
    <t>"CID3430917"</t>
  </si>
  <si>
    <t>"CNR1690974"</t>
  </si>
  <si>
    <t>"CID5614686"</t>
  </si>
  <si>
    <t>"CNR2405566"</t>
  </si>
  <si>
    <t>"CID2765782"</t>
  </si>
  <si>
    <t>Kadarpur</t>
  </si>
  <si>
    <t>"CNR5503992"</t>
  </si>
  <si>
    <t>"CID3215242"</t>
  </si>
  <si>
    <t>"CNR5487256"</t>
  </si>
  <si>
    <t>"CID2154074"</t>
  </si>
  <si>
    <t>"CNR9280980"</t>
  </si>
  <si>
    <t>"CID4697642"</t>
  </si>
  <si>
    <t>"CNR5735365"</t>
  </si>
  <si>
    <t>"CID4330019"</t>
  </si>
  <si>
    <t>"CNR7094496"</t>
  </si>
  <si>
    <t>"CID1193764"</t>
  </si>
  <si>
    <t>Rajouri Garden</t>
  </si>
  <si>
    <t>"CNR8674052"</t>
  </si>
  <si>
    <t>"CID9232244"</t>
  </si>
  <si>
    <t>"CNR3317899"</t>
  </si>
  <si>
    <t>"CID7292132"</t>
  </si>
  <si>
    <t>"CNR7648257"</t>
  </si>
  <si>
    <t>"CID6260946"</t>
  </si>
  <si>
    <t>"CNR9887499"</t>
  </si>
  <si>
    <t>"CID4896073"</t>
  </si>
  <si>
    <t>"CNR5899408"</t>
  </si>
  <si>
    <t>"CID6731666"</t>
  </si>
  <si>
    <t>"CNR4090725"</t>
  </si>
  <si>
    <t>"CID9333845"</t>
  </si>
  <si>
    <t>"CNR7912140"</t>
  </si>
  <si>
    <t>"CID2721563"</t>
  </si>
  <si>
    <t>"CNR1149573"</t>
  </si>
  <si>
    <t>"CID4850979"</t>
  </si>
  <si>
    <t>"CNR9795191"</t>
  </si>
  <si>
    <t>"CID7143989"</t>
  </si>
  <si>
    <t>"CNR6845177"</t>
  </si>
  <si>
    <t>"CID2910913"</t>
  </si>
  <si>
    <t>"CNR6115510"</t>
  </si>
  <si>
    <t>"CID8805139"</t>
  </si>
  <si>
    <t>"CNR6859535"</t>
  </si>
  <si>
    <t>"CID2960838"</t>
  </si>
  <si>
    <t>"CNR2514823"</t>
  </si>
  <si>
    <t>"CID8542583"</t>
  </si>
  <si>
    <t>"CNR5197106"</t>
  </si>
  <si>
    <t>"CID9447069"</t>
  </si>
  <si>
    <t>"CNR5958707"</t>
  </si>
  <si>
    <t>"CID9250719"</t>
  </si>
  <si>
    <t>"CNR7438691"</t>
  </si>
  <si>
    <t>"CID6640597"</t>
  </si>
  <si>
    <t>"CNR4717203"</t>
  </si>
  <si>
    <t>"CID4019303"</t>
  </si>
  <si>
    <t>"CNR3871982"</t>
  </si>
  <si>
    <t>"CID3385226"</t>
  </si>
  <si>
    <t>"CNR7276252"</t>
  </si>
  <si>
    <t>"CID4805819"</t>
  </si>
  <si>
    <t>"CNR8591450"</t>
  </si>
  <si>
    <t>"CID5485762"</t>
  </si>
  <si>
    <t>"CNR2118165"</t>
  </si>
  <si>
    <t>"CID4254404"</t>
  </si>
  <si>
    <t>Gurgaon Railway Station</t>
  </si>
  <si>
    <t>"CNR1580852"</t>
  </si>
  <si>
    <t>"CID1032196"</t>
  </si>
  <si>
    <t>"CNR8400555"</t>
  </si>
  <si>
    <t>"CID7803210"</t>
  </si>
  <si>
    <t>"CNR2392283"</t>
  </si>
  <si>
    <t>"CID7179926"</t>
  </si>
  <si>
    <t>"CNR8799283"</t>
  </si>
  <si>
    <t>"CID2914515"</t>
  </si>
  <si>
    <t>"CNR7692801"</t>
  </si>
  <si>
    <t>"CID4418657"</t>
  </si>
  <si>
    <t>"CNR8406654"</t>
  </si>
  <si>
    <t>"CID3494610"</t>
  </si>
  <si>
    <t>"CNR5193961"</t>
  </si>
  <si>
    <t>"CID3471193"</t>
  </si>
  <si>
    <t>"CNR9045710"</t>
  </si>
  <si>
    <t>"CID9382079"</t>
  </si>
  <si>
    <t>"CNR1884447"</t>
  </si>
  <si>
    <t>"CID3794502"</t>
  </si>
  <si>
    <t>"CNR5929425"</t>
  </si>
  <si>
    <t>"CID8229428"</t>
  </si>
  <si>
    <t>"CNR3795914"</t>
  </si>
  <si>
    <t>"CID2036541"</t>
  </si>
  <si>
    <t>"CNR5115903"</t>
  </si>
  <si>
    <t>"CID1437336"</t>
  </si>
  <si>
    <t>"CNR7223335"</t>
  </si>
  <si>
    <t>"CID9786042"</t>
  </si>
  <si>
    <t>Ashok Vihar</t>
  </si>
  <si>
    <t>"CNR3338595"</t>
  </si>
  <si>
    <t>"CID3627391"</t>
  </si>
  <si>
    <t>"CNR1610053"</t>
  </si>
  <si>
    <t>"CID5372274"</t>
  </si>
  <si>
    <t>"CNR4383491"</t>
  </si>
  <si>
    <t>"CID5404553"</t>
  </si>
  <si>
    <t>"CNR4238002"</t>
  </si>
  <si>
    <t>"CID6776646"</t>
  </si>
  <si>
    <t>"CNR2471315"</t>
  </si>
  <si>
    <t>"CID1296895"</t>
  </si>
  <si>
    <t>"CNR7554909"</t>
  </si>
  <si>
    <t>"CID2941890"</t>
  </si>
  <si>
    <t>"CNR4559667"</t>
  </si>
  <si>
    <t>"CID2567945"</t>
  </si>
  <si>
    <t>"CNR7943612"</t>
  </si>
  <si>
    <t>"CID7051878"</t>
  </si>
  <si>
    <t>"CNR9513281"</t>
  </si>
  <si>
    <t>"CID8578287"</t>
  </si>
  <si>
    <t>"CNR3228885"</t>
  </si>
  <si>
    <t>"CID3480522"</t>
  </si>
  <si>
    <t>"CNR6838313"</t>
  </si>
  <si>
    <t>"CID6286831"</t>
  </si>
  <si>
    <t>"CNR7513763"</t>
  </si>
  <si>
    <t>"CID5819264"</t>
  </si>
  <si>
    <t>"CNR4249572"</t>
  </si>
  <si>
    <t>"CID9658351"</t>
  </si>
  <si>
    <t>"CNR1730323"</t>
  </si>
  <si>
    <t>"CID1295813"</t>
  </si>
  <si>
    <t>"CNR3316127"</t>
  </si>
  <si>
    <t>"CID1501533"</t>
  </si>
  <si>
    <t>"CNR5001450"</t>
  </si>
  <si>
    <t>"CID4130652"</t>
  </si>
  <si>
    <t>"CNR2994632"</t>
  </si>
  <si>
    <t>"CID4528348"</t>
  </si>
  <si>
    <t>"CNR8349332"</t>
  </si>
  <si>
    <t>"CID1895189"</t>
  </si>
  <si>
    <t>"CNR6785391"</t>
  </si>
  <si>
    <t>"CID3192351"</t>
  </si>
  <si>
    <t>"CNR4239039"</t>
  </si>
  <si>
    <t>"CID5633622"</t>
  </si>
  <si>
    <t>"CNR3942728"</t>
  </si>
  <si>
    <t>"CID3899231"</t>
  </si>
  <si>
    <t>"CNR2282162"</t>
  </si>
  <si>
    <t>"CID7242372"</t>
  </si>
  <si>
    <t>"CNR4677505"</t>
  </si>
  <si>
    <t>"CID3339585"</t>
  </si>
  <si>
    <t>"CNR8185605"</t>
  </si>
  <si>
    <t>"CID9816010"</t>
  </si>
  <si>
    <t>"CNR5351433"</t>
  </si>
  <si>
    <t>"CID4736469"</t>
  </si>
  <si>
    <t>"CNR8880913"</t>
  </si>
  <si>
    <t>"CID4302311"</t>
  </si>
  <si>
    <t>"CNR3643495"</t>
  </si>
  <si>
    <t>"CID3072962"</t>
  </si>
  <si>
    <t>"CNR8399435"</t>
  </si>
  <si>
    <t>"CID7010722"</t>
  </si>
  <si>
    <t>"CNR5699093"</t>
  </si>
  <si>
    <t>"CID6044294"</t>
  </si>
  <si>
    <t>"CNR1090037"</t>
  </si>
  <si>
    <t>"CID2369298"</t>
  </si>
  <si>
    <t>"CNR1672620"</t>
  </si>
  <si>
    <t>"CID9094427"</t>
  </si>
  <si>
    <t>"CNR4811296"</t>
  </si>
  <si>
    <t>"CID7470261"</t>
  </si>
  <si>
    <t>"CNR6421218"</t>
  </si>
  <si>
    <t>"CID2328704"</t>
  </si>
  <si>
    <t>"CNR7297536"</t>
  </si>
  <si>
    <t>"CID3104231"</t>
  </si>
  <si>
    <t>"CNR2290384"</t>
  </si>
  <si>
    <t>"CID6067378"</t>
  </si>
  <si>
    <t>"CNR2229358"</t>
  </si>
  <si>
    <t>"CID7586583"</t>
  </si>
  <si>
    <t>Subhash Chowk</t>
  </si>
  <si>
    <t>"CNR4246484"</t>
  </si>
  <si>
    <t>"CID4625807"</t>
  </si>
  <si>
    <t>"CNR9882850"</t>
  </si>
  <si>
    <t>"CID8976182"</t>
  </si>
  <si>
    <t>"CNR3234899"</t>
  </si>
  <si>
    <t>"CID1908216"</t>
  </si>
  <si>
    <t>"CNR9159821"</t>
  </si>
  <si>
    <t>"CID7212119"</t>
  </si>
  <si>
    <t>"CNR3377580"</t>
  </si>
  <si>
    <t>"CID3773482"</t>
  </si>
  <si>
    <t>"CNR7286285"</t>
  </si>
  <si>
    <t>"CID6567281"</t>
  </si>
  <si>
    <t>"CNR8901989"</t>
  </si>
  <si>
    <t>"CID4529927"</t>
  </si>
  <si>
    <t>"CNR9222191"</t>
  </si>
  <si>
    <t>"CID9902256"</t>
  </si>
  <si>
    <t>"CNR6647107"</t>
  </si>
  <si>
    <t>"CID7253416"</t>
  </si>
  <si>
    <t>"CNR9775227"</t>
  </si>
  <si>
    <t>"CID4405721"</t>
  </si>
  <si>
    <t>"CNR5436498"</t>
  </si>
  <si>
    <t>"CID6124996"</t>
  </si>
  <si>
    <t>"CNR9394835"</t>
  </si>
  <si>
    <t>"CID3125278"</t>
  </si>
  <si>
    <t>"CNR7811486"</t>
  </si>
  <si>
    <t>"CID3203722"</t>
  </si>
  <si>
    <t>"CNR9208205"</t>
  </si>
  <si>
    <t>"CID2712013"</t>
  </si>
  <si>
    <t>"CNR6583672"</t>
  </si>
  <si>
    <t>"CID2281519"</t>
  </si>
  <si>
    <t>"CNR5706641"</t>
  </si>
  <si>
    <t>"CID5130718"</t>
  </si>
  <si>
    <t>"CNR8005201"</t>
  </si>
  <si>
    <t>"CID8692503"</t>
  </si>
  <si>
    <t>"CNR7534075"</t>
  </si>
  <si>
    <t>"CID4275914"</t>
  </si>
  <si>
    <t>"CNR1712916"</t>
  </si>
  <si>
    <t>"CID9416242"</t>
  </si>
  <si>
    <t>"CNR8081487"</t>
  </si>
  <si>
    <t>"CID1030753"</t>
  </si>
  <si>
    <t>"CNR4056850"</t>
  </si>
  <si>
    <t>"CID5921257"</t>
  </si>
  <si>
    <t>"CNR6714334"</t>
  </si>
  <si>
    <t>"CID3077805"</t>
  </si>
  <si>
    <t>"CNR7702733"</t>
  </si>
  <si>
    <t>"CID7542922"</t>
  </si>
  <si>
    <t>"CNR9212883"</t>
  </si>
  <si>
    <t>"CID7774837"</t>
  </si>
  <si>
    <t>"CNR9154108"</t>
  </si>
  <si>
    <t>"CID7990974"</t>
  </si>
  <si>
    <t>"CNR6429307"</t>
  </si>
  <si>
    <t>"CID6093452"</t>
  </si>
  <si>
    <t>"CNR4933209"</t>
  </si>
  <si>
    <t>"CID7088241"</t>
  </si>
  <si>
    <t>"CNR2979424"</t>
  </si>
  <si>
    <t>"CID8679276"</t>
  </si>
  <si>
    <t>"CNR3332119"</t>
  </si>
  <si>
    <t>"CID6481348"</t>
  </si>
  <si>
    <t>"CNR8678279"</t>
  </si>
  <si>
    <t>"CID1487975"</t>
  </si>
  <si>
    <t>"CNR1559285"</t>
  </si>
  <si>
    <t>"CID2693633"</t>
  </si>
  <si>
    <t>"CNR7024730"</t>
  </si>
  <si>
    <t>"CID4838658"</t>
  </si>
  <si>
    <t>"CNR6839076"</t>
  </si>
  <si>
    <t>"CID8166401"</t>
  </si>
  <si>
    <t>"CNR7905117"</t>
  </si>
  <si>
    <t>"CID1416555"</t>
  </si>
  <si>
    <t>"CNR5759870"</t>
  </si>
  <si>
    <t>"CID2323422"</t>
  </si>
  <si>
    <t>"CNR3578899"</t>
  </si>
  <si>
    <t>"CID5661102"</t>
  </si>
  <si>
    <t>"CNR1089514"</t>
  </si>
  <si>
    <t>"CID4125399"</t>
  </si>
  <si>
    <t>"CNR9835984"</t>
  </si>
  <si>
    <t>"CID9964638"</t>
  </si>
  <si>
    <t>"CNR1643972"</t>
  </si>
  <si>
    <t>"CID3506515"</t>
  </si>
  <si>
    <t>"CNR2939495"</t>
  </si>
  <si>
    <t>"CID2801589"</t>
  </si>
  <si>
    <t>"CNR4997006"</t>
  </si>
  <si>
    <t>"CID6970636"</t>
  </si>
  <si>
    <t>"CNR3684938"</t>
  </si>
  <si>
    <t>"CID6381738"</t>
  </si>
  <si>
    <t>"CNR8016082"</t>
  </si>
  <si>
    <t>"CID3400110"</t>
  </si>
  <si>
    <t>"CNR9166884"</t>
  </si>
  <si>
    <t>"CID3068872"</t>
  </si>
  <si>
    <t>"CNR5034553"</t>
  </si>
  <si>
    <t>"CID2838731"</t>
  </si>
  <si>
    <t>"CNR5994760"</t>
  </si>
  <si>
    <t>"CID8677699"</t>
  </si>
  <si>
    <t>"CNR8280553"</t>
  </si>
  <si>
    <t>"CID4089830"</t>
  </si>
  <si>
    <t>"CNR6304645"</t>
  </si>
  <si>
    <t>"CID8878002"</t>
  </si>
  <si>
    <t>"CNR8726920"</t>
  </si>
  <si>
    <t>"CID1004784"</t>
  </si>
  <si>
    <t>"CNR1583241"</t>
  </si>
  <si>
    <t>"CID3000345"</t>
  </si>
  <si>
    <t>"CNR4484602"</t>
  </si>
  <si>
    <t>"CID7199241"</t>
  </si>
  <si>
    <t>"CNR8525908"</t>
  </si>
  <si>
    <t>"CID4158986"</t>
  </si>
  <si>
    <t>"CNR8491180"</t>
  </si>
  <si>
    <t>"CID4510240"</t>
  </si>
  <si>
    <t>"CNR4866588"</t>
  </si>
  <si>
    <t>"CID1441937"</t>
  </si>
  <si>
    <t>"CNR1107433"</t>
  </si>
  <si>
    <t>"CID3758873"</t>
  </si>
  <si>
    <t>"CNR5804680"</t>
  </si>
  <si>
    <t>"CID5921510"</t>
  </si>
  <si>
    <t>"CNR3635060"</t>
  </si>
  <si>
    <t>"CID5212455"</t>
  </si>
  <si>
    <t>"CNR3550383"</t>
  </si>
  <si>
    <t>"CID3308866"</t>
  </si>
  <si>
    <t>"CNR4225693"</t>
  </si>
  <si>
    <t>"CID4486029"</t>
  </si>
  <si>
    <t>"CNR2221311"</t>
  </si>
  <si>
    <t>"CID3075272"</t>
  </si>
  <si>
    <t>"CNR7713513"</t>
  </si>
  <si>
    <t>"CID3463027"</t>
  </si>
  <si>
    <t>"CNR1286883"</t>
  </si>
  <si>
    <t>"CID7499313"</t>
  </si>
  <si>
    <t>"CNR5104000"</t>
  </si>
  <si>
    <t>"CID5850345"</t>
  </si>
  <si>
    <t>"CNR1748676"</t>
  </si>
  <si>
    <t>"CID5855184"</t>
  </si>
  <si>
    <t>"CNR9018332"</t>
  </si>
  <si>
    <t>"CID5244532"</t>
  </si>
  <si>
    <t>"CNR6347706"</t>
  </si>
  <si>
    <t>"CID7676450"</t>
  </si>
  <si>
    <t>"CNR3245062"</t>
  </si>
  <si>
    <t>"CID3655439"</t>
  </si>
  <si>
    <t>"CNR2353965"</t>
  </si>
  <si>
    <t>"CID4723366"</t>
  </si>
  <si>
    <t>"CNR3349418"</t>
  </si>
  <si>
    <t>"CID1938710"</t>
  </si>
  <si>
    <t>"CNR5038976"</t>
  </si>
  <si>
    <t>"CID8313729"</t>
  </si>
  <si>
    <t>"CNR9755184"</t>
  </si>
  <si>
    <t>"CID3811968"</t>
  </si>
  <si>
    <t>"CNR1872680"</t>
  </si>
  <si>
    <t>"CID1362913"</t>
  </si>
  <si>
    <t>"CNR1349127"</t>
  </si>
  <si>
    <t>"CID3169109"</t>
  </si>
  <si>
    <t>"CNR2230959"</t>
  </si>
  <si>
    <t>"CID8978567"</t>
  </si>
  <si>
    <t>"CNR9380391"</t>
  </si>
  <si>
    <t>"CID2765374"</t>
  </si>
  <si>
    <t>"CNR9895668"</t>
  </si>
  <si>
    <t>"CID2656518"</t>
  </si>
  <si>
    <t>"CNR1918302"</t>
  </si>
  <si>
    <t>"CID6415639"</t>
  </si>
  <si>
    <t>"CNR2429657"</t>
  </si>
  <si>
    <t>"CID3288614"</t>
  </si>
  <si>
    <t>"CNR7937909"</t>
  </si>
  <si>
    <t>"CID3192355"</t>
  </si>
  <si>
    <t>"CNR7044315"</t>
  </si>
  <si>
    <t>"CID2521883"</t>
  </si>
  <si>
    <t>"CNR5517053"</t>
  </si>
  <si>
    <t>"CID8551973"</t>
  </si>
  <si>
    <t>"CNR8024437"</t>
  </si>
  <si>
    <t>"CID8921274"</t>
  </si>
  <si>
    <t>"CNR4956091"</t>
  </si>
  <si>
    <t>"CID5068009"</t>
  </si>
  <si>
    <t>"CNR5377230"</t>
  </si>
  <si>
    <t>"CID7586347"</t>
  </si>
  <si>
    <t>"CNR3120739"</t>
  </si>
  <si>
    <t>"CID5285181"</t>
  </si>
  <si>
    <t>"CNR4763532"</t>
  </si>
  <si>
    <t>"CID3554977"</t>
  </si>
  <si>
    <t>"CNR5897670"</t>
  </si>
  <si>
    <t>"CID3538617"</t>
  </si>
  <si>
    <t>"CNR7975978"</t>
  </si>
  <si>
    <t>"CID6240053"</t>
  </si>
  <si>
    <t>"CNR8129409"</t>
  </si>
  <si>
    <t>"CID3329487"</t>
  </si>
  <si>
    <t>"CNR2244899"</t>
  </si>
  <si>
    <t>"CID7332345"</t>
  </si>
  <si>
    <t>"CNR3178616"</t>
  </si>
  <si>
    <t>"CID6827919"</t>
  </si>
  <si>
    <t>"CNR9398491"</t>
  </si>
  <si>
    <t>"CID4442768"</t>
  </si>
  <si>
    <t>"CNR1365010"</t>
  </si>
  <si>
    <t>"CID6704179"</t>
  </si>
  <si>
    <t>"CNR7934360"</t>
  </si>
  <si>
    <t>"CID7563867"</t>
  </si>
  <si>
    <t>"CNR3466923"</t>
  </si>
  <si>
    <t>"CID6417399"</t>
  </si>
  <si>
    <t>"CNR1772188"</t>
  </si>
  <si>
    <t>"CID9995196"</t>
  </si>
  <si>
    <t>"CNR6221378"</t>
  </si>
  <si>
    <t>"CID4952284"</t>
  </si>
  <si>
    <t>"CNR9154449"</t>
  </si>
  <si>
    <t>"CID1077586"</t>
  </si>
  <si>
    <t>"CNR2310347"</t>
  </si>
  <si>
    <t>"CID1012548"</t>
  </si>
  <si>
    <t>"CNR5161112"</t>
  </si>
  <si>
    <t>"CID1845980"</t>
  </si>
  <si>
    <t>"CNR4746570"</t>
  </si>
  <si>
    <t>"CID4041893"</t>
  </si>
  <si>
    <t>"CNR5206507"</t>
  </si>
  <si>
    <t>"CID9160368"</t>
  </si>
  <si>
    <t>"CNR1105649"</t>
  </si>
  <si>
    <t>"CID2416362"</t>
  </si>
  <si>
    <t>"CNR6561675"</t>
  </si>
  <si>
    <t>"CID4709340"</t>
  </si>
  <si>
    <t>"CNR6735246"</t>
  </si>
  <si>
    <t>"CID4830877"</t>
  </si>
  <si>
    <t>"CNR9393355"</t>
  </si>
  <si>
    <t>"CID2207388"</t>
  </si>
  <si>
    <t>"CNR7041170"</t>
  </si>
  <si>
    <t>"CID3351210"</t>
  </si>
  <si>
    <t>"CNR7015962"</t>
  </si>
  <si>
    <t>"CID3453799"</t>
  </si>
  <si>
    <t>"CNR2820483"</t>
  </si>
  <si>
    <t>"CID2955701"</t>
  </si>
  <si>
    <t>"CNR8192504"</t>
  </si>
  <si>
    <t>"CID2186576"</t>
  </si>
  <si>
    <t>"CNR5614673"</t>
  </si>
  <si>
    <t>"CID1336911"</t>
  </si>
  <si>
    <t>"CNR8765520"</t>
  </si>
  <si>
    <t>"CID9963800"</t>
  </si>
  <si>
    <t>"CNR2066424"</t>
  </si>
  <si>
    <t>"CID6053450"</t>
  </si>
  <si>
    <t>"CNR4566796"</t>
  </si>
  <si>
    <t>"CID7109338"</t>
  </si>
  <si>
    <t>"CNR4733031"</t>
  </si>
  <si>
    <t>"CID4204069"</t>
  </si>
  <si>
    <t>"CNR7239129"</t>
  </si>
  <si>
    <t>"CID6041120"</t>
  </si>
  <si>
    <t>"CNR7089866"</t>
  </si>
  <si>
    <t>"CID8788583"</t>
  </si>
  <si>
    <t>"CNR8341687"</t>
  </si>
  <si>
    <t>"CID8711272"</t>
  </si>
  <si>
    <t>"CNR9138999"</t>
  </si>
  <si>
    <t>"CID6864518"</t>
  </si>
  <si>
    <t>"CNR4704280"</t>
  </si>
  <si>
    <t>"CID7724201"</t>
  </si>
  <si>
    <t>"CNR9540934"</t>
  </si>
  <si>
    <t>"CID8987509"</t>
  </si>
  <si>
    <t>"CNR9190112"</t>
  </si>
  <si>
    <t>"CID2588384"</t>
  </si>
  <si>
    <t>"CNR3039145"</t>
  </si>
  <si>
    <t>"CID8157003"</t>
  </si>
  <si>
    <t>"CNR1456049"</t>
  </si>
  <si>
    <t>"CID5722305"</t>
  </si>
  <si>
    <t>"CNR9910547"</t>
  </si>
  <si>
    <t>"CID7267162"</t>
  </si>
  <si>
    <t>"CNR4505039"</t>
  </si>
  <si>
    <t>"CID8601598"</t>
  </si>
  <si>
    <t>"CNR2898050"</t>
  </si>
  <si>
    <t>"CID1516570"</t>
  </si>
  <si>
    <t>"CNR2066912"</t>
  </si>
  <si>
    <t>"CID7868182"</t>
  </si>
  <si>
    <t>"CNR4694217"</t>
  </si>
  <si>
    <t>"CID6623498"</t>
  </si>
  <si>
    <t>"CNR9086694"</t>
  </si>
  <si>
    <t>"CID1564650"</t>
  </si>
  <si>
    <t>"CNR3614133"</t>
  </si>
  <si>
    <t>"CID1919404"</t>
  </si>
  <si>
    <t>"CNR5925227"</t>
  </si>
  <si>
    <t>"CID9346641"</t>
  </si>
  <si>
    <t>"CNR2270165"</t>
  </si>
  <si>
    <t>"CID1036906"</t>
  </si>
  <si>
    <t>"CNR5568712"</t>
  </si>
  <si>
    <t>"CID1277528"</t>
  </si>
  <si>
    <t>"CNR8002088"</t>
  </si>
  <si>
    <t>"CID7591158"</t>
  </si>
  <si>
    <t>"CNR4151102"</t>
  </si>
  <si>
    <t>"CID4892044"</t>
  </si>
  <si>
    <t>"CNR4083167"</t>
  </si>
  <si>
    <t>"CID7168786"</t>
  </si>
  <si>
    <t>"CNR4899122"</t>
  </si>
  <si>
    <t>"CID7879061"</t>
  </si>
  <si>
    <t>"CNR3404014"</t>
  </si>
  <si>
    <t>"CID5570791"</t>
  </si>
  <si>
    <t>"CNR4980486"</t>
  </si>
  <si>
    <t>"CID7482953"</t>
  </si>
  <si>
    <t>"CNR3125291"</t>
  </si>
  <si>
    <t>"CID5686688"</t>
  </si>
  <si>
    <t>"CNR8788210"</t>
  </si>
  <si>
    <t>"CID5582299"</t>
  </si>
  <si>
    <t>"CNR2199295"</t>
  </si>
  <si>
    <t>"CID4892084"</t>
  </si>
  <si>
    <t>"CNR5805639"</t>
  </si>
  <si>
    <t>"CID6316344"</t>
  </si>
  <si>
    <t>"CNR8410773"</t>
  </si>
  <si>
    <t>"CID5525050"</t>
  </si>
  <si>
    <t>"CNR5442189"</t>
  </si>
  <si>
    <t>"CID9403434"</t>
  </si>
  <si>
    <t>"CNR1278315"</t>
  </si>
  <si>
    <t>"CID8911337"</t>
  </si>
  <si>
    <t>"CNR7527478"</t>
  </si>
  <si>
    <t>"CID4894520"</t>
  </si>
  <si>
    <t>"CNR4725147"</t>
  </si>
  <si>
    <t>"CID7166094"</t>
  </si>
  <si>
    <t>"CNR5654141"</t>
  </si>
  <si>
    <t>"CID9881226"</t>
  </si>
  <si>
    <t>"CNR9308880"</t>
  </si>
  <si>
    <t>"CID9048500"</t>
  </si>
  <si>
    <t>"CNR7223634"</t>
  </si>
  <si>
    <t>"CID5611923"</t>
  </si>
  <si>
    <t>"CNR8908186"</t>
  </si>
  <si>
    <t>"CID1060467"</t>
  </si>
  <si>
    <t>"CNR6098250"</t>
  </si>
  <si>
    <t>"CID2595479"</t>
  </si>
  <si>
    <t>"CNR7860349"</t>
  </si>
  <si>
    <t>"CID5161952"</t>
  </si>
  <si>
    <t>"CNR7774098"</t>
  </si>
  <si>
    <t>"CID1535567"</t>
  </si>
  <si>
    <t>"CNR8990210"</t>
  </si>
  <si>
    <t>"CID6785239"</t>
  </si>
  <si>
    <t>"CNR1604843"</t>
  </si>
  <si>
    <t>"CID3650524"</t>
  </si>
  <si>
    <t>"CNR5743864"</t>
  </si>
  <si>
    <t>"CID4720271"</t>
  </si>
  <si>
    <t>"CNR7721257"</t>
  </si>
  <si>
    <t>"CID4783718"</t>
  </si>
  <si>
    <t>"CNR7360556"</t>
  </si>
  <si>
    <t>"CID6551070"</t>
  </si>
  <si>
    <t>"CNR6248078"</t>
  </si>
  <si>
    <t>"CID5434628"</t>
  </si>
  <si>
    <t>"CNR7698052"</t>
  </si>
  <si>
    <t>"CID7071135"</t>
  </si>
  <si>
    <t>"CNR4456848"</t>
  </si>
  <si>
    <t>"CID8988573"</t>
  </si>
  <si>
    <t>"CNR5540432"</t>
  </si>
  <si>
    <t>"CID3241367"</t>
  </si>
  <si>
    <t>"CNR3418737"</t>
  </si>
  <si>
    <t>"CID4772721"</t>
  </si>
  <si>
    <t>"CNR2312629"</t>
  </si>
  <si>
    <t>"CID6034675"</t>
  </si>
  <si>
    <t>"CNR3442968"</t>
  </si>
  <si>
    <t>"CID3217784"</t>
  </si>
  <si>
    <t>"CNR5362803"</t>
  </si>
  <si>
    <t>"CID7155427"</t>
  </si>
  <si>
    <t>"CNR8068355"</t>
  </si>
  <si>
    <t>"CID2908322"</t>
  </si>
  <si>
    <t>"CNR7320481"</t>
  </si>
  <si>
    <t>"CID1745963"</t>
  </si>
  <si>
    <t>"CNR9625360"</t>
  </si>
  <si>
    <t>"CID7198592"</t>
  </si>
  <si>
    <t>"CNR7564013"</t>
  </si>
  <si>
    <t>"CID9512652"</t>
  </si>
  <si>
    <t>"CNR4088153"</t>
  </si>
  <si>
    <t>"CID4916643"</t>
  </si>
  <si>
    <t>"CNR3300635"</t>
  </si>
  <si>
    <t>"CID8726709"</t>
  </si>
  <si>
    <t>"CNR7198703"</t>
  </si>
  <si>
    <t>"CID7566355"</t>
  </si>
  <si>
    <t>"CNR5366935"</t>
  </si>
  <si>
    <t>"CID9046824"</t>
  </si>
  <si>
    <t>"CNR5738309"</t>
  </si>
  <si>
    <t>"CID3264136"</t>
  </si>
  <si>
    <t>"CNR2751689"</t>
  </si>
  <si>
    <t>"CID2451322"</t>
  </si>
  <si>
    <t>"CNR1407518"</t>
  </si>
  <si>
    <t>"CID4174424"</t>
  </si>
  <si>
    <t>"CNR9764222"</t>
  </si>
  <si>
    <t>"CID7115581"</t>
  </si>
  <si>
    <t>"CNR8216364"</t>
  </si>
  <si>
    <t>"CID7366872"</t>
  </si>
  <si>
    <t>"CNR4859116"</t>
  </si>
  <si>
    <t>"CID7339139"</t>
  </si>
  <si>
    <t>"CNR5062372"</t>
  </si>
  <si>
    <t>"CID4198911"</t>
  </si>
  <si>
    <t>"CNR3842641"</t>
  </si>
  <si>
    <t>"CID1750914"</t>
  </si>
  <si>
    <t>"CNR4460316"</t>
  </si>
  <si>
    <t>"CID6444247"</t>
  </si>
  <si>
    <t>"CNR1323410"</t>
  </si>
  <si>
    <t>"CID4463798"</t>
  </si>
  <si>
    <t>"CNR2250312"</t>
  </si>
  <si>
    <t>"CID3180078"</t>
  </si>
  <si>
    <t>"CNR4635927"</t>
  </si>
  <si>
    <t>"CID7012211"</t>
  </si>
  <si>
    <t>"CNR9536120"</t>
  </si>
  <si>
    <t>"CID9337094"</t>
  </si>
  <si>
    <t>"CNR7195310"</t>
  </si>
  <si>
    <t>"CID6035944"</t>
  </si>
  <si>
    <t>"CNR5828425"</t>
  </si>
  <si>
    <t>"CID8430067"</t>
  </si>
  <si>
    <t>"CNR5197707"</t>
  </si>
  <si>
    <t>"CID8536713"</t>
  </si>
  <si>
    <t>"CNR5254201"</t>
  </si>
  <si>
    <t>"CID5776348"</t>
  </si>
  <si>
    <t>"CNR8163591"</t>
  </si>
  <si>
    <t>"CID2960805"</t>
  </si>
  <si>
    <t>"CNR1176861"</t>
  </si>
  <si>
    <t>"CID5753303"</t>
  </si>
  <si>
    <t>"CNR5785463"</t>
  </si>
  <si>
    <t>"CID8295105"</t>
  </si>
  <si>
    <t>"CNR6919794"</t>
  </si>
  <si>
    <t>"CID6774748"</t>
  </si>
  <si>
    <t>"CNR9843847"</t>
  </si>
  <si>
    <t>"CID6799716"</t>
  </si>
  <si>
    <t>"CNR4392706"</t>
  </si>
  <si>
    <t>"CID6689563"</t>
  </si>
  <si>
    <t>"CNR9228185"</t>
  </si>
  <si>
    <t>"CID7967244"</t>
  </si>
  <si>
    <t>"CNR5605609"</t>
  </si>
  <si>
    <t>"CID4841601"</t>
  </si>
  <si>
    <t>"CNR6160275"</t>
  </si>
  <si>
    <t>"CID5501411"</t>
  </si>
  <si>
    <t>"CNR2204332"</t>
  </si>
  <si>
    <t>"CID8779024"</t>
  </si>
  <si>
    <t>"CNR7064469"</t>
  </si>
  <si>
    <t>"CID1757129"</t>
  </si>
  <si>
    <t>"CNR8106259"</t>
  </si>
  <si>
    <t>"CID3123435"</t>
  </si>
  <si>
    <t>"CNR6657363"</t>
  </si>
  <si>
    <t>"CID8258687"</t>
  </si>
  <si>
    <t>"CNR5009960"</t>
  </si>
  <si>
    <t>"CID4647984"</t>
  </si>
  <si>
    <t>"CNR5012798"</t>
  </si>
  <si>
    <t>"CID6112870"</t>
  </si>
  <si>
    <t>"CNR1557346"</t>
  </si>
  <si>
    <t>"CID3922737"</t>
  </si>
  <si>
    <t>"CNR5966048"</t>
  </si>
  <si>
    <t>"CID1071287"</t>
  </si>
  <si>
    <t>"CNR3253442"</t>
  </si>
  <si>
    <t>"CID8239451"</t>
  </si>
  <si>
    <t>"CNR4963206"</t>
  </si>
  <si>
    <t>"CID9374785"</t>
  </si>
  <si>
    <t>"CNR4067782"</t>
  </si>
  <si>
    <t>"CID6180494"</t>
  </si>
  <si>
    <t>"CNR9310811"</t>
  </si>
  <si>
    <t>"CID9760512"</t>
  </si>
  <si>
    <t>"CNR5984068"</t>
  </si>
  <si>
    <t>"CID4463716"</t>
  </si>
  <si>
    <t>"CNR2440013"</t>
  </si>
  <si>
    <t>"CID5614936"</t>
  </si>
  <si>
    <t>"CNR1014047"</t>
  </si>
  <si>
    <t>"CID5187884"</t>
  </si>
  <si>
    <t>"CNR4429410"</t>
  </si>
  <si>
    <t>"CID2136964"</t>
  </si>
  <si>
    <t>"CNR7340675"</t>
  </si>
  <si>
    <t>"CID9775644"</t>
  </si>
  <si>
    <t>"CNR4839889"</t>
  </si>
  <si>
    <t>"CID2622337"</t>
  </si>
  <si>
    <t>"CNR4201157"</t>
  </si>
  <si>
    <t>"CID9760707"</t>
  </si>
  <si>
    <t>"CNR2269173"</t>
  </si>
  <si>
    <t>"CID3033035"</t>
  </si>
  <si>
    <t>"CNR3506770"</t>
  </si>
  <si>
    <t>"CID1564724"</t>
  </si>
  <si>
    <t>"CNR6855175"</t>
  </si>
  <si>
    <t>"CID2378462"</t>
  </si>
  <si>
    <t>"CNR8859781"</t>
  </si>
  <si>
    <t>"CID5490176"</t>
  </si>
  <si>
    <t>"CNR2961611"</t>
  </si>
  <si>
    <t>"CID3190517"</t>
  </si>
  <si>
    <t>"CNR5009691"</t>
  </si>
  <si>
    <t>"CID2286725"</t>
  </si>
  <si>
    <t>"CNR6785751"</t>
  </si>
  <si>
    <t>"CID9577024"</t>
  </si>
  <si>
    <t>"CNR6145087"</t>
  </si>
  <si>
    <t>"CID7713985"</t>
  </si>
  <si>
    <t>"CNR7704384"</t>
  </si>
  <si>
    <t>"CID2670324"</t>
  </si>
  <si>
    <t>"CNR5943425"</t>
  </si>
  <si>
    <t>"CID6866756"</t>
  </si>
  <si>
    <t>"CNR5469894"</t>
  </si>
  <si>
    <t>"CID9066685"</t>
  </si>
  <si>
    <t>"CNR1130715"</t>
  </si>
  <si>
    <t>"CID1461556"</t>
  </si>
  <si>
    <t>"CNR1152211"</t>
  </si>
  <si>
    <t>"CID5831862"</t>
  </si>
  <si>
    <t>"CNR8242907"</t>
  </si>
  <si>
    <t>"CID7973188"</t>
  </si>
  <si>
    <t>"CNR1519687"</t>
  </si>
  <si>
    <t>"CID5319443"</t>
  </si>
  <si>
    <t>"CNR2478211"</t>
  </si>
  <si>
    <t>"CID2555454"</t>
  </si>
  <si>
    <t>"CNR7336649"</t>
  </si>
  <si>
    <t>"CID6486485"</t>
  </si>
  <si>
    <t>"CNR2566387"</t>
  </si>
  <si>
    <t>"CID1160147"</t>
  </si>
  <si>
    <t>"CNR6303514"</t>
  </si>
  <si>
    <t>"CID7192109"</t>
  </si>
  <si>
    <t>"CNR9153217"</t>
  </si>
  <si>
    <t>"CID4641211"</t>
  </si>
  <si>
    <t>"CNR2958687"</t>
  </si>
  <si>
    <t>"CID1519444"</t>
  </si>
  <si>
    <t>"CNR9244093"</t>
  </si>
  <si>
    <t>"CID2684363"</t>
  </si>
  <si>
    <t>"CNR4505512"</t>
  </si>
  <si>
    <t>"CID9972042"</t>
  </si>
  <si>
    <t>"CNR2952471"</t>
  </si>
  <si>
    <t>"CID7453414"</t>
  </si>
  <si>
    <t>"CNR6598077"</t>
  </si>
  <si>
    <t>"CID6258739"</t>
  </si>
  <si>
    <t>"CNR9384775"</t>
  </si>
  <si>
    <t>"CID3283799"</t>
  </si>
  <si>
    <t>"CNR8339893"</t>
  </si>
  <si>
    <t>"CID4931264"</t>
  </si>
  <si>
    <t>"CNR8642454"</t>
  </si>
  <si>
    <t>"CID5873082"</t>
  </si>
  <si>
    <t>"CNR4994271"</t>
  </si>
  <si>
    <t>"CID7526547"</t>
  </si>
  <si>
    <t>"CNR1394951"</t>
  </si>
  <si>
    <t>"CID3357025"</t>
  </si>
  <si>
    <t>"CNR1407529"</t>
  </si>
  <si>
    <t>"CID6340251"</t>
  </si>
  <si>
    <t>"CNR4753901"</t>
  </si>
  <si>
    <t>"CID5097394"</t>
  </si>
  <si>
    <t>"CNR9691213"</t>
  </si>
  <si>
    <t>"CID3621515"</t>
  </si>
  <si>
    <t>"CNR8384151"</t>
  </si>
  <si>
    <t>"CID1220681"</t>
  </si>
  <si>
    <t>"CNR3021480"</t>
  </si>
  <si>
    <t>"CID4650265"</t>
  </si>
  <si>
    <t>"CNR5099092"</t>
  </si>
  <si>
    <t>"CID6408750"</t>
  </si>
  <si>
    <t>"CNR9417908"</t>
  </si>
  <si>
    <t>"CID1765887"</t>
  </si>
  <si>
    <t>"CNR5725380"</t>
  </si>
  <si>
    <t>"CID7776460"</t>
  </si>
  <si>
    <t>"CNR9210257"</t>
  </si>
  <si>
    <t>"CID8880509"</t>
  </si>
  <si>
    <t>"CNR9628662"</t>
  </si>
  <si>
    <t>"CID5384137"</t>
  </si>
  <si>
    <t>"CNR4861079"</t>
  </si>
  <si>
    <t>"CID8412868"</t>
  </si>
  <si>
    <t>"CNR6840765"</t>
  </si>
  <si>
    <t>"CID6985236"</t>
  </si>
  <si>
    <t>"CNR7149289"</t>
  </si>
  <si>
    <t>"CID2607906"</t>
  </si>
  <si>
    <t>"CNR5646656"</t>
  </si>
  <si>
    <t>"CID7110646"</t>
  </si>
  <si>
    <t>"CNR9029118"</t>
  </si>
  <si>
    <t>"CID1178335"</t>
  </si>
  <si>
    <t>"CNR1382273"</t>
  </si>
  <si>
    <t>"CID4784516"</t>
  </si>
  <si>
    <t>"CNR6853176"</t>
  </si>
  <si>
    <t>"CID9879542"</t>
  </si>
  <si>
    <t>"CNR4173313"</t>
  </si>
  <si>
    <t>"CID3059204"</t>
  </si>
  <si>
    <t>"CNR6569520"</t>
  </si>
  <si>
    <t>"CID8847335"</t>
  </si>
  <si>
    <t>"CNR4180467"</t>
  </si>
  <si>
    <t>"CID9145538"</t>
  </si>
  <si>
    <t>"CNR2790295"</t>
  </si>
  <si>
    <t>"CID1412150"</t>
  </si>
  <si>
    <t>"CNR7051731"</t>
  </si>
  <si>
    <t>"CID4562056"</t>
  </si>
  <si>
    <t>"CNR7941158"</t>
  </si>
  <si>
    <t>"CID5590862"</t>
  </si>
  <si>
    <t>"CNR6060166"</t>
  </si>
  <si>
    <t>"CID4821084"</t>
  </si>
  <si>
    <t>"CNR3654081"</t>
  </si>
  <si>
    <t>"CID2244993"</t>
  </si>
  <si>
    <t>"CNR5873302"</t>
  </si>
  <si>
    <t>"CID9655995"</t>
  </si>
  <si>
    <t>"CNR2376738"</t>
  </si>
  <si>
    <t>"CID3235147"</t>
  </si>
  <si>
    <t>"CNR9602212"</t>
  </si>
  <si>
    <t>"CID5828701"</t>
  </si>
  <si>
    <t>"CNR6592194"</t>
  </si>
  <si>
    <t>"CID5470490"</t>
  </si>
  <si>
    <t>"CNR7634326"</t>
  </si>
  <si>
    <t>"CID9472411"</t>
  </si>
  <si>
    <t>"CNR2442969"</t>
  </si>
  <si>
    <t>"CID6529917"</t>
  </si>
  <si>
    <t>"CNR2445755"</t>
  </si>
  <si>
    <t>"CID9195579"</t>
  </si>
  <si>
    <t>"CNR2715860"</t>
  </si>
  <si>
    <t>"CID6891894"</t>
  </si>
  <si>
    <t>"CNR1203467"</t>
  </si>
  <si>
    <t>"CID6344325"</t>
  </si>
  <si>
    <t>"CNR2694709"</t>
  </si>
  <si>
    <t>"CID5054240"</t>
  </si>
  <si>
    <t>"CNR7417664"</t>
  </si>
  <si>
    <t>"CID2502556"</t>
  </si>
  <si>
    <t>"CNR8464596"</t>
  </si>
  <si>
    <t>"CID3292156"</t>
  </si>
  <si>
    <t>"CNR3139965"</t>
  </si>
  <si>
    <t>"CID4038754"</t>
  </si>
  <si>
    <t>"CNR2915357"</t>
  </si>
  <si>
    <t>"CID2023665"</t>
  </si>
  <si>
    <t>"CNR9066364"</t>
  </si>
  <si>
    <t>"CID8737089"</t>
  </si>
  <si>
    <t>"CNR5895057"</t>
  </si>
  <si>
    <t>"CID2439467"</t>
  </si>
  <si>
    <t>"CNR2540295"</t>
  </si>
  <si>
    <t>"CID9167744"</t>
  </si>
  <si>
    <t>"CNR6162893"</t>
  </si>
  <si>
    <t>"CID9150546"</t>
  </si>
  <si>
    <t>"CNR6566275"</t>
  </si>
  <si>
    <t>"CID2823911"</t>
  </si>
  <si>
    <t>"CNR2559267"</t>
  </si>
  <si>
    <t>"CID6233700"</t>
  </si>
  <si>
    <t>"CNR4332459"</t>
  </si>
  <si>
    <t>"CID1542415"</t>
  </si>
  <si>
    <t>"CNR3914491"</t>
  </si>
  <si>
    <t>"CID1731276"</t>
  </si>
  <si>
    <t>"CNR8735322"</t>
  </si>
  <si>
    <t>"CID6677999"</t>
  </si>
  <si>
    <t>"CNR7157762"</t>
  </si>
  <si>
    <t>"CID8627938"</t>
  </si>
  <si>
    <t>"CNR1620017"</t>
  </si>
  <si>
    <t>"CID4868040"</t>
  </si>
  <si>
    <t>"CNR9189398"</t>
  </si>
  <si>
    <t>"CID5623131"</t>
  </si>
  <si>
    <t>"CNR9306152"</t>
  </si>
  <si>
    <t>"CID9461842"</t>
  </si>
  <si>
    <t>"CNR4146504"</t>
  </si>
  <si>
    <t>"CID3064978"</t>
  </si>
  <si>
    <t>"CNR4778731"</t>
  </si>
  <si>
    <t>"CID7610889"</t>
  </si>
  <si>
    <t>"CNR2738265"</t>
  </si>
  <si>
    <t>"CID9926474"</t>
  </si>
  <si>
    <t>"CNR6987972"</t>
  </si>
  <si>
    <t>"CID6481982"</t>
  </si>
  <si>
    <t>"CNR8436777"</t>
  </si>
  <si>
    <t>"CID7175114"</t>
  </si>
  <si>
    <t>"CNR3219966"</t>
  </si>
  <si>
    <t>"CID1752407"</t>
  </si>
  <si>
    <t>"CNR5313160"</t>
  </si>
  <si>
    <t>"CID9145519"</t>
  </si>
  <si>
    <t>"CNR4346750"</t>
  </si>
  <si>
    <t>"CID8170921"</t>
  </si>
  <si>
    <t>"CNR7596432"</t>
  </si>
  <si>
    <t>"CID7432968"</t>
  </si>
  <si>
    <t>"CNR7297791"</t>
  </si>
  <si>
    <t>"CID7281986"</t>
  </si>
  <si>
    <t>"CNR9425600"</t>
  </si>
  <si>
    <t>"CID5989176"</t>
  </si>
  <si>
    <t>"CNR3823257"</t>
  </si>
  <si>
    <t>"CID1508646"</t>
  </si>
  <si>
    <t>"CNR8967861"</t>
  </si>
  <si>
    <t>"CID3540282"</t>
  </si>
  <si>
    <t>"CNR4252538"</t>
  </si>
  <si>
    <t>"CID8409955"</t>
  </si>
  <si>
    <t>"CNR1211238"</t>
  </si>
  <si>
    <t>"CID5244516"</t>
  </si>
  <si>
    <t>"CNR8958442"</t>
  </si>
  <si>
    <t>"CID6015541"</t>
  </si>
  <si>
    <t>"CNR2025421"</t>
  </si>
  <si>
    <t>"CID1492057"</t>
  </si>
  <si>
    <t>"CNR1840812"</t>
  </si>
  <si>
    <t>"CID2497733"</t>
  </si>
  <si>
    <t>"CNR8182182"</t>
  </si>
  <si>
    <t>"CID4994675"</t>
  </si>
  <si>
    <t>"CNR9939552"</t>
  </si>
  <si>
    <t>"CID2876086"</t>
  </si>
  <si>
    <t>"CNR6613512"</t>
  </si>
  <si>
    <t>"CID1661297"</t>
  </si>
  <si>
    <t>"CNR4613739"</t>
  </si>
  <si>
    <t>"CID9468231"</t>
  </si>
  <si>
    <t>"CNR8974635"</t>
  </si>
  <si>
    <t>"CID8044093"</t>
  </si>
  <si>
    <t>"CNR8549497"</t>
  </si>
  <si>
    <t>"CID3887828"</t>
  </si>
  <si>
    <t>"CNR9728645"</t>
  </si>
  <si>
    <t>"CID9950053"</t>
  </si>
  <si>
    <t>"CNR5387110"</t>
  </si>
  <si>
    <t>"CID6918354"</t>
  </si>
  <si>
    <t>"CNR9784011"</t>
  </si>
  <si>
    <t>"CID5022682"</t>
  </si>
  <si>
    <t>"CNR8547679"</t>
  </si>
  <si>
    <t>"CID3104034"</t>
  </si>
  <si>
    <t>"CNR8180065"</t>
  </si>
  <si>
    <t>"CID4649453"</t>
  </si>
  <si>
    <t>"CNR1113690"</t>
  </si>
  <si>
    <t>"CID8230386"</t>
  </si>
  <si>
    <t>Lal Quila</t>
  </si>
  <si>
    <t>"CNR4980155"</t>
  </si>
  <si>
    <t>"CID4601365"</t>
  </si>
  <si>
    <t>"CNR6932352"</t>
  </si>
  <si>
    <t>"CID6010357"</t>
  </si>
  <si>
    <t>"CNR2960807"</t>
  </si>
  <si>
    <t>"CID7147857"</t>
  </si>
  <si>
    <t>"CNR3206791"</t>
  </si>
  <si>
    <t>"CID7154060"</t>
  </si>
  <si>
    <t>"CNR1699886"</t>
  </si>
  <si>
    <t>"CID5132568"</t>
  </si>
  <si>
    <t>"CNR6763949"</t>
  </si>
  <si>
    <t>"CID3481963"</t>
  </si>
  <si>
    <t>"CNR4575541"</t>
  </si>
  <si>
    <t>"CID8855641"</t>
  </si>
  <si>
    <t>"CNR7353983"</t>
  </si>
  <si>
    <t>"CID2934266"</t>
  </si>
  <si>
    <t>"CNR2551232"</t>
  </si>
  <si>
    <t>"CID4921473"</t>
  </si>
  <si>
    <t>"CNR4355189"</t>
  </si>
  <si>
    <t>"CID3667293"</t>
  </si>
  <si>
    <t>"CNR6074821"</t>
  </si>
  <si>
    <t>"CID3220681"</t>
  </si>
  <si>
    <t>"CNR7321457"</t>
  </si>
  <si>
    <t>"CID2601371"</t>
  </si>
  <si>
    <t>"CNR8268251"</t>
  </si>
  <si>
    <t>"CID6015431"</t>
  </si>
  <si>
    <t>"CNR2007488"</t>
  </si>
  <si>
    <t>"CID5503761"</t>
  </si>
  <si>
    <t>"CNR2608343"</t>
  </si>
  <si>
    <t>"CID5304970"</t>
  </si>
  <si>
    <t>"CNR6412163"</t>
  </si>
  <si>
    <t>"CID3199156"</t>
  </si>
  <si>
    <t>"CNR4316002"</t>
  </si>
  <si>
    <t>"CID1378252"</t>
  </si>
  <si>
    <t>"CNR1102112"</t>
  </si>
  <si>
    <t>"CID4474837"</t>
  </si>
  <si>
    <t>"CNR6818363"</t>
  </si>
  <si>
    <t>"CID8095753"</t>
  </si>
  <si>
    <t>"CNR9343046"</t>
  </si>
  <si>
    <t>"CID5372136"</t>
  </si>
  <si>
    <t>"CNR2528612"</t>
  </si>
  <si>
    <t>"CID7944156"</t>
  </si>
  <si>
    <t>"CNR6237606"</t>
  </si>
  <si>
    <t>"CID5288041"</t>
  </si>
  <si>
    <t>"CNR4223072"</t>
  </si>
  <si>
    <t>"CID3839108"</t>
  </si>
  <si>
    <t>"CNR3468589"</t>
  </si>
  <si>
    <t>"CID8662732"</t>
  </si>
  <si>
    <t>"CNR1334676"</t>
  </si>
  <si>
    <t>"CID6137231"</t>
  </si>
  <si>
    <t>"CNR8286595"</t>
  </si>
  <si>
    <t>"CID3688360"</t>
  </si>
  <si>
    <t>"CNR9470390"</t>
  </si>
  <si>
    <t>"CID4005123"</t>
  </si>
  <si>
    <t>"CNR1837756"</t>
  </si>
  <si>
    <t>"CID1952359"</t>
  </si>
  <si>
    <t>"CNR9140671"</t>
  </si>
  <si>
    <t>"CID3961912"</t>
  </si>
  <si>
    <t>"CNR1525767"</t>
  </si>
  <si>
    <t>"CID4267626"</t>
  </si>
  <si>
    <t>"CNR2997075"</t>
  </si>
  <si>
    <t>"CID4383879"</t>
  </si>
  <si>
    <t>"CNR1197334"</t>
  </si>
  <si>
    <t>"CID4811646"</t>
  </si>
  <si>
    <t>"CNR7693001"</t>
  </si>
  <si>
    <t>"CID3162922"</t>
  </si>
  <si>
    <t>"CNR1253094"</t>
  </si>
  <si>
    <t>"CID5987358"</t>
  </si>
  <si>
    <t>"CNR8396447"</t>
  </si>
  <si>
    <t>"CID7092427"</t>
  </si>
  <si>
    <t>"CNR5564154"</t>
  </si>
  <si>
    <t>"CID1161874"</t>
  </si>
  <si>
    <t>"CNR9257342"</t>
  </si>
  <si>
    <t>"CID3040152"</t>
  </si>
  <si>
    <t>"CNR1402875"</t>
  </si>
  <si>
    <t>"CID6416624"</t>
  </si>
  <si>
    <t>"CNR2843953"</t>
  </si>
  <si>
    <t>"CID1482677"</t>
  </si>
  <si>
    <t>"CNR7222740"</t>
  </si>
  <si>
    <t>"CID7203480"</t>
  </si>
  <si>
    <t>"CNR9899113"</t>
  </si>
  <si>
    <t>"CID8801951"</t>
  </si>
  <si>
    <t>"CNR6812400"</t>
  </si>
  <si>
    <t>"CID4486632"</t>
  </si>
  <si>
    <t>"CNR4150977"</t>
  </si>
  <si>
    <t>"CID2327849"</t>
  </si>
  <si>
    <t>"CNR3734242"</t>
  </si>
  <si>
    <t>"CID3756393"</t>
  </si>
  <si>
    <t>"CNR1225583"</t>
  </si>
  <si>
    <t>"CID5214580"</t>
  </si>
  <si>
    <t>"CNR5229368"</t>
  </si>
  <si>
    <t>"CID2357762"</t>
  </si>
  <si>
    <t>"CNR1514107"</t>
  </si>
  <si>
    <t>"CID5502329"</t>
  </si>
  <si>
    <t>"CNR5802013"</t>
  </si>
  <si>
    <t>"CID4814890"</t>
  </si>
  <si>
    <t>"CNR9109548"</t>
  </si>
  <si>
    <t>"CID9473312"</t>
  </si>
  <si>
    <t>"CNR2660023"</t>
  </si>
  <si>
    <t>"CID8266020"</t>
  </si>
  <si>
    <t>"CNR5332569"</t>
  </si>
  <si>
    <t>"CID7862170"</t>
  </si>
  <si>
    <t>"CNR6582244"</t>
  </si>
  <si>
    <t>"CID1946537"</t>
  </si>
  <si>
    <t>"CNR9225401"</t>
  </si>
  <si>
    <t>"CID6351880"</t>
  </si>
  <si>
    <t>"CNR9779407"</t>
  </si>
  <si>
    <t>"CID9017905"</t>
  </si>
  <si>
    <t>"CNR7499719"</t>
  </si>
  <si>
    <t>"CID7731156"</t>
  </si>
  <si>
    <t>"CNR1119582"</t>
  </si>
  <si>
    <t>"CID5402994"</t>
  </si>
  <si>
    <t>"CNR8016519"</t>
  </si>
  <si>
    <t>"CID6857817"</t>
  </si>
  <si>
    <t>"CNR9644415"</t>
  </si>
  <si>
    <t>"CID5577509"</t>
  </si>
  <si>
    <t>"CNR5456664"</t>
  </si>
  <si>
    <t>"CID4715517"</t>
  </si>
  <si>
    <t>"CNR4729656"</t>
  </si>
  <si>
    <t>"CID2582691"</t>
  </si>
  <si>
    <t>"CNR6652189"</t>
  </si>
  <si>
    <t>"CID6423494"</t>
  </si>
  <si>
    <t>"CNR2437908"</t>
  </si>
  <si>
    <t>"CID6838450"</t>
  </si>
  <si>
    <t>"CNR5603997"</t>
  </si>
  <si>
    <t>"CID3412071"</t>
  </si>
  <si>
    <t>"CNR9904285"</t>
  </si>
  <si>
    <t>"CID1832976"</t>
  </si>
  <si>
    <t>"CNR2349802"</t>
  </si>
  <si>
    <t>"CID9824071"</t>
  </si>
  <si>
    <t>"CNR3812162"</t>
  </si>
  <si>
    <t>"CID7474910"</t>
  </si>
  <si>
    <t>"CNR6718124"</t>
  </si>
  <si>
    <t>"CID1617069"</t>
  </si>
  <si>
    <t>"CNR6519969"</t>
  </si>
  <si>
    <t>"CID1271357"</t>
  </si>
  <si>
    <t>"CNR8247998"</t>
  </si>
  <si>
    <t>"CID2775210"</t>
  </si>
  <si>
    <t>"CNR7880156"</t>
  </si>
  <si>
    <t>"CID9349348"</t>
  </si>
  <si>
    <t>"CNR8040531"</t>
  </si>
  <si>
    <t>"CID2273432"</t>
  </si>
  <si>
    <t>"CNR5118917"</t>
  </si>
  <si>
    <t>"CID4154067"</t>
  </si>
  <si>
    <t>"CNR5790131"</t>
  </si>
  <si>
    <t>"CID4605629"</t>
  </si>
  <si>
    <t>"CNR8312838"</t>
  </si>
  <si>
    <t>"CID3210950"</t>
  </si>
  <si>
    <t>"CNR8307726"</t>
  </si>
  <si>
    <t>"CID5691528"</t>
  </si>
  <si>
    <t>"CNR3232014"</t>
  </si>
  <si>
    <t>"CID6616993"</t>
  </si>
  <si>
    <t>"CNR8002052"</t>
  </si>
  <si>
    <t>"CID4254414"</t>
  </si>
  <si>
    <t>"CNR8045058"</t>
  </si>
  <si>
    <t>"CID7712950"</t>
  </si>
  <si>
    <t>"CNR5682531"</t>
  </si>
  <si>
    <t>"CID7080169"</t>
  </si>
  <si>
    <t>"CNR5102449"</t>
  </si>
  <si>
    <t>"CID9555252"</t>
  </si>
  <si>
    <t>"CNR9643938"</t>
  </si>
  <si>
    <t>"CID8686033"</t>
  </si>
  <si>
    <t>"CNR9794903"</t>
  </si>
  <si>
    <t>"CID4483406"</t>
  </si>
  <si>
    <t>"CNR7515601"</t>
  </si>
  <si>
    <t>"CID6549525"</t>
  </si>
  <si>
    <t>"CNR5029264"</t>
  </si>
  <si>
    <t>"CID1832188"</t>
  </si>
  <si>
    <t>"CNR6064614"</t>
  </si>
  <si>
    <t>"CID8940207"</t>
  </si>
  <si>
    <t>"CNR1014333"</t>
  </si>
  <si>
    <t>"CID1321465"</t>
  </si>
  <si>
    <t>"CNR4378110"</t>
  </si>
  <si>
    <t>"CID5808772"</t>
  </si>
  <si>
    <t>"CNR6262050"</t>
  </si>
  <si>
    <t>"CID1519615"</t>
  </si>
  <si>
    <t>"CNR3852879"</t>
  </si>
  <si>
    <t>"CID3865550"</t>
  </si>
  <si>
    <t>"CNR8612043"</t>
  </si>
  <si>
    <t>"CID9079035"</t>
  </si>
  <si>
    <t>"CNR7090590"</t>
  </si>
  <si>
    <t>"CID7765452"</t>
  </si>
  <si>
    <t>"CNR9596957"</t>
  </si>
  <si>
    <t>"CID9489055"</t>
  </si>
  <si>
    <t>"CNR3903771"</t>
  </si>
  <si>
    <t>"CID2090352"</t>
  </si>
  <si>
    <t>"CNR1411238"</t>
  </si>
  <si>
    <t>"CID1130305"</t>
  </si>
  <si>
    <t>"CNR7088895"</t>
  </si>
  <si>
    <t>"CID5439093"</t>
  </si>
  <si>
    <t>"CNR6374018"</t>
  </si>
  <si>
    <t>"CID9501499"</t>
  </si>
  <si>
    <t>"CNR1293051"</t>
  </si>
  <si>
    <t>"CID7350062"</t>
  </si>
  <si>
    <t>"CNR4054173"</t>
  </si>
  <si>
    <t>"CID2327200"</t>
  </si>
  <si>
    <t>"CNR2377415"</t>
  </si>
  <si>
    <t>"CID4491822"</t>
  </si>
  <si>
    <t>"CNR7738075"</t>
  </si>
  <si>
    <t>"CID4932452"</t>
  </si>
  <si>
    <t>"CNR7783758"</t>
  </si>
  <si>
    <t>"CID5342012"</t>
  </si>
  <si>
    <t>"CNR4013019"</t>
  </si>
  <si>
    <t>"CID9594819"</t>
  </si>
  <si>
    <t>"CNR8881470"</t>
  </si>
  <si>
    <t>"CID4932698"</t>
  </si>
  <si>
    <t>"CNR2815251"</t>
  </si>
  <si>
    <t>"CID6116938"</t>
  </si>
  <si>
    <t>"CNR6067092"</t>
  </si>
  <si>
    <t>"CID7593764"</t>
  </si>
  <si>
    <t>"CNR7740942"</t>
  </si>
  <si>
    <t>"CID6210867"</t>
  </si>
  <si>
    <t>"CNR4635469"</t>
  </si>
  <si>
    <t>"CID6486028"</t>
  </si>
  <si>
    <t>"CNR9773621"</t>
  </si>
  <si>
    <t>"CID4796051"</t>
  </si>
  <si>
    <t>"CNR5623982"</t>
  </si>
  <si>
    <t>"CID1867596"</t>
  </si>
  <si>
    <t>"CNR7255873"</t>
  </si>
  <si>
    <t>"CID7144242"</t>
  </si>
  <si>
    <t>"CNR9997247"</t>
  </si>
  <si>
    <t>"CID4663643"</t>
  </si>
  <si>
    <t>"CNR9550265"</t>
  </si>
  <si>
    <t>"CID4241778"</t>
  </si>
  <si>
    <t>"CNR2984723"</t>
  </si>
  <si>
    <t>"CID1804405"</t>
  </si>
  <si>
    <t>"CNR1617944"</t>
  </si>
  <si>
    <t>"CID6098062"</t>
  </si>
  <si>
    <t>"CNR1040980"</t>
  </si>
  <si>
    <t>"CID5571818"</t>
  </si>
  <si>
    <t>"CNR9355722"</t>
  </si>
  <si>
    <t>"CID7457062"</t>
  </si>
  <si>
    <t>"CNR9745285"</t>
  </si>
  <si>
    <t>"CID9345233"</t>
  </si>
  <si>
    <t>"CNR2190713"</t>
  </si>
  <si>
    <t>"CID4844037"</t>
  </si>
  <si>
    <t>"CNR8421118"</t>
  </si>
  <si>
    <t>"CID4903185"</t>
  </si>
  <si>
    <t>"CNR8515605"</t>
  </si>
  <si>
    <t>"CID2540657"</t>
  </si>
  <si>
    <t>"CNR5333516"</t>
  </si>
  <si>
    <t>"CID5665850"</t>
  </si>
  <si>
    <t>"CNR8297132"</t>
  </si>
  <si>
    <t>"CID9988553"</t>
  </si>
  <si>
    <t>"CNR9164552"</t>
  </si>
  <si>
    <t>"CID8275193"</t>
  </si>
  <si>
    <t>"CNR8485090"</t>
  </si>
  <si>
    <t>"CID5216991"</t>
  </si>
  <si>
    <t>"CNR3607314"</t>
  </si>
  <si>
    <t>"CID8023764"</t>
  </si>
  <si>
    <t>"CNR9459818"</t>
  </si>
  <si>
    <t>"CID6307222"</t>
  </si>
  <si>
    <t>"CNR6353083"</t>
  </si>
  <si>
    <t>"CID2779684"</t>
  </si>
  <si>
    <t>"CNR4394990"</t>
  </si>
  <si>
    <t>"CID2820306"</t>
  </si>
  <si>
    <t>"CNR6830353"</t>
  </si>
  <si>
    <t>"CID9470650"</t>
  </si>
  <si>
    <t>"CNR7853278"</t>
  </si>
  <si>
    <t>"CID5735140"</t>
  </si>
  <si>
    <t>"CNR7582563"</t>
  </si>
  <si>
    <t>"CID3253580"</t>
  </si>
  <si>
    <t>"CNR3011900"</t>
  </si>
  <si>
    <t>"CID3543348"</t>
  </si>
  <si>
    <t>"CNR7757647"</t>
  </si>
  <si>
    <t>"CID2322190"</t>
  </si>
  <si>
    <t>"CNR2454128"</t>
  </si>
  <si>
    <t>"CID7437817"</t>
  </si>
  <si>
    <t>"CNR2835469"</t>
  </si>
  <si>
    <t>"CID5414240"</t>
  </si>
  <si>
    <t>"CNR4660448"</t>
  </si>
  <si>
    <t>"CID4787728"</t>
  </si>
  <si>
    <t>"CNR2181948"</t>
  </si>
  <si>
    <t>"CID8304340"</t>
  </si>
  <si>
    <t>"CNR3242595"</t>
  </si>
  <si>
    <t>"CID3390496"</t>
  </si>
  <si>
    <t>"CNR5225897"</t>
  </si>
  <si>
    <t>"CID2289109"</t>
  </si>
  <si>
    <t>"CNR8485525"</t>
  </si>
  <si>
    <t>"CID3386400"</t>
  </si>
  <si>
    <t>"CNR6591899"</t>
  </si>
  <si>
    <t>"CID7709961"</t>
  </si>
  <si>
    <t>"CNR1918185"</t>
  </si>
  <si>
    <t>"CID3329113"</t>
  </si>
  <si>
    <t>"CNR6083000"</t>
  </si>
  <si>
    <t>"CID6880325"</t>
  </si>
  <si>
    <t>"CNR4409680"</t>
  </si>
  <si>
    <t>"CID7806785"</t>
  </si>
  <si>
    <t>"CNR8888446"</t>
  </si>
  <si>
    <t>"CID4564685"</t>
  </si>
  <si>
    <t>"CNR8702299"</t>
  </si>
  <si>
    <t>"CID3726780"</t>
  </si>
  <si>
    <t>"CNR1347218"</t>
  </si>
  <si>
    <t>"CID2714982"</t>
  </si>
  <si>
    <t>"CNR8751630"</t>
  </si>
  <si>
    <t>"CID6701309"</t>
  </si>
  <si>
    <t>"CNR3359078"</t>
  </si>
  <si>
    <t>"CID9059706"</t>
  </si>
  <si>
    <t>"CNR9492527"</t>
  </si>
  <si>
    <t>"CID9116359"</t>
  </si>
  <si>
    <t>"CNR4639859"</t>
  </si>
  <si>
    <t>"CID4052856"</t>
  </si>
  <si>
    <t>"CNR9095375"</t>
  </si>
  <si>
    <t>"CID3382507"</t>
  </si>
  <si>
    <t>"CNR4374938"</t>
  </si>
  <si>
    <t>"CID6260372"</t>
  </si>
  <si>
    <t>"CNR9848189"</t>
  </si>
  <si>
    <t>"CID4174741"</t>
  </si>
  <si>
    <t>"CNR8659466"</t>
  </si>
  <si>
    <t>"CID9420538"</t>
  </si>
  <si>
    <t>"CNR8715264"</t>
  </si>
  <si>
    <t>"CID8960211"</t>
  </si>
  <si>
    <t>"CNR9935747"</t>
  </si>
  <si>
    <t>"CID6375103"</t>
  </si>
  <si>
    <t>"CNR8685135"</t>
  </si>
  <si>
    <t>"CID2643458"</t>
  </si>
  <si>
    <t>"CNR4974285"</t>
  </si>
  <si>
    <t>"CID2169140"</t>
  </si>
  <si>
    <t>"CNR7308560"</t>
  </si>
  <si>
    <t>"CID9045762"</t>
  </si>
  <si>
    <t>"CNR7351111"</t>
  </si>
  <si>
    <t>"CID9729883"</t>
  </si>
  <si>
    <t>"CNR6977914"</t>
  </si>
  <si>
    <t>"CID9574283"</t>
  </si>
  <si>
    <t>"CNR3025545"</t>
  </si>
  <si>
    <t>"CID3749271"</t>
  </si>
  <si>
    <t>"CNR1878243"</t>
  </si>
  <si>
    <t>"CID3914821"</t>
  </si>
  <si>
    <t>"CNR2811416"</t>
  </si>
  <si>
    <t>"CID3489874"</t>
  </si>
  <si>
    <t>"CNR5002456"</t>
  </si>
  <si>
    <t>"CID2958474"</t>
  </si>
  <si>
    <t>"CNR3147660"</t>
  </si>
  <si>
    <t>"CID4161249"</t>
  </si>
  <si>
    <t>"CNR2412286"</t>
  </si>
  <si>
    <t>"CID1349136"</t>
  </si>
  <si>
    <t>"CNR3807454"</t>
  </si>
  <si>
    <t>"CID3957434"</t>
  </si>
  <si>
    <t>"CNR9517668"</t>
  </si>
  <si>
    <t>"CID1867642"</t>
  </si>
  <si>
    <t>"CNR2193483"</t>
  </si>
  <si>
    <t>"CID5673861"</t>
  </si>
  <si>
    <t>"CNR6361535"</t>
  </si>
  <si>
    <t>"CID9286934"</t>
  </si>
  <si>
    <t>"CNR5695370"</t>
  </si>
  <si>
    <t>"CID6755589"</t>
  </si>
  <si>
    <t>"CNR6409248"</t>
  </si>
  <si>
    <t>"CID9647825"</t>
  </si>
  <si>
    <t>"CNR1196310"</t>
  </si>
  <si>
    <t>"CID1163068"</t>
  </si>
  <si>
    <t>"CNR6740582"</t>
  </si>
  <si>
    <t>"CID3832892"</t>
  </si>
  <si>
    <t>"CNR6083410"</t>
  </si>
  <si>
    <t>"CID9355857"</t>
  </si>
  <si>
    <t>"CNR7955907"</t>
  </si>
  <si>
    <t>"CID2029974"</t>
  </si>
  <si>
    <t>"CNR2111563"</t>
  </si>
  <si>
    <t>"CID2449130"</t>
  </si>
  <si>
    <t>"CNR4906527"</t>
  </si>
  <si>
    <t>"CID6052473"</t>
  </si>
  <si>
    <t>"CNR7390528"</t>
  </si>
  <si>
    <t>"CID5008221"</t>
  </si>
  <si>
    <t>"CNR8364035"</t>
  </si>
  <si>
    <t>"CID3533057"</t>
  </si>
  <si>
    <t>"CNR7174639"</t>
  </si>
  <si>
    <t>"CID7557390"</t>
  </si>
  <si>
    <t>"CNR1560310"</t>
  </si>
  <si>
    <t>"CID5422444"</t>
  </si>
  <si>
    <t>"CNR3970240"</t>
  </si>
  <si>
    <t>"CID7374279"</t>
  </si>
  <si>
    <t>"CNR4382741"</t>
  </si>
  <si>
    <t>"CID3149458"</t>
  </si>
  <si>
    <t>"CNR7797231"</t>
  </si>
  <si>
    <t>"CID3367527"</t>
  </si>
  <si>
    <t>"CNR6386320"</t>
  </si>
  <si>
    <t>"CID4239191"</t>
  </si>
  <si>
    <t>"CNR8619672"</t>
  </si>
  <si>
    <t>"CID7624742"</t>
  </si>
  <si>
    <t>"CNR1193379"</t>
  </si>
  <si>
    <t>"CID5222740"</t>
  </si>
  <si>
    <t>"CNR5958696"</t>
  </si>
  <si>
    <t>"CID7514435"</t>
  </si>
  <si>
    <t>"CNR8183883"</t>
  </si>
  <si>
    <t>"CID1604632"</t>
  </si>
  <si>
    <t>"CNR6271647"</t>
  </si>
  <si>
    <t>"CID5857943"</t>
  </si>
  <si>
    <t>"CNR3368097"</t>
  </si>
  <si>
    <t>"CID5342876"</t>
  </si>
  <si>
    <t>"CNR2405692"</t>
  </si>
  <si>
    <t>"CID5235850"</t>
  </si>
  <si>
    <t>"CNR4504689"</t>
  </si>
  <si>
    <t>"CID8860496"</t>
  </si>
  <si>
    <t>"CNR4090518"</t>
  </si>
  <si>
    <t>"CID1745153"</t>
  </si>
  <si>
    <t>"CNR3597186"</t>
  </si>
  <si>
    <t>"CID3819273"</t>
  </si>
  <si>
    <t>"CNR2988566"</t>
  </si>
  <si>
    <t>"CID9899554"</t>
  </si>
  <si>
    <t>"CNR8387259"</t>
  </si>
  <si>
    <t>"CID4297352"</t>
  </si>
  <si>
    <t>"CNR2199158"</t>
  </si>
  <si>
    <t>"CID4756285"</t>
  </si>
  <si>
    <t>"CNR2950889"</t>
  </si>
  <si>
    <t>"CID4523333"</t>
  </si>
  <si>
    <t>"CNR8911870"</t>
  </si>
  <si>
    <t>"CID4250474"</t>
  </si>
  <si>
    <t>"CNR7798385"</t>
  </si>
  <si>
    <t>"CID2099999"</t>
  </si>
  <si>
    <t>"CNR4758907"</t>
  </si>
  <si>
    <t>"CID5407822"</t>
  </si>
  <si>
    <t>"CNR6911961"</t>
  </si>
  <si>
    <t>"CID7777597"</t>
  </si>
  <si>
    <t>"CNR6601381"</t>
  </si>
  <si>
    <t>"CID5826087"</t>
  </si>
  <si>
    <t>"CNR4915259"</t>
  </si>
  <si>
    <t>"CID4919793"</t>
  </si>
  <si>
    <t>"CNR2926411"</t>
  </si>
  <si>
    <t>"CID6427273"</t>
  </si>
  <si>
    <t>"CNR9738358"</t>
  </si>
  <si>
    <t>"CID6472958"</t>
  </si>
  <si>
    <t>"CNR5391386"</t>
  </si>
  <si>
    <t>"CID9881299"</t>
  </si>
  <si>
    <t>"CNR8622026"</t>
  </si>
  <si>
    <t>"CID4863126"</t>
  </si>
  <si>
    <t>"CNR7540549"</t>
  </si>
  <si>
    <t>"CID9241944"</t>
  </si>
  <si>
    <t>"CNR5857020"</t>
  </si>
  <si>
    <t>"CID1401158"</t>
  </si>
  <si>
    <t>"CNR5942508"</t>
  </si>
  <si>
    <t>"CID5005415"</t>
  </si>
  <si>
    <t>"CNR3628651"</t>
  </si>
  <si>
    <t>"CID6075253"</t>
  </si>
  <si>
    <t>"CNR5382573"</t>
  </si>
  <si>
    <t>"CID7132603"</t>
  </si>
  <si>
    <t>"CNR9229961"</t>
  </si>
  <si>
    <t>"CID1690186"</t>
  </si>
  <si>
    <t>"CNR8921876"</t>
  </si>
  <si>
    <t>"CID8068764"</t>
  </si>
  <si>
    <t>"CNR1354470"</t>
  </si>
  <si>
    <t>"CID4531973"</t>
  </si>
  <si>
    <t>"CNR4787896"</t>
  </si>
  <si>
    <t>"CID6467433"</t>
  </si>
  <si>
    <t>"CNR5177584"</t>
  </si>
  <si>
    <t>"CID5247355"</t>
  </si>
  <si>
    <t>"CNR2878238"</t>
  </si>
  <si>
    <t>"CID2218993"</t>
  </si>
  <si>
    <t>"CNR8890665"</t>
  </si>
  <si>
    <t>"CID5429192"</t>
  </si>
  <si>
    <t>"CNR1524669"</t>
  </si>
  <si>
    <t>"CID9328632"</t>
  </si>
  <si>
    <t>"CNR1885399"</t>
  </si>
  <si>
    <t>"CID7934398"</t>
  </si>
  <si>
    <t>"CNR4501662"</t>
  </si>
  <si>
    <t>"CID2152677"</t>
  </si>
  <si>
    <t>"CNR7595996"</t>
  </si>
  <si>
    <t>"CID4054315"</t>
  </si>
  <si>
    <t>"CNR7170245"</t>
  </si>
  <si>
    <t>"CID9437617"</t>
  </si>
  <si>
    <t>"CNR5714550"</t>
  </si>
  <si>
    <t>"CID8197961"</t>
  </si>
  <si>
    <t>"CNR3474101"</t>
  </si>
  <si>
    <t>"CID4158599"</t>
  </si>
  <si>
    <t>"CNR5177240"</t>
  </si>
  <si>
    <t>"CID6440222"</t>
  </si>
  <si>
    <t>"CNR4620177"</t>
  </si>
  <si>
    <t>"CID1972533"</t>
  </si>
  <si>
    <t>"CNR8954114"</t>
  </si>
  <si>
    <t>"CID4264123"</t>
  </si>
  <si>
    <t>"CNR1599721"</t>
  </si>
  <si>
    <t>"CID3810535"</t>
  </si>
  <si>
    <t>"CNR2647125"</t>
  </si>
  <si>
    <t>"CID9641231"</t>
  </si>
  <si>
    <t>"CNR4236741"</t>
  </si>
  <si>
    <t>"CID3176600"</t>
  </si>
  <si>
    <t>"CNR7720053"</t>
  </si>
  <si>
    <t>"CID8466729"</t>
  </si>
  <si>
    <t>"CNR5478940"</t>
  </si>
  <si>
    <t>"CID1749983"</t>
  </si>
  <si>
    <t>"CNR2883744"</t>
  </si>
  <si>
    <t>"CID4582446"</t>
  </si>
  <si>
    <t>"CNR8737998"</t>
  </si>
  <si>
    <t>"CID6183084"</t>
  </si>
  <si>
    <t>"CNR2054702"</t>
  </si>
  <si>
    <t>"CID2980558"</t>
  </si>
  <si>
    <t>"CNR1015058"</t>
  </si>
  <si>
    <t>"CID1066576"</t>
  </si>
  <si>
    <t>"CNR9262720"</t>
  </si>
  <si>
    <t>"CID6906507"</t>
  </si>
  <si>
    <t>"CNR3847275"</t>
  </si>
  <si>
    <t>"CID8460871"</t>
  </si>
  <si>
    <t>"CNR2741467"</t>
  </si>
  <si>
    <t>"CID5243272"</t>
  </si>
  <si>
    <t>"CNR6939092"</t>
  </si>
  <si>
    <t>"CID7646791"</t>
  </si>
  <si>
    <t>"CNR4976636"</t>
  </si>
  <si>
    <t>"CID6816039"</t>
  </si>
  <si>
    <t>"CNR9553310"</t>
  </si>
  <si>
    <t>"CID7931768"</t>
  </si>
  <si>
    <t>"CNR7410537"</t>
  </si>
  <si>
    <t>"CID7983370"</t>
  </si>
  <si>
    <t>"CNR6994684"</t>
  </si>
  <si>
    <t>"CID1555665"</t>
  </si>
  <si>
    <t>"CNR3762567"</t>
  </si>
  <si>
    <t>"CID3108623"</t>
  </si>
  <si>
    <t>"CNR2538590"</t>
  </si>
  <si>
    <t>"CID9363567"</t>
  </si>
  <si>
    <t>"CNR2613398"</t>
  </si>
  <si>
    <t>"CID2116488"</t>
  </si>
  <si>
    <t>"CNR8355495"</t>
  </si>
  <si>
    <t>"CID7308464"</t>
  </si>
  <si>
    <t>"CNR8228318"</t>
  </si>
  <si>
    <t>"CID2317986"</t>
  </si>
  <si>
    <t>"CNR5250100"</t>
  </si>
  <si>
    <t>"CID8476687"</t>
  </si>
  <si>
    <t>"CNR8899931"</t>
  </si>
  <si>
    <t>"CID7188742"</t>
  </si>
  <si>
    <t>"CNR9984524"</t>
  </si>
  <si>
    <t>"CID2343499"</t>
  </si>
  <si>
    <t>"CNR9503919"</t>
  </si>
  <si>
    <t>"CID5828260"</t>
  </si>
  <si>
    <t>"CNR2589191"</t>
  </si>
  <si>
    <t>"CID8552101"</t>
  </si>
  <si>
    <t>"CNR6334509"</t>
  </si>
  <si>
    <t>"CID7221694"</t>
  </si>
  <si>
    <t>"CNR9466363"</t>
  </si>
  <si>
    <t>"CID8934229"</t>
  </si>
  <si>
    <t>"CNR9331328"</t>
  </si>
  <si>
    <t>"CID6226450"</t>
  </si>
  <si>
    <t>"CNR4717846"</t>
  </si>
  <si>
    <t>"CID7881372"</t>
  </si>
  <si>
    <t>"CNR6805743"</t>
  </si>
  <si>
    <t>"CID9861963"</t>
  </si>
  <si>
    <t>"CNR3465275"</t>
  </si>
  <si>
    <t>"CID1611625"</t>
  </si>
  <si>
    <t>"CNR2683286"</t>
  </si>
  <si>
    <t>"CID7381705"</t>
  </si>
  <si>
    <t>"CNR9820341"</t>
  </si>
  <si>
    <t>"CID4262864"</t>
  </si>
  <si>
    <t>"CNR8425208"</t>
  </si>
  <si>
    <t>"CID3854923"</t>
  </si>
  <si>
    <t>"CNR9015216"</t>
  </si>
  <si>
    <t>"CID5972058"</t>
  </si>
  <si>
    <t>"CNR4412823"</t>
  </si>
  <si>
    <t>"CID9514535"</t>
  </si>
  <si>
    <t>"CNR4201165"</t>
  </si>
  <si>
    <t>"CID7036125"</t>
  </si>
  <si>
    <t>"CNR8798292"</t>
  </si>
  <si>
    <t>"CID2288750"</t>
  </si>
  <si>
    <t>"CNR2839694"</t>
  </si>
  <si>
    <t>"CID5920753"</t>
  </si>
  <si>
    <t>"CNR3956742"</t>
  </si>
  <si>
    <t>"CID7808548"</t>
  </si>
  <si>
    <t>"CNR8046560"</t>
  </si>
  <si>
    <t>"CID2466290"</t>
  </si>
  <si>
    <t>"CNR1654617"</t>
  </si>
  <si>
    <t>"CID5187644"</t>
  </si>
  <si>
    <t>"CNR7258638"</t>
  </si>
  <si>
    <t>"CID4109157"</t>
  </si>
  <si>
    <t>"CNR8323126"</t>
  </si>
  <si>
    <t>"CID9881657"</t>
  </si>
  <si>
    <t>"CNR2023370"</t>
  </si>
  <si>
    <t>"CID8905593"</t>
  </si>
  <si>
    <t>"CNR4146096"</t>
  </si>
  <si>
    <t>"CID3972255"</t>
  </si>
  <si>
    <t>"CNR2333062"</t>
  </si>
  <si>
    <t>"CID7867803"</t>
  </si>
  <si>
    <t>"CNR7967899"</t>
  </si>
  <si>
    <t>"CID5167087"</t>
  </si>
  <si>
    <t>"CNR2201521"</t>
  </si>
  <si>
    <t>"CID1558009"</t>
  </si>
  <si>
    <t>"CNR7361644"</t>
  </si>
  <si>
    <t>"CID1672574"</t>
  </si>
  <si>
    <t>"CNR2359760"</t>
  </si>
  <si>
    <t>"CID1027354"</t>
  </si>
  <si>
    <t>"CNR6508663"</t>
  </si>
  <si>
    <t>"CID9635275"</t>
  </si>
  <si>
    <t>"CNR9686162"</t>
  </si>
  <si>
    <t>"CID7993266"</t>
  </si>
  <si>
    <t>"CNR6605057"</t>
  </si>
  <si>
    <t>"CID7037271"</t>
  </si>
  <si>
    <t>"CNR6119962"</t>
  </si>
  <si>
    <t>"CID3516661"</t>
  </si>
  <si>
    <t>"CNR8615096"</t>
  </si>
  <si>
    <t>"CID7151907"</t>
  </si>
  <si>
    <t>"CNR9271198"</t>
  </si>
  <si>
    <t>"CID5634862"</t>
  </si>
  <si>
    <t>"CNR3208225"</t>
  </si>
  <si>
    <t>"CID3080984"</t>
  </si>
  <si>
    <t>"CNR3739993"</t>
  </si>
  <si>
    <t>"CID3569673"</t>
  </si>
  <si>
    <t>"CNR3035382"</t>
  </si>
  <si>
    <t>"CID3343040"</t>
  </si>
  <si>
    <t>"CNR1478082"</t>
  </si>
  <si>
    <t>"CID7640810"</t>
  </si>
  <si>
    <t>"CNR2391152"</t>
  </si>
  <si>
    <t>"CID9108394"</t>
  </si>
  <si>
    <t>"CNR1980663"</t>
  </si>
  <si>
    <t>"CID1578122"</t>
  </si>
  <si>
    <t>"CNR3375175"</t>
  </si>
  <si>
    <t>"CID4579736"</t>
  </si>
  <si>
    <t>"CNR9140074"</t>
  </si>
  <si>
    <t>"CID4645028"</t>
  </si>
  <si>
    <t>"CNR9400027"</t>
  </si>
  <si>
    <t>"CID4952223"</t>
  </si>
  <si>
    <t>"CNR7059800"</t>
  </si>
  <si>
    <t>"CID3098652"</t>
  </si>
  <si>
    <t>"CNR5997519"</t>
  </si>
  <si>
    <t>"CID2238203"</t>
  </si>
  <si>
    <t>"CNR4544942"</t>
  </si>
  <si>
    <t>"CID6972808"</t>
  </si>
  <si>
    <t>"CNR4095574"</t>
  </si>
  <si>
    <t>"CID3649587"</t>
  </si>
  <si>
    <t>"CNR3860184"</t>
  </si>
  <si>
    <t>"CID6978062"</t>
  </si>
  <si>
    <t>"CNR2887960"</t>
  </si>
  <si>
    <t>"CID8418878"</t>
  </si>
  <si>
    <t>"CNR8519917"</t>
  </si>
  <si>
    <t>"CID9224467"</t>
  </si>
  <si>
    <t>"CNR6467880"</t>
  </si>
  <si>
    <t>"CID3328793"</t>
  </si>
  <si>
    <t>"CNR4753839"</t>
  </si>
  <si>
    <t>"CID8371169"</t>
  </si>
  <si>
    <t>"CNR5381135"</t>
  </si>
  <si>
    <t>"CID9932224"</t>
  </si>
  <si>
    <t>"CNR4269063"</t>
  </si>
  <si>
    <t>"CID1577409"</t>
  </si>
  <si>
    <t>"CNR3211581"</t>
  </si>
  <si>
    <t>"CID6431116"</t>
  </si>
  <si>
    <t>"CNR8618774"</t>
  </si>
  <si>
    <t>"CID2350414"</t>
  </si>
  <si>
    <t>"CNR4311986"</t>
  </si>
  <si>
    <t>"CID8058972"</t>
  </si>
  <si>
    <t>"CNR9722261"</t>
  </si>
  <si>
    <t>"CID8492596"</t>
  </si>
  <si>
    <t>"CNR3771473"</t>
  </si>
  <si>
    <t>"CID7501051"</t>
  </si>
  <si>
    <t>"CNR6272144"</t>
  </si>
  <si>
    <t>"CID1854440"</t>
  </si>
  <si>
    <t>"CNR8161740"</t>
  </si>
  <si>
    <t>"CID1090339"</t>
  </si>
  <si>
    <t>"CNR5783301"</t>
  </si>
  <si>
    <t>"CID8192626"</t>
  </si>
  <si>
    <t>"CNR7612406"</t>
  </si>
  <si>
    <t>"CID2336007"</t>
  </si>
  <si>
    <t>"CNR7616847"</t>
  </si>
  <si>
    <t>"CID8572257"</t>
  </si>
  <si>
    <t>"CNR1082903"</t>
  </si>
  <si>
    <t>"CID2236812"</t>
  </si>
  <si>
    <t>"CNR1607365"</t>
  </si>
  <si>
    <t>"CID9968475"</t>
  </si>
  <si>
    <t>"CNR1631524"</t>
  </si>
  <si>
    <t>"CID9477071"</t>
  </si>
  <si>
    <t>"CNR8323070"</t>
  </si>
  <si>
    <t>"CID9335765"</t>
  </si>
  <si>
    <t>"CNR7370121"</t>
  </si>
  <si>
    <t>"CID3852572"</t>
  </si>
  <si>
    <t>"CNR4716973"</t>
  </si>
  <si>
    <t>"CID6054851"</t>
  </si>
  <si>
    <t>"CNR7028309"</t>
  </si>
  <si>
    <t>"CID6108155"</t>
  </si>
  <si>
    <t>"CNR4709527"</t>
  </si>
  <si>
    <t>"CID4820583"</t>
  </si>
  <si>
    <t>"CNR3376137"</t>
  </si>
  <si>
    <t>"CID7061321"</t>
  </si>
  <si>
    <t>"CNR2273615"</t>
  </si>
  <si>
    <t>"CID9308750"</t>
  </si>
  <si>
    <t>"CNR7153309"</t>
  </si>
  <si>
    <t>"CID8948066"</t>
  </si>
  <si>
    <t>"CNR5854735"</t>
  </si>
  <si>
    <t>"CID1129838"</t>
  </si>
  <si>
    <t>"CNR7962519"</t>
  </si>
  <si>
    <t>"CID1163062"</t>
  </si>
  <si>
    <t>"CNR2009189"</t>
  </si>
  <si>
    <t>"CID6741813"</t>
  </si>
  <si>
    <t>"CNR1662233"</t>
  </si>
  <si>
    <t>"CID1859373"</t>
  </si>
  <si>
    <t>"CNR1536625"</t>
  </si>
  <si>
    <t>"CID3984935"</t>
  </si>
  <si>
    <t>"CNR5349202"</t>
  </si>
  <si>
    <t>"CID2775454"</t>
  </si>
  <si>
    <t>"CNR2941994"</t>
  </si>
  <si>
    <t>"CID8157196"</t>
  </si>
  <si>
    <t>"CNR4381246"</t>
  </si>
  <si>
    <t>"CID3691369"</t>
  </si>
  <si>
    <t>"CNR5864007"</t>
  </si>
  <si>
    <t>"CID7151802"</t>
  </si>
  <si>
    <t>"CNR6654288"</t>
  </si>
  <si>
    <t>"CID5962536"</t>
  </si>
  <si>
    <t>"CNR7500511"</t>
  </si>
  <si>
    <t>"CID5561994"</t>
  </si>
  <si>
    <t>"CNR4430699"</t>
  </si>
  <si>
    <t>"CID2982706"</t>
  </si>
  <si>
    <t>"CNR8322356"</t>
  </si>
  <si>
    <t>"CID9098570"</t>
  </si>
  <si>
    <t>"CNR1535573"</t>
  </si>
  <si>
    <t>"CID3002633"</t>
  </si>
  <si>
    <t>"CNR3992160"</t>
  </si>
  <si>
    <t>"CID9739632"</t>
  </si>
  <si>
    <t>"CNR1198096"</t>
  </si>
  <si>
    <t>"CID8086845"</t>
  </si>
  <si>
    <t>"CNR5816989"</t>
  </si>
  <si>
    <t>"CID7873655"</t>
  </si>
  <si>
    <t>"CNR8307585"</t>
  </si>
  <si>
    <t>"CID9492482"</t>
  </si>
  <si>
    <t>"CNR8054889"</t>
  </si>
  <si>
    <t>"CID2999732"</t>
  </si>
  <si>
    <t>"CNR2463226"</t>
  </si>
  <si>
    <t>"CID9951493"</t>
  </si>
  <si>
    <t>"CNR7225643"</t>
  </si>
  <si>
    <t>"CID4700437"</t>
  </si>
  <si>
    <t>"CNR3268229"</t>
  </si>
  <si>
    <t>"CID9284112"</t>
  </si>
  <si>
    <t>"CNR7361622"</t>
  </si>
  <si>
    <t>"CID7083121"</t>
  </si>
  <si>
    <t>"CNR9410866"</t>
  </si>
  <si>
    <t>"CID7190039"</t>
  </si>
  <si>
    <t>"CNR5147902"</t>
  </si>
  <si>
    <t>"CID2885204"</t>
  </si>
  <si>
    <t>"CNR9614886"</t>
  </si>
  <si>
    <t>"CID1821022"</t>
  </si>
  <si>
    <t>"CNR5221723"</t>
  </si>
  <si>
    <t>"CID7464307"</t>
  </si>
  <si>
    <t>"CNR3544066"</t>
  </si>
  <si>
    <t>"CID8397158"</t>
  </si>
  <si>
    <t>"CNR5570582"</t>
  </si>
  <si>
    <t>"CID2427555"</t>
  </si>
  <si>
    <t>"CNR7024605"</t>
  </si>
  <si>
    <t>"CID4006049"</t>
  </si>
  <si>
    <t>"CNR6762189"</t>
  </si>
  <si>
    <t>"CID7839425"</t>
  </si>
  <si>
    <t>"CNR7426325"</t>
  </si>
  <si>
    <t>"CID2558426"</t>
  </si>
  <si>
    <t>"CNR3731180"</t>
  </si>
  <si>
    <t>"CID3771080"</t>
  </si>
  <si>
    <t>"CNR6182286"</t>
  </si>
  <si>
    <t>"CID6352567"</t>
  </si>
  <si>
    <t>"CNR9359877"</t>
  </si>
  <si>
    <t>"CID5125295"</t>
  </si>
  <si>
    <t>"CNR6855361"</t>
  </si>
  <si>
    <t>"CID2487666"</t>
  </si>
  <si>
    <t>"CNR4636041"</t>
  </si>
  <si>
    <t>"CID1673362"</t>
  </si>
  <si>
    <t>"CNR4790339"</t>
  </si>
  <si>
    <t>"CID6630984"</t>
  </si>
  <si>
    <t>"CNR1362779"</t>
  </si>
  <si>
    <t>"CID3411520"</t>
  </si>
  <si>
    <t>"CNR5510909"</t>
  </si>
  <si>
    <t>"CID2429512"</t>
  </si>
  <si>
    <t>"CNR5740266"</t>
  </si>
  <si>
    <t>"CID2202498"</t>
  </si>
  <si>
    <t>"CNR6304210"</t>
  </si>
  <si>
    <t>"CID7004065"</t>
  </si>
  <si>
    <t>"CNR4764357"</t>
  </si>
  <si>
    <t>"CID5332461"</t>
  </si>
  <si>
    <t>"CNR4785403"</t>
  </si>
  <si>
    <t>"CID5902697"</t>
  </si>
  <si>
    <t>"CNR4542629"</t>
  </si>
  <si>
    <t>"CID3041962"</t>
  </si>
  <si>
    <t>"CNR8278867"</t>
  </si>
  <si>
    <t>"CID3812415"</t>
  </si>
  <si>
    <t>"CNR2802162"</t>
  </si>
  <si>
    <t>"CID7137628"</t>
  </si>
  <si>
    <t>"CNR7437280"</t>
  </si>
  <si>
    <t>"CID4051507"</t>
  </si>
  <si>
    <t>"CNR3385883"</t>
  </si>
  <si>
    <t>"CID2166972"</t>
  </si>
  <si>
    <t>"CNR5445374"</t>
  </si>
  <si>
    <t>"CID1730965"</t>
  </si>
  <si>
    <t>"CNR1648129"</t>
  </si>
  <si>
    <t>"CID2058750"</t>
  </si>
  <si>
    <t>"CNR9965366"</t>
  </si>
  <si>
    <t>"CID2106484"</t>
  </si>
  <si>
    <t>"CNR1990837"</t>
  </si>
  <si>
    <t>"CID2788415"</t>
  </si>
  <si>
    <t>"CNR5034715"</t>
  </si>
  <si>
    <t>"CID3624779"</t>
  </si>
  <si>
    <t>"CNR2892299"</t>
  </si>
  <si>
    <t>"CID4979310"</t>
  </si>
  <si>
    <t>"CNR3248907"</t>
  </si>
  <si>
    <t>"CID3684089"</t>
  </si>
  <si>
    <t>"CNR8369327"</t>
  </si>
  <si>
    <t>"CID8127113"</t>
  </si>
  <si>
    <t>"CNR4031538"</t>
  </si>
  <si>
    <t>"CID6739418"</t>
  </si>
  <si>
    <t>"CNR1931320"</t>
  </si>
  <si>
    <t>"CID5516242"</t>
  </si>
  <si>
    <t>"CNR4641142"</t>
  </si>
  <si>
    <t>"CID3158671"</t>
  </si>
  <si>
    <t>"CNR9372443"</t>
  </si>
  <si>
    <t>"CID7501871"</t>
  </si>
  <si>
    <t>"CNR9256359"</t>
  </si>
  <si>
    <t>"CID8953854"</t>
  </si>
  <si>
    <t>"CNR6429493"</t>
  </si>
  <si>
    <t>"CID9957540"</t>
  </si>
  <si>
    <t>"CNR4194098"</t>
  </si>
  <si>
    <t>"CID2914610"</t>
  </si>
  <si>
    <t>"CNR1282969"</t>
  </si>
  <si>
    <t>"CID7750154"</t>
  </si>
  <si>
    <t>"CNR2448512"</t>
  </si>
  <si>
    <t>"CID3737693"</t>
  </si>
  <si>
    <t>"CNR8842621"</t>
  </si>
  <si>
    <t>"CID8490992"</t>
  </si>
  <si>
    <t>"CNR4083802"</t>
  </si>
  <si>
    <t>"CID8084093"</t>
  </si>
  <si>
    <t>"CNR8860563"</t>
  </si>
  <si>
    <t>"CID4960065"</t>
  </si>
  <si>
    <t>"CNR4065157"</t>
  </si>
  <si>
    <t>"CID7828273"</t>
  </si>
  <si>
    <t>"CNR8924549"</t>
  </si>
  <si>
    <t>"CID3674208"</t>
  </si>
  <si>
    <t>"CNR5204972"</t>
  </si>
  <si>
    <t>"CID3125304"</t>
  </si>
  <si>
    <t>"CNR5375834"</t>
  </si>
  <si>
    <t>"CID3954735"</t>
  </si>
  <si>
    <t>"CNR1363917"</t>
  </si>
  <si>
    <t>"CID7018987"</t>
  </si>
  <si>
    <t>"CNR2163400"</t>
  </si>
  <si>
    <t>"CID3016035"</t>
  </si>
  <si>
    <t>"CNR4743276"</t>
  </si>
  <si>
    <t>"CID7689074"</t>
  </si>
  <si>
    <t>"CNR4086024"</t>
  </si>
  <si>
    <t>"CID3851083"</t>
  </si>
  <si>
    <t>"CNR5063044"</t>
  </si>
  <si>
    <t>"CID6199612"</t>
  </si>
  <si>
    <t>"CNR2695805"</t>
  </si>
  <si>
    <t>"CID8486542"</t>
  </si>
  <si>
    <t>"CNR1586231"</t>
  </si>
  <si>
    <t>"CID9858226"</t>
  </si>
  <si>
    <t>"CNR3409271"</t>
  </si>
  <si>
    <t>"CID8598402"</t>
  </si>
  <si>
    <t>"CNR8876033"</t>
  </si>
  <si>
    <t>"CID8559952"</t>
  </si>
  <si>
    <t>"CNR5745393"</t>
  </si>
  <si>
    <t>"CID4805616"</t>
  </si>
  <si>
    <t>"CNR4760449"</t>
  </si>
  <si>
    <t>"CID2823760"</t>
  </si>
  <si>
    <t>"CNR3766529"</t>
  </si>
  <si>
    <t>"CID7083860"</t>
  </si>
  <si>
    <t>"CNR5133492"</t>
  </si>
  <si>
    <t>"CID1145516"</t>
  </si>
  <si>
    <t>"CNR7831079"</t>
  </si>
  <si>
    <t>"CID5660745"</t>
  </si>
  <si>
    <t>"CNR1918071"</t>
  </si>
  <si>
    <t>"CID9391046"</t>
  </si>
  <si>
    <t>"CNR7845680"</t>
  </si>
  <si>
    <t>"CID5618918"</t>
  </si>
  <si>
    <t>"CNR1370763"</t>
  </si>
  <si>
    <t>"CID3460596"</t>
  </si>
  <si>
    <t>"CNR6115856"</t>
  </si>
  <si>
    <t>"CID7934261"</t>
  </si>
  <si>
    <t>"CNR1501051"</t>
  </si>
  <si>
    <t>"CID7576837"</t>
  </si>
  <si>
    <t>"CNR2711067"</t>
  </si>
  <si>
    <t>"CID2346632"</t>
  </si>
  <si>
    <t>"CNR7515327"</t>
  </si>
  <si>
    <t>"CID5012342"</t>
  </si>
  <si>
    <t>"CNR2286625"</t>
  </si>
  <si>
    <t>"CID3500853"</t>
  </si>
  <si>
    <t>"CNR3188026"</t>
  </si>
  <si>
    <t>"CID9149724"</t>
  </si>
  <si>
    <t>"CNR7969903"</t>
  </si>
  <si>
    <t>"CID5405393"</t>
  </si>
  <si>
    <t>"CNR8373252"</t>
  </si>
  <si>
    <t>"CID8974140"</t>
  </si>
  <si>
    <t>"CNR9166609"</t>
  </si>
  <si>
    <t>"CID3533817"</t>
  </si>
  <si>
    <t>"CNR1935956"</t>
  </si>
  <si>
    <t>"CID9140298"</t>
  </si>
  <si>
    <t>"CNR5659221"</t>
  </si>
  <si>
    <t>"CID7389969"</t>
  </si>
  <si>
    <t>"CNR8474273"</t>
  </si>
  <si>
    <t>"CID3360451"</t>
  </si>
  <si>
    <t>"CNR1279739"</t>
  </si>
  <si>
    <t>"CID5138488"</t>
  </si>
  <si>
    <t>"CNR4613271"</t>
  </si>
  <si>
    <t>"CID7247748"</t>
  </si>
  <si>
    <t>"CNR1846576"</t>
  </si>
  <si>
    <t>"CID1498694"</t>
  </si>
  <si>
    <t>"CNR2689700"</t>
  </si>
  <si>
    <t>"CID1448742"</t>
  </si>
  <si>
    <t>"CNR4825679"</t>
  </si>
  <si>
    <t>"CID4709121"</t>
  </si>
  <si>
    <t>"CNR5766161"</t>
  </si>
  <si>
    <t>"CID4882423"</t>
  </si>
  <si>
    <t>"CNR8703209"</t>
  </si>
  <si>
    <t>"CID1396836"</t>
  </si>
  <si>
    <t>"CNR3578253"</t>
  </si>
  <si>
    <t>"CID2458793"</t>
  </si>
  <si>
    <t>"CNR7204316"</t>
  </si>
  <si>
    <t>"CID9883071"</t>
  </si>
  <si>
    <t>"CNR9612899"</t>
  </si>
  <si>
    <t>"CID4773093"</t>
  </si>
  <si>
    <t>"CNR9097201"</t>
  </si>
  <si>
    <t>"CID6570391"</t>
  </si>
  <si>
    <t>"CNR8358204"</t>
  </si>
  <si>
    <t>"CID2994001"</t>
  </si>
  <si>
    <t>"CNR4435906"</t>
  </si>
  <si>
    <t>"CID5907798"</t>
  </si>
  <si>
    <t>"CNR9515948"</t>
  </si>
  <si>
    <t>"CID2133117"</t>
  </si>
  <si>
    <t>"CNR3369312"</t>
  </si>
  <si>
    <t>"CID6510470"</t>
  </si>
  <si>
    <t>"CNR2910062"</t>
  </si>
  <si>
    <t>"CID3436001"</t>
  </si>
  <si>
    <t>"CNR6214573"</t>
  </si>
  <si>
    <t>"CID8049463"</t>
  </si>
  <si>
    <t>"CNR9066953"</t>
  </si>
  <si>
    <t>"CID9062877"</t>
  </si>
  <si>
    <t>"CNR9616067"</t>
  </si>
  <si>
    <t>"CID6112424"</t>
  </si>
  <si>
    <t>"CNR6238968"</t>
  </si>
  <si>
    <t>"CID3500396"</t>
  </si>
  <si>
    <t>"CNR1646725"</t>
  </si>
  <si>
    <t>"CID7157628"</t>
  </si>
  <si>
    <t>"CNR2727388"</t>
  </si>
  <si>
    <t>"CID6495062"</t>
  </si>
  <si>
    <t>"CNR3986964"</t>
  </si>
  <si>
    <t>"CID5509253"</t>
  </si>
  <si>
    <t>"CNR4446975"</t>
  </si>
  <si>
    <t>"CID6311427"</t>
  </si>
  <si>
    <t>"CNR6362039"</t>
  </si>
  <si>
    <t>"CID1477494"</t>
  </si>
  <si>
    <t>"CNR9426012"</t>
  </si>
  <si>
    <t>"CID7989784"</t>
  </si>
  <si>
    <t>"CNR1224485"</t>
  </si>
  <si>
    <t>"CID9385201"</t>
  </si>
  <si>
    <t>"CNR7359854"</t>
  </si>
  <si>
    <t>"CID6374906"</t>
  </si>
  <si>
    <t>"CNR8465345"</t>
  </si>
  <si>
    <t>"CID1674359"</t>
  </si>
  <si>
    <t>"CNR6623045"</t>
  </si>
  <si>
    <t>"CID9202066"</t>
  </si>
  <si>
    <t>"CNR1632782"</t>
  </si>
  <si>
    <t>"CID2967332"</t>
  </si>
  <si>
    <t>"CNR6336375"</t>
  </si>
  <si>
    <t>"CID7874381"</t>
  </si>
  <si>
    <t>"CNR3866256"</t>
  </si>
  <si>
    <t>"CID4531726"</t>
  </si>
  <si>
    <t>"CNR1997739"</t>
  </si>
  <si>
    <t>"CID3565599"</t>
  </si>
  <si>
    <t>"CNR1518008"</t>
  </si>
  <si>
    <t>"CID4659358"</t>
  </si>
  <si>
    <t>"CNR2158909"</t>
  </si>
  <si>
    <t>"CID5757692"</t>
  </si>
  <si>
    <t>"CNR3511683"</t>
  </si>
  <si>
    <t>"CID8777017"</t>
  </si>
  <si>
    <t>"CNR5288660"</t>
  </si>
  <si>
    <t>"CID1276785"</t>
  </si>
  <si>
    <t>"CNR3682388"</t>
  </si>
  <si>
    <t>"CID8866263"</t>
  </si>
  <si>
    <t>"CNR6864738"</t>
  </si>
  <si>
    <t>"CID3777174"</t>
  </si>
  <si>
    <t>"CNR6463043"</t>
  </si>
  <si>
    <t>"CID5894772"</t>
  </si>
  <si>
    <t>"CNR4122330"</t>
  </si>
  <si>
    <t>"CID3999654"</t>
  </si>
  <si>
    <t>"CNR4377050"</t>
  </si>
  <si>
    <t>"CID1142441"</t>
  </si>
  <si>
    <t>"CNR2485485"</t>
  </si>
  <si>
    <t>"CID4562133"</t>
  </si>
  <si>
    <t>"CNR9850998"</t>
  </si>
  <si>
    <t>"CID7150305"</t>
  </si>
  <si>
    <t>"CNR7750650"</t>
  </si>
  <si>
    <t>"CID4681551"</t>
  </si>
  <si>
    <t>"CNR4233198"</t>
  </si>
  <si>
    <t>"CID5829748"</t>
  </si>
  <si>
    <t>"CNR5271440"</t>
  </si>
  <si>
    <t>"CID5739102"</t>
  </si>
  <si>
    <t>"CNR3150116"</t>
  </si>
  <si>
    <t>"CID6616144"</t>
  </si>
  <si>
    <t>"CNR7095548"</t>
  </si>
  <si>
    <t>"CID4174760"</t>
  </si>
  <si>
    <t>"CNR8936413"</t>
  </si>
  <si>
    <t>"CID7138023"</t>
  </si>
  <si>
    <t>"CNR3698954"</t>
  </si>
  <si>
    <t>"CID4375770"</t>
  </si>
  <si>
    <t>"CNR7660356"</t>
  </si>
  <si>
    <t>"CID3275292"</t>
  </si>
  <si>
    <t>"CNR1879548"</t>
  </si>
  <si>
    <t>"CID3383998"</t>
  </si>
  <si>
    <t>"CNR7758297"</t>
  </si>
  <si>
    <t>"CID2361664"</t>
  </si>
  <si>
    <t>"CNR4271932"</t>
  </si>
  <si>
    <t>"CID2081167"</t>
  </si>
  <si>
    <t>"CNR1862594"</t>
  </si>
  <si>
    <t>"CID6087146"</t>
  </si>
  <si>
    <t>"CNR1850833"</t>
  </si>
  <si>
    <t>"CID5491749"</t>
  </si>
  <si>
    <t>"CNR1339167"</t>
  </si>
  <si>
    <t>"CID8972009"</t>
  </si>
  <si>
    <t>"CNR6633026"</t>
  </si>
  <si>
    <t>"CID7704764"</t>
  </si>
  <si>
    <t>"CNR8471962"</t>
  </si>
  <si>
    <t>"CID8507268"</t>
  </si>
  <si>
    <t>"CNR2065228"</t>
  </si>
  <si>
    <t>"CID5475464"</t>
  </si>
  <si>
    <t>"CNR6094728"</t>
  </si>
  <si>
    <t>"CID6723202"</t>
  </si>
  <si>
    <t>"CNR9293589"</t>
  </si>
  <si>
    <t>"CID3024780"</t>
  </si>
  <si>
    <t>"CNR3988951"</t>
  </si>
  <si>
    <t>"CID2055059"</t>
  </si>
  <si>
    <t>"CNR8509244"</t>
  </si>
  <si>
    <t>"CID9196634"</t>
  </si>
  <si>
    <t>"CNR2416583"</t>
  </si>
  <si>
    <t>"CID3611450"</t>
  </si>
  <si>
    <t>"CNR2876939"</t>
  </si>
  <si>
    <t>"CID4237098"</t>
  </si>
  <si>
    <t>"CNR4779728"</t>
  </si>
  <si>
    <t>"CID9557780"</t>
  </si>
  <si>
    <t>"CNR1906607"</t>
  </si>
  <si>
    <t>"CID8863025"</t>
  </si>
  <si>
    <t>"CNR4652883"</t>
  </si>
  <si>
    <t>"CID3266133"</t>
  </si>
  <si>
    <t>"CNR7174467"</t>
  </si>
  <si>
    <t>"CID5465827"</t>
  </si>
  <si>
    <t>"CNR5474402"</t>
  </si>
  <si>
    <t>"CID6900692"</t>
  </si>
  <si>
    <t>"CNR2187888"</t>
  </si>
  <si>
    <t>"CID1586071"</t>
  </si>
  <si>
    <t>"CNR8403061"</t>
  </si>
  <si>
    <t>"CID5865925"</t>
  </si>
  <si>
    <t>"CNR6078220"</t>
  </si>
  <si>
    <t>"CID6744764"</t>
  </si>
  <si>
    <t>"CNR3131454"</t>
  </si>
  <si>
    <t>"CID8718968"</t>
  </si>
  <si>
    <t>"CNR1063019"</t>
  </si>
  <si>
    <t>"CID3475910"</t>
  </si>
  <si>
    <t>"CNR9098064"</t>
  </si>
  <si>
    <t>"CID4848656"</t>
  </si>
  <si>
    <t>"CNR3487507"</t>
  </si>
  <si>
    <t>"CID5113216"</t>
  </si>
  <si>
    <t>"CNR7344928"</t>
  </si>
  <si>
    <t>"CID6662231"</t>
  </si>
  <si>
    <t>"CNR4208370"</t>
  </si>
  <si>
    <t>"CID5296529"</t>
  </si>
  <si>
    <t>"CNR4423001"</t>
  </si>
  <si>
    <t>"CID6188095"</t>
  </si>
  <si>
    <t>"CNR4562372"</t>
  </si>
  <si>
    <t>"CID9991179"</t>
  </si>
  <si>
    <t>"CNR7979297"</t>
  </si>
  <si>
    <t>"CID7031065"</t>
  </si>
  <si>
    <t>"CNR2590172"</t>
  </si>
  <si>
    <t>"CID2731380"</t>
  </si>
  <si>
    <t>"CNR8331775"</t>
  </si>
  <si>
    <t>"CID6450159"</t>
  </si>
  <si>
    <t>"CNR6285364"</t>
  </si>
  <si>
    <t>"CID3279345"</t>
  </si>
  <si>
    <t>"CNR3527441"</t>
  </si>
  <si>
    <t>"CID1361921"</t>
  </si>
  <si>
    <t>"CNR5408466"</t>
  </si>
  <si>
    <t>"CID1868442"</t>
  </si>
  <si>
    <t>"CNR5851466"</t>
  </si>
  <si>
    <t>"CID8072951"</t>
  </si>
  <si>
    <t>"CNR8311436"</t>
  </si>
  <si>
    <t>"CID5650687"</t>
  </si>
  <si>
    <t>"CNR7867304"</t>
  </si>
  <si>
    <t>"CID7382209"</t>
  </si>
  <si>
    <t>"CNR7389701"</t>
  </si>
  <si>
    <t>"CID5092129"</t>
  </si>
  <si>
    <t>"CNR8658191"</t>
  </si>
  <si>
    <t>"CID4667107"</t>
  </si>
  <si>
    <t>"CNR8721367"</t>
  </si>
  <si>
    <t>"CID8035793"</t>
  </si>
  <si>
    <t>"CNR3884384"</t>
  </si>
  <si>
    <t>"CID8014396"</t>
  </si>
  <si>
    <t>"CNR3905714"</t>
  </si>
  <si>
    <t>"CID8931547"</t>
  </si>
  <si>
    <t>"CNR6152848"</t>
  </si>
  <si>
    <t>"CID3821860"</t>
  </si>
  <si>
    <t>"CNR2200859"</t>
  </si>
  <si>
    <t>"CID6727040"</t>
  </si>
  <si>
    <t>"CNR6640473"</t>
  </si>
  <si>
    <t>"CID2669162"</t>
  </si>
  <si>
    <t>"CNR8602745"</t>
  </si>
  <si>
    <t>"CID6173644"</t>
  </si>
  <si>
    <t>"CNR9352835"</t>
  </si>
  <si>
    <t>"CID4457487"</t>
  </si>
  <si>
    <t>"CNR8100419"</t>
  </si>
  <si>
    <t>"CID6692588"</t>
  </si>
  <si>
    <t>"CNR2814652"</t>
  </si>
  <si>
    <t>"CID4581539"</t>
  </si>
  <si>
    <t>"CNR8035837"</t>
  </si>
  <si>
    <t>"CID8265637"</t>
  </si>
  <si>
    <t>"CNR1848296"</t>
  </si>
  <si>
    <t>"CID8604615"</t>
  </si>
  <si>
    <t>"CNR3979470"</t>
  </si>
  <si>
    <t>"CID2119463"</t>
  </si>
  <si>
    <t>"CNR2318755"</t>
  </si>
  <si>
    <t>"CID7837406"</t>
  </si>
  <si>
    <t>"CNR3360741"</t>
  </si>
  <si>
    <t>"CID6511674"</t>
  </si>
  <si>
    <t>"CNR7710350"</t>
  </si>
  <si>
    <t>"CID7033162"</t>
  </si>
  <si>
    <t>"CNR6077256"</t>
  </si>
  <si>
    <t>"CID8753757"</t>
  </si>
  <si>
    <t>"CNR9047135"</t>
  </si>
  <si>
    <t>"CID6857695"</t>
  </si>
  <si>
    <t>"CNR2829477"</t>
  </si>
  <si>
    <t>"CID8764825"</t>
  </si>
  <si>
    <t>"CNR6570807"</t>
  </si>
  <si>
    <t>"CID5965629"</t>
  </si>
  <si>
    <t>"CNR4783118"</t>
  </si>
  <si>
    <t>"CID3710964"</t>
  </si>
  <si>
    <t>"CNR3920468"</t>
  </si>
  <si>
    <t>"CID9192106"</t>
  </si>
  <si>
    <t>"CNR8734614"</t>
  </si>
  <si>
    <t>"CID5457947"</t>
  </si>
  <si>
    <t>"CNR2940039"</t>
  </si>
  <si>
    <t>"CID5570675"</t>
  </si>
  <si>
    <t>"CNR5977963"</t>
  </si>
  <si>
    <t>"CID4969846"</t>
  </si>
  <si>
    <t>"CNR7404881"</t>
  </si>
  <si>
    <t>"CID2753595"</t>
  </si>
  <si>
    <t>"CNR4266422"</t>
  </si>
  <si>
    <t>"CID4272727"</t>
  </si>
  <si>
    <t>"CNR2422547"</t>
  </si>
  <si>
    <t>"CID7269888"</t>
  </si>
  <si>
    <t>"CNR6461404"</t>
  </si>
  <si>
    <t>"CID6823770"</t>
  </si>
  <si>
    <t>"CNR6414402"</t>
  </si>
  <si>
    <t>"CID3449198"</t>
  </si>
  <si>
    <t>"CNR2682037"</t>
  </si>
  <si>
    <t>"CID8280197"</t>
  </si>
  <si>
    <t>"CNR2412683"</t>
  </si>
  <si>
    <t>"CID6579742"</t>
  </si>
  <si>
    <t>"CNR4086586"</t>
  </si>
  <si>
    <t>"CID8199368"</t>
  </si>
  <si>
    <t>"CNR7434952"</t>
  </si>
  <si>
    <t>"CID3124125"</t>
  </si>
  <si>
    <t>"CNR5724237"</t>
  </si>
  <si>
    <t>"CID5731938"</t>
  </si>
  <si>
    <t>"CNR9105289"</t>
  </si>
  <si>
    <t>"CID5473405"</t>
  </si>
  <si>
    <t>"CNR8140892"</t>
  </si>
  <si>
    <t>"CID1641337"</t>
  </si>
  <si>
    <t>"CNR3911009"</t>
  </si>
  <si>
    <t>"CID6376854"</t>
  </si>
  <si>
    <t>"CNR7881174"</t>
  </si>
  <si>
    <t>"CID1406656"</t>
  </si>
  <si>
    <t>"CNR6234496"</t>
  </si>
  <si>
    <t>"CID2254882"</t>
  </si>
  <si>
    <t>"CNR7294075"</t>
  </si>
  <si>
    <t>"CID6392882"</t>
  </si>
  <si>
    <t>"CNR6930200"</t>
  </si>
  <si>
    <t>"CID2621252"</t>
  </si>
  <si>
    <t>"CNR7500978"</t>
  </si>
  <si>
    <t>"CID3116920"</t>
  </si>
  <si>
    <t>"CNR4384581"</t>
  </si>
  <si>
    <t>"CID6788724"</t>
  </si>
  <si>
    <t>"CNR9213654"</t>
  </si>
  <si>
    <t>"CID3125976"</t>
  </si>
  <si>
    <t>"CNR6103117"</t>
  </si>
  <si>
    <t>"CID7297645"</t>
  </si>
  <si>
    <t>"CNR9567421"</t>
  </si>
  <si>
    <t>"CID4263992"</t>
  </si>
  <si>
    <t>"CNR4440585"</t>
  </si>
  <si>
    <t>"CID9563353"</t>
  </si>
  <si>
    <t>"CNR2126335"</t>
  </si>
  <si>
    <t>"CID3268404"</t>
  </si>
  <si>
    <t>"CNR4701328"</t>
  </si>
  <si>
    <t>"CID3166317"</t>
  </si>
  <si>
    <t>"CNR2663745"</t>
  </si>
  <si>
    <t>"CID7818797"</t>
  </si>
  <si>
    <t>"CNR6628353"</t>
  </si>
  <si>
    <t>"CID8644192"</t>
  </si>
  <si>
    <t>"CNR5349006"</t>
  </si>
  <si>
    <t>"CID7801739"</t>
  </si>
  <si>
    <t>"CNR2966974"</t>
  </si>
  <si>
    <t>"CID5196326"</t>
  </si>
  <si>
    <t>"CNR6471732"</t>
  </si>
  <si>
    <t>"CID8604432"</t>
  </si>
  <si>
    <t>"CNR4320305"</t>
  </si>
  <si>
    <t>"CID1767919"</t>
  </si>
  <si>
    <t>"CNR6955003"</t>
  </si>
  <si>
    <t>"CID3120064"</t>
  </si>
  <si>
    <t>"CNR6242669"</t>
  </si>
  <si>
    <t>"CID7730528"</t>
  </si>
  <si>
    <t>"CNR5803170"</t>
  </si>
  <si>
    <t>"CID3781033"</t>
  </si>
  <si>
    <t>"CNR2472912"</t>
  </si>
  <si>
    <t>"CID6714573"</t>
  </si>
  <si>
    <t>"CNR9749536"</t>
  </si>
  <si>
    <t>"CID9719978"</t>
  </si>
  <si>
    <t>"CNR5765982"</t>
  </si>
  <si>
    <t>"CID1580809"</t>
  </si>
  <si>
    <t>"CNR2386376"</t>
  </si>
  <si>
    <t>"CID4198435"</t>
  </si>
  <si>
    <t>"CNR6006351"</t>
  </si>
  <si>
    <t>"CID6272410"</t>
  </si>
  <si>
    <t>"CNR4696389"</t>
  </si>
  <si>
    <t>"CID6634327"</t>
  </si>
  <si>
    <t>"CNR7842897"</t>
  </si>
  <si>
    <t>"CID9682469"</t>
  </si>
  <si>
    <t>"CNR7373817"</t>
  </si>
  <si>
    <t>"CID2106539"</t>
  </si>
  <si>
    <t>"CNR7886440"</t>
  </si>
  <si>
    <t>"CID9017268"</t>
  </si>
  <si>
    <t>"CNR1185434"</t>
  </si>
  <si>
    <t>"CID5838933"</t>
  </si>
  <si>
    <t>"CNR5201278"</t>
  </si>
  <si>
    <t>"CID7536959"</t>
  </si>
  <si>
    <t>"CNR5636142"</t>
  </si>
  <si>
    <t>"CID1200846"</t>
  </si>
  <si>
    <t>"CNR8588773"</t>
  </si>
  <si>
    <t>"CID5275312"</t>
  </si>
  <si>
    <t>"CNR1417679"</t>
  </si>
  <si>
    <t>"CID7239882"</t>
  </si>
  <si>
    <t>"CNR8291409"</t>
  </si>
  <si>
    <t>"CID8280540"</t>
  </si>
  <si>
    <t>"CNR3753381"</t>
  </si>
  <si>
    <t>"CID9784303"</t>
  </si>
  <si>
    <t>"CNR5194772"</t>
  </si>
  <si>
    <t>"CID9081249"</t>
  </si>
  <si>
    <t>"CNR5198880"</t>
  </si>
  <si>
    <t>"CID8785925"</t>
  </si>
  <si>
    <t>"CNR9106369"</t>
  </si>
  <si>
    <t>"CID7947941"</t>
  </si>
  <si>
    <t>"CNR2947659"</t>
  </si>
  <si>
    <t>"CID7661037"</t>
  </si>
  <si>
    <t>"CNR7073975"</t>
  </si>
  <si>
    <t>"CID9112501"</t>
  </si>
  <si>
    <t>"CNR8341970"</t>
  </si>
  <si>
    <t>"CID5343442"</t>
  </si>
  <si>
    <t>"CNR2991923"</t>
  </si>
  <si>
    <t>"CID2409817"</t>
  </si>
  <si>
    <t>"CNR6298627"</t>
  </si>
  <si>
    <t>"CID7089807"</t>
  </si>
  <si>
    <t>"CNR4249262"</t>
  </si>
  <si>
    <t>"CID8165426"</t>
  </si>
  <si>
    <t>"CNR7098808"</t>
  </si>
  <si>
    <t>"CID5935795"</t>
  </si>
  <si>
    <t>"CNR3874830"</t>
  </si>
  <si>
    <t>"CID6952194"</t>
  </si>
  <si>
    <t>"CNR3438759"</t>
  </si>
  <si>
    <t>"CID2196399"</t>
  </si>
  <si>
    <t>"CNR5625585"</t>
  </si>
  <si>
    <t>"CID4757284"</t>
  </si>
  <si>
    <t>"CNR3968342"</t>
  </si>
  <si>
    <t>"CID4252629"</t>
  </si>
  <si>
    <t>"CNR1029172"</t>
  </si>
  <si>
    <t>"CID2615731"</t>
  </si>
  <si>
    <t>"CNR3026612"</t>
  </si>
  <si>
    <t>"CID1685236"</t>
  </si>
  <si>
    <t>"CNR1047034"</t>
  </si>
  <si>
    <t>"CID1367246"</t>
  </si>
  <si>
    <t>"CNR4868449"</t>
  </si>
  <si>
    <t>"CID8654337"</t>
  </si>
  <si>
    <t>"CNR6006055"</t>
  </si>
  <si>
    <t>"CID7101749"</t>
  </si>
  <si>
    <t>"CNR1306540"</t>
  </si>
  <si>
    <t>"CID9576860"</t>
  </si>
  <si>
    <t>"CNR1910528"</t>
  </si>
  <si>
    <t>"CID8911619"</t>
  </si>
  <si>
    <t>"CNR6885607"</t>
  </si>
  <si>
    <t>"CID2781979"</t>
  </si>
  <si>
    <t>"CNR9370876"</t>
  </si>
  <si>
    <t>"CID7940377"</t>
  </si>
  <si>
    <t>"CNR7026390"</t>
  </si>
  <si>
    <t>"CID9883697"</t>
  </si>
  <si>
    <t>"CNR7673925"</t>
  </si>
  <si>
    <t>"CID6300601"</t>
  </si>
  <si>
    <t>"CNR2988976"</t>
  </si>
  <si>
    <t>"CID4131442"</t>
  </si>
  <si>
    <t>"CNR7826352"</t>
  </si>
  <si>
    <t>"CID6775111"</t>
  </si>
  <si>
    <t>"CNR1508646"</t>
  </si>
  <si>
    <t>"CID6447979"</t>
  </si>
  <si>
    <t>"CNR6383214"</t>
  </si>
  <si>
    <t>"CID2325586"</t>
  </si>
  <si>
    <t>"CNR8516982"</t>
  </si>
  <si>
    <t>"CID2384834"</t>
  </si>
  <si>
    <t>"CNR6953222"</t>
  </si>
  <si>
    <t>"CID5992493"</t>
  </si>
  <si>
    <t>"CNR9295063"</t>
  </si>
  <si>
    <t>"CID3118154"</t>
  </si>
  <si>
    <t>"CNR3522211"</t>
  </si>
  <si>
    <t>"CID7824024"</t>
  </si>
  <si>
    <t>"CNR6821815"</t>
  </si>
  <si>
    <t>"CID4410214"</t>
  </si>
  <si>
    <t>"CNR5271191"</t>
  </si>
  <si>
    <t>"CID2859016"</t>
  </si>
  <si>
    <t>"CNR9211257"</t>
  </si>
  <si>
    <t>"CID6692447"</t>
  </si>
  <si>
    <t>"CNR8301647"</t>
  </si>
  <si>
    <t>"CID7820319"</t>
  </si>
  <si>
    <t>"CNR7169526"</t>
  </si>
  <si>
    <t>"CID3831361"</t>
  </si>
  <si>
    <t>"CNR8443087"</t>
  </si>
  <si>
    <t>"CID8134339"</t>
  </si>
  <si>
    <t>"CNR1912594"</t>
  </si>
  <si>
    <t>"CID6375475"</t>
  </si>
  <si>
    <t>"CNR5632602"</t>
  </si>
  <si>
    <t>"CID9895446"</t>
  </si>
  <si>
    <t>"CNR7344478"</t>
  </si>
  <si>
    <t>"CID9789686"</t>
  </si>
  <si>
    <t>"CNR6964686"</t>
  </si>
  <si>
    <t>"CID8706030"</t>
  </si>
  <si>
    <t>"CNR1745413"</t>
  </si>
  <si>
    <t>"CID5581269"</t>
  </si>
  <si>
    <t>"CNR8731068"</t>
  </si>
  <si>
    <t>"CID4015011"</t>
  </si>
  <si>
    <t>"CNR5008576"</t>
  </si>
  <si>
    <t>"CID5846005"</t>
  </si>
  <si>
    <t>"CNR4406511"</t>
  </si>
  <si>
    <t>"CID1060191"</t>
  </si>
  <si>
    <t>"CNR8556345"</t>
  </si>
  <si>
    <t>"CID6849947"</t>
  </si>
  <si>
    <t>"CNR9743675"</t>
  </si>
  <si>
    <t>"CID6480970"</t>
  </si>
  <si>
    <t>"CNR4055449"</t>
  </si>
  <si>
    <t>"CID5645584"</t>
  </si>
  <si>
    <t>"CNR2930986"</t>
  </si>
  <si>
    <t>"CID2074886"</t>
  </si>
  <si>
    <t>"CNR1985687"</t>
  </si>
  <si>
    <t>"CID2439014"</t>
  </si>
  <si>
    <t>"CNR1948359"</t>
  </si>
  <si>
    <t>"CID4839988"</t>
  </si>
  <si>
    <t>"CNR5094256"</t>
  </si>
  <si>
    <t>"CID3470774"</t>
  </si>
  <si>
    <t>"CNR3839277"</t>
  </si>
  <si>
    <t>"CID5761496"</t>
  </si>
  <si>
    <t>"CNR7602428"</t>
  </si>
  <si>
    <t>"CID2618192"</t>
  </si>
  <si>
    <t>"CNR2657941"</t>
  </si>
  <si>
    <t>"CID2353139"</t>
  </si>
  <si>
    <t>"CNR1789209"</t>
  </si>
  <si>
    <t>"CID1846811"</t>
  </si>
  <si>
    <t>"CNR1954034"</t>
  </si>
  <si>
    <t>"CID7115223"</t>
  </si>
  <si>
    <t>"CNR3765010"</t>
  </si>
  <si>
    <t>"CID9124174"</t>
  </si>
  <si>
    <t>"CNR5612431"</t>
  </si>
  <si>
    <t>"CID3088301"</t>
  </si>
  <si>
    <t>"CNR2137304"</t>
  </si>
  <si>
    <t>"CID6853358"</t>
  </si>
  <si>
    <t>"CNR5111641"</t>
  </si>
  <si>
    <t>"CID6957716"</t>
  </si>
  <si>
    <t>"CNR3566105"</t>
  </si>
  <si>
    <t>"CID2033815"</t>
  </si>
  <si>
    <t>"CNR5857825"</t>
  </si>
  <si>
    <t>"CID2049884"</t>
  </si>
  <si>
    <t>"CNR8226742"</t>
  </si>
  <si>
    <t>"CID1855408"</t>
  </si>
  <si>
    <t>"CNR6567762"</t>
  </si>
  <si>
    <t>"CID3118228"</t>
  </si>
  <si>
    <t>"CNR6354226"</t>
  </si>
  <si>
    <t>"CID6622851"</t>
  </si>
  <si>
    <t>"CNR6381345"</t>
  </si>
  <si>
    <t>"CID6285663"</t>
  </si>
  <si>
    <t>"CNR9044972"</t>
  </si>
  <si>
    <t>"CID9553443"</t>
  </si>
  <si>
    <t>"CNR4665242"</t>
  </si>
  <si>
    <t>"CID1907267"</t>
  </si>
  <si>
    <t>"CNR6099496"</t>
  </si>
  <si>
    <t>"CID1896038"</t>
  </si>
  <si>
    <t>"CNR7489199"</t>
  </si>
  <si>
    <t>"CID2512802"</t>
  </si>
  <si>
    <t>"CNR1137985"</t>
  </si>
  <si>
    <t>"CID7691917"</t>
  </si>
  <si>
    <t>"CNR2724044"</t>
  </si>
  <si>
    <t>"CID3554106"</t>
  </si>
  <si>
    <t>"CNR2045650"</t>
  </si>
  <si>
    <t>"CID1553016"</t>
  </si>
  <si>
    <t>"CNR3632677"</t>
  </si>
  <si>
    <t>"CID8976910"</t>
  </si>
  <si>
    <t>"CNR8254132"</t>
  </si>
  <si>
    <t>"CID9757771"</t>
  </si>
  <si>
    <t>"CNR7225005"</t>
  </si>
  <si>
    <t>"CID6816473"</t>
  </si>
  <si>
    <t>"CNR3956062"</t>
  </si>
  <si>
    <t>"CID3223309"</t>
  </si>
  <si>
    <t>"CNR8131452"</t>
  </si>
  <si>
    <t>"CID7322198"</t>
  </si>
  <si>
    <t>"CNR6065326"</t>
  </si>
  <si>
    <t>"CID5251660"</t>
  </si>
  <si>
    <t>"CNR7509475"</t>
  </si>
  <si>
    <t>"CID8269891"</t>
  </si>
  <si>
    <t>"CNR2620983"</t>
  </si>
  <si>
    <t>"CID3704528"</t>
  </si>
  <si>
    <t>"CNR8742263"</t>
  </si>
  <si>
    <t>"CID4481410"</t>
  </si>
  <si>
    <t>"CNR5285954"</t>
  </si>
  <si>
    <t>"CID9794267"</t>
  </si>
  <si>
    <t>"CNR7074903"</t>
  </si>
  <si>
    <t>"CID3097521"</t>
  </si>
  <si>
    <t>"CNR5024037"</t>
  </si>
  <si>
    <t>"CID9281756"</t>
  </si>
  <si>
    <t>"CNR4938354"</t>
  </si>
  <si>
    <t>"CID4689934"</t>
  </si>
  <si>
    <t>"CNR5143543"</t>
  </si>
  <si>
    <t>"CID9965076"</t>
  </si>
  <si>
    <t>"CNR5394451"</t>
  </si>
  <si>
    <t>"CID2882325"</t>
  </si>
  <si>
    <t>"CNR5683028"</t>
  </si>
  <si>
    <t>"CID7179832"</t>
  </si>
  <si>
    <t>"CNR5510975"</t>
  </si>
  <si>
    <t>"CID9119302"</t>
  </si>
  <si>
    <t>"CNR4673166"</t>
  </si>
  <si>
    <t>"CID6174273"</t>
  </si>
  <si>
    <t>"CNR5156638"</t>
  </si>
  <si>
    <t>"CID2740031"</t>
  </si>
  <si>
    <t>"CNR3333047"</t>
  </si>
  <si>
    <t>"CID3041269"</t>
  </si>
  <si>
    <t>"CNR9263685"</t>
  </si>
  <si>
    <t>"CID3243366"</t>
  </si>
  <si>
    <t>"CNR9554863"</t>
  </si>
  <si>
    <t>"CID2557936"</t>
  </si>
  <si>
    <t>"CNR1993725"</t>
  </si>
  <si>
    <t>"CID7441368"</t>
  </si>
  <si>
    <t>"CNR4947416"</t>
  </si>
  <si>
    <t>"CID3656227"</t>
  </si>
  <si>
    <t>"CNR9064014"</t>
  </si>
  <si>
    <t>"CID9012618"</t>
  </si>
  <si>
    <t>"CNR1220666"</t>
  </si>
  <si>
    <t>"CID8288391"</t>
  </si>
  <si>
    <t>"CNR8696128"</t>
  </si>
  <si>
    <t>"CID4048591"</t>
  </si>
  <si>
    <t>"CNR2139085"</t>
  </si>
  <si>
    <t>"CID6937468"</t>
  </si>
  <si>
    <t>"CNR9790703"</t>
  </si>
  <si>
    <t>"CID6628432"</t>
  </si>
  <si>
    <t>"CNR5788844"</t>
  </si>
  <si>
    <t>"CID8109974"</t>
  </si>
  <si>
    <t>"CNR6257443"</t>
  </si>
  <si>
    <t>"CID7158119"</t>
  </si>
  <si>
    <t>"CNR2100867"</t>
  </si>
  <si>
    <t>"CID2240424"</t>
  </si>
  <si>
    <t>"CNR3357604"</t>
  </si>
  <si>
    <t>"CID2270853"</t>
  </si>
  <si>
    <t>"CNR6378906"</t>
  </si>
  <si>
    <t>"CID4320820"</t>
  </si>
  <si>
    <t>"CNR4616065"</t>
  </si>
  <si>
    <t>"CID7075974"</t>
  </si>
  <si>
    <t>"CNR6914295"</t>
  </si>
  <si>
    <t>"CID6995151"</t>
  </si>
  <si>
    <t>"CNR2116759"</t>
  </si>
  <si>
    <t>"CID7023290"</t>
  </si>
  <si>
    <t>"CNR4508411"</t>
  </si>
  <si>
    <t>"CID9941037"</t>
  </si>
  <si>
    <t>"CNR8149775"</t>
  </si>
  <si>
    <t>"CID9718733"</t>
  </si>
  <si>
    <t>"CNR8841090"</t>
  </si>
  <si>
    <t>"CID5732489"</t>
  </si>
  <si>
    <t>"CNR4595647"</t>
  </si>
  <si>
    <t>"CID8125225"</t>
  </si>
  <si>
    <t>"CNR1241179"</t>
  </si>
  <si>
    <t>"CID1210470"</t>
  </si>
  <si>
    <t>"CNR5574631"</t>
  </si>
  <si>
    <t>"CID3269363"</t>
  </si>
  <si>
    <t>"CNR5528090"</t>
  </si>
  <si>
    <t>"CID1081955"</t>
  </si>
  <si>
    <t>"CNR1881031"</t>
  </si>
  <si>
    <t>"CID5491076"</t>
  </si>
  <si>
    <t>"CNR3207142"</t>
  </si>
  <si>
    <t>"CID4665133"</t>
  </si>
  <si>
    <t>"CNR9375758"</t>
  </si>
  <si>
    <t>"CID7485198"</t>
  </si>
  <si>
    <t>"CNR7218841"</t>
  </si>
  <si>
    <t>"CID8359905"</t>
  </si>
  <si>
    <t>"CNR7768814"</t>
  </si>
  <si>
    <t>"CID7781598"</t>
  </si>
  <si>
    <t>"CNR8427969"</t>
  </si>
  <si>
    <t>"CID5795044"</t>
  </si>
  <si>
    <t>"CNR8714051"</t>
  </si>
  <si>
    <t>"CID2553189"</t>
  </si>
  <si>
    <t>"CNR9349050"</t>
  </si>
  <si>
    <t>"CID2484971"</t>
  </si>
  <si>
    <t>"CNR6497665"</t>
  </si>
  <si>
    <t>"CID8659472"</t>
  </si>
  <si>
    <t>"CNR8940007"</t>
  </si>
  <si>
    <t>"CID1648428"</t>
  </si>
  <si>
    <t>"CNR1860922"</t>
  </si>
  <si>
    <t>"CID1351997"</t>
  </si>
  <si>
    <t>"CNR6006779"</t>
  </si>
  <si>
    <t>"CID4911892"</t>
  </si>
  <si>
    <t>"CNR9143169"</t>
  </si>
  <si>
    <t>"CID6815980"</t>
  </si>
  <si>
    <t>"CNR4602312"</t>
  </si>
  <si>
    <t>"CID3302506"</t>
  </si>
  <si>
    <t>"CNR4491148"</t>
  </si>
  <si>
    <t>"CID5115385"</t>
  </si>
  <si>
    <t>"CNR1863599"</t>
  </si>
  <si>
    <t>"CID9022805"</t>
  </si>
  <si>
    <t>"CNR1093918"</t>
  </si>
  <si>
    <t>"CID6304896"</t>
  </si>
  <si>
    <t>"CNR9166698"</t>
  </si>
  <si>
    <t>"CID3748310"</t>
  </si>
  <si>
    <t>"CNR9120123"</t>
  </si>
  <si>
    <t>"CID8106985"</t>
  </si>
  <si>
    <t>"CNR4590072"</t>
  </si>
  <si>
    <t>"CID2697173"</t>
  </si>
  <si>
    <t>"CNR3809272"</t>
  </si>
  <si>
    <t>"CID4919567"</t>
  </si>
  <si>
    <t>"CNR4129219"</t>
  </si>
  <si>
    <t>"CID3268920"</t>
  </si>
  <si>
    <t>"CNR2018417"</t>
  </si>
  <si>
    <t>"CID6398834"</t>
  </si>
  <si>
    <t>"CNR6516112"</t>
  </si>
  <si>
    <t>"CID1144761"</t>
  </si>
  <si>
    <t>"CNR7218668"</t>
  </si>
  <si>
    <t>"CID3034417"</t>
  </si>
  <si>
    <t>"CNR4104256"</t>
  </si>
  <si>
    <t>"CID8995304"</t>
  </si>
  <si>
    <t>"CNR4103455"</t>
  </si>
  <si>
    <t>"CID3782982"</t>
  </si>
  <si>
    <t>"CNR2482914"</t>
  </si>
  <si>
    <t>"CID6604437"</t>
  </si>
  <si>
    <t>"CNR6658229"</t>
  </si>
  <si>
    <t>"CID4073477"</t>
  </si>
  <si>
    <t>"CNR8148362"</t>
  </si>
  <si>
    <t>"CID5392636"</t>
  </si>
  <si>
    <t>"CNR1632042"</t>
  </si>
  <si>
    <t>"CID6071255"</t>
  </si>
  <si>
    <t>"CNR9403368"</t>
  </si>
  <si>
    <t>"CID1802065"</t>
  </si>
  <si>
    <t>"CNR4998742"</t>
  </si>
  <si>
    <t>"CID4145980"</t>
  </si>
  <si>
    <t>"CNR1683288"</t>
  </si>
  <si>
    <t>"CID6481783"</t>
  </si>
  <si>
    <t>"CNR9077515"</t>
  </si>
  <si>
    <t>"CID6540364"</t>
  </si>
  <si>
    <t>"CNR8907357"</t>
  </si>
  <si>
    <t>"CID4884205"</t>
  </si>
  <si>
    <t>"CNR8651238"</t>
  </si>
  <si>
    <t>"CID3936877"</t>
  </si>
  <si>
    <t>"CNR1564217"</t>
  </si>
  <si>
    <t>"CID1952893"</t>
  </si>
  <si>
    <t>"CNR6186104"</t>
  </si>
  <si>
    <t>"CID5860198"</t>
  </si>
  <si>
    <t>"CNR9479143"</t>
  </si>
  <si>
    <t>"CID5617682"</t>
  </si>
  <si>
    <t>https://www.kaggle.com/datasets/yashdevladdha/uber-ride-analytics-dashboard?resource=download</t>
  </si>
  <si>
    <t xml:space="preserve">UBER Dashboard </t>
  </si>
  <si>
    <t>Total Number of rides</t>
  </si>
  <si>
    <t>No of Completed Rides</t>
  </si>
  <si>
    <t>No Of Cancelled Rides</t>
  </si>
  <si>
    <t>No driver Found</t>
  </si>
  <si>
    <t>No of Incomplete Rides</t>
  </si>
  <si>
    <t>Vehicle</t>
  </si>
  <si>
    <t>Average Month Driver Rating</t>
  </si>
  <si>
    <t>Average Customer Overall Rating</t>
  </si>
  <si>
    <t>Row Labels</t>
  </si>
  <si>
    <t>Grand Total</t>
  </si>
  <si>
    <t>Count of Booking Value</t>
  </si>
  <si>
    <t>Dashboard Using Pivot Table</t>
  </si>
  <si>
    <t>Count of Booking Status</t>
  </si>
  <si>
    <t>Vehicle Types</t>
  </si>
  <si>
    <t>From Jan to Dec</t>
  </si>
  <si>
    <t>Count of Ride Distance</t>
  </si>
  <si>
    <t>Average of Driver Ratings</t>
  </si>
  <si>
    <t>Count of Booking ID</t>
  </si>
  <si>
    <t>Total Revenue: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</si>
</sst>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20"/>
      <color theme="1"/>
      <name val="Calibri"/>
      <family val="2"/>
      <scheme val="minor"/>
    </font>
    <font>
      <sz val="8"/>
      <name val="Calibri"/>
      <family val="2"/>
      <scheme val="minor"/>
    </font>
    <font>
      <sz val="11"/>
      <color rgb="FF000000"/>
      <name val="Calibr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2"/>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22">
    <xf numFmtId="0" fontId="0" fillId="0" borderId="0" xfId="0"/>
    <xf numFmtId="14" fontId="0" fillId="0" borderId="0" xfId="0" applyNumberFormat="1"/>
    <xf numFmtId="21" fontId="0" fillId="0" borderId="0" xfId="0" applyNumberFormat="1"/>
    <xf numFmtId="0" fontId="18" fillId="0" borderId="0" xfId="42"/>
    <xf numFmtId="0" fontId="0" fillId="33" borderId="0" xfId="0" applyFill="1"/>
    <xf numFmtId="0" fontId="0" fillId="34" borderId="0" xfId="0" applyFill="1"/>
    <xf numFmtId="2" fontId="0" fillId="0" borderId="0" xfId="0" applyNumberFormat="1"/>
    <xf numFmtId="0" fontId="0" fillId="0" borderId="0" xfId="0" pivotButton="1"/>
    <xf numFmtId="0" fontId="0" fillId="0" borderId="0" xfId="0" applyAlignment="1">
      <alignment horizontal="left"/>
    </xf>
    <xf numFmtId="0" fontId="16" fillId="0" borderId="0" xfId="0" applyFont="1"/>
    <xf numFmtId="0" fontId="19" fillId="35" borderId="10" xfId="0" applyFont="1" applyFill="1" applyBorder="1" applyAlignment="1">
      <alignment horizontal="center" vertical="center"/>
    </xf>
    <xf numFmtId="0" fontId="19" fillId="34" borderId="0" xfId="0" applyFont="1" applyFill="1" applyAlignment="1">
      <alignment horizontal="center"/>
    </xf>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0" xfId="0" applyNumberForma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
    <dxf>
      <fill>
        <patternFill patternType="solid">
          <fgColor indexed="64"/>
          <bgColor theme="2" tint="-9.9978637043366805E-2"/>
        </patternFill>
      </fill>
    </dxf>
    <dxf>
      <numFmt numFmtId="26" formatCode="h:mm:ss"/>
    </dxf>
    <dxf>
      <numFmt numFmtId="19" formatCode="m/d/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7/relationships/slicerCache" Target="slicerCaches/slicerCache4.xml"/><Relationship Id="rId18"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connections" Target="connections.xml"/><Relationship Id="rId10" Type="http://schemas.microsoft.com/office/2007/relationships/slicerCache" Target="slicerCaches/slicerCach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Data Excel Project with macro.xlsm]Dashboard Using Pivot!PivotTable4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 Using Pivot'!$F$14</c:f>
              <c:strCache>
                <c:ptCount val="1"/>
                <c:pt idx="0">
                  <c:v>Count of Ride Distance</c:v>
                </c:pt>
              </c:strCache>
            </c:strRef>
          </c:tx>
          <c:spPr>
            <a:solidFill>
              <a:schemeClr val="accent1"/>
            </a:solidFill>
            <a:ln>
              <a:noFill/>
            </a:ln>
            <a:effectLst/>
          </c:spPr>
          <c:invertIfNegative val="0"/>
          <c:cat>
            <c:strRef>
              <c:f>'Dashboard Using Pivot'!$E$15:$E$20</c:f>
              <c:strCache>
                <c:ptCount val="5"/>
                <c:pt idx="0">
                  <c:v>January</c:v>
                </c:pt>
                <c:pt idx="1">
                  <c:v>February</c:v>
                </c:pt>
                <c:pt idx="2">
                  <c:v>April</c:v>
                </c:pt>
                <c:pt idx="3">
                  <c:v>May</c:v>
                </c:pt>
                <c:pt idx="4">
                  <c:v>June</c:v>
                </c:pt>
              </c:strCache>
            </c:strRef>
          </c:cat>
          <c:val>
            <c:numRef>
              <c:f>'Dashboard Using Pivot'!$F$15:$F$20</c:f>
              <c:numCache>
                <c:formatCode>General</c:formatCode>
                <c:ptCount val="5"/>
                <c:pt idx="0">
                  <c:v>118</c:v>
                </c:pt>
                <c:pt idx="1">
                  <c:v>125</c:v>
                </c:pt>
                <c:pt idx="2">
                  <c:v>113</c:v>
                </c:pt>
                <c:pt idx="3">
                  <c:v>147</c:v>
                </c:pt>
                <c:pt idx="4">
                  <c:v>137</c:v>
                </c:pt>
              </c:numCache>
            </c:numRef>
          </c:val>
          <c:extLst>
            <c:ext xmlns:c16="http://schemas.microsoft.com/office/drawing/2014/chart" uri="{C3380CC4-5D6E-409C-BE32-E72D297353CC}">
              <c16:uniqueId val="{00000000-BF82-45D3-A997-A9BDBE30587B}"/>
            </c:ext>
          </c:extLst>
        </c:ser>
        <c:ser>
          <c:idx val="1"/>
          <c:order val="1"/>
          <c:tx>
            <c:strRef>
              <c:f>'Dashboard Using Pivot'!$G$14</c:f>
              <c:strCache>
                <c:ptCount val="1"/>
                <c:pt idx="0">
                  <c:v>Average of Driver Ratings</c:v>
                </c:pt>
              </c:strCache>
            </c:strRef>
          </c:tx>
          <c:spPr>
            <a:solidFill>
              <a:schemeClr val="accent2"/>
            </a:solidFill>
            <a:ln>
              <a:noFill/>
            </a:ln>
            <a:effectLst/>
          </c:spPr>
          <c:invertIfNegative val="0"/>
          <c:cat>
            <c:strRef>
              <c:f>'Dashboard Using Pivot'!$E$15:$E$20</c:f>
              <c:strCache>
                <c:ptCount val="5"/>
                <c:pt idx="0">
                  <c:v>January</c:v>
                </c:pt>
                <c:pt idx="1">
                  <c:v>February</c:v>
                </c:pt>
                <c:pt idx="2">
                  <c:v>April</c:v>
                </c:pt>
                <c:pt idx="3">
                  <c:v>May</c:v>
                </c:pt>
                <c:pt idx="4">
                  <c:v>June</c:v>
                </c:pt>
              </c:strCache>
            </c:strRef>
          </c:cat>
          <c:val>
            <c:numRef>
              <c:f>'Dashboard Using Pivot'!$G$15:$G$20</c:f>
              <c:numCache>
                <c:formatCode>General</c:formatCode>
                <c:ptCount val="5"/>
                <c:pt idx="0">
                  <c:v>4.1112903225806443</c:v>
                </c:pt>
                <c:pt idx="1">
                  <c:v>4.1456790123456777</c:v>
                </c:pt>
                <c:pt idx="2">
                  <c:v>4.1730769230769225</c:v>
                </c:pt>
                <c:pt idx="3">
                  <c:v>4.2531249999999998</c:v>
                </c:pt>
                <c:pt idx="4">
                  <c:v>4.1737864077669915</c:v>
                </c:pt>
              </c:numCache>
            </c:numRef>
          </c:val>
          <c:extLst>
            <c:ext xmlns:c16="http://schemas.microsoft.com/office/drawing/2014/chart" uri="{C3380CC4-5D6E-409C-BE32-E72D297353CC}">
              <c16:uniqueId val="{00000001-BF82-45D3-A997-A9BDBE30587B}"/>
            </c:ext>
          </c:extLst>
        </c:ser>
        <c:dLbls>
          <c:showLegendKey val="0"/>
          <c:showVal val="0"/>
          <c:showCatName val="0"/>
          <c:showSerName val="0"/>
          <c:showPercent val="0"/>
          <c:showBubbleSize val="0"/>
        </c:dLbls>
        <c:gapWidth val="219"/>
        <c:overlap val="-27"/>
        <c:axId val="1936894767"/>
        <c:axId val="1936908687"/>
      </c:barChart>
      <c:catAx>
        <c:axId val="1936894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6908687"/>
        <c:crosses val="autoZero"/>
        <c:auto val="1"/>
        <c:lblAlgn val="ctr"/>
        <c:lblOffset val="100"/>
        <c:noMultiLvlLbl val="0"/>
      </c:catAx>
      <c:valAx>
        <c:axId val="19369086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68947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Rides by Vehicle Type</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v>Total</c:v>
          </c:tx>
          <c:invertIfNegative val="0"/>
          <c:cat>
            <c:strLit>
              <c:ptCount val="7"/>
              <c:pt idx="0">
                <c:v>Auto</c:v>
              </c:pt>
              <c:pt idx="1">
                <c:v>Bike</c:v>
              </c:pt>
              <c:pt idx="2">
                <c:v>eBike</c:v>
              </c:pt>
              <c:pt idx="3">
                <c:v>Go Mini</c:v>
              </c:pt>
              <c:pt idx="4">
                <c:v>Go Sedan</c:v>
              </c:pt>
              <c:pt idx="5">
                <c:v>Premier Sedan</c:v>
              </c:pt>
              <c:pt idx="6">
                <c:v>Uber XL</c:v>
              </c:pt>
            </c:strLit>
          </c:cat>
          <c:val>
            <c:numLit>
              <c:formatCode>General</c:formatCode>
              <c:ptCount val="7"/>
              <c:pt idx="0">
                <c:v>394</c:v>
              </c:pt>
              <c:pt idx="1">
                <c:v>221</c:v>
              </c:pt>
              <c:pt idx="2">
                <c:v>97</c:v>
              </c:pt>
              <c:pt idx="3">
                <c:v>302</c:v>
              </c:pt>
              <c:pt idx="4">
                <c:v>254</c:v>
              </c:pt>
              <c:pt idx="5">
                <c:v>191</c:v>
              </c:pt>
              <c:pt idx="6">
                <c:v>40</c:v>
              </c:pt>
            </c:numLit>
          </c:val>
          <c:extLst>
            <c:ext xmlns:c16="http://schemas.microsoft.com/office/drawing/2014/chart" uri="{C3380CC4-5D6E-409C-BE32-E72D297353CC}">
              <c16:uniqueId val="{00000000-8ECA-4E12-9232-CD8F92140742}"/>
            </c:ext>
          </c:extLst>
        </c:ser>
        <c:dLbls>
          <c:showLegendKey val="0"/>
          <c:showVal val="0"/>
          <c:showCatName val="0"/>
          <c:showSerName val="0"/>
          <c:showPercent val="0"/>
          <c:showBubbleSize val="0"/>
        </c:dLbls>
        <c:gapWidth val="150"/>
        <c:axId val="1582352607"/>
        <c:axId val="1579246143"/>
      </c:barChart>
      <c:catAx>
        <c:axId val="1582352607"/>
        <c:scaling>
          <c:orientation val="minMax"/>
        </c:scaling>
        <c:delete val="0"/>
        <c:axPos val="b"/>
        <c:numFmt formatCode="General" sourceLinked="1"/>
        <c:majorTickMark val="out"/>
        <c:minorTickMark val="none"/>
        <c:tickLblPos val="nextTo"/>
        <c:crossAx val="1579246143"/>
        <c:crosses val="autoZero"/>
        <c:auto val="1"/>
        <c:lblAlgn val="ctr"/>
        <c:lblOffset val="100"/>
        <c:noMultiLvlLbl val="0"/>
      </c:catAx>
      <c:valAx>
        <c:axId val="1579246143"/>
        <c:scaling>
          <c:orientation val="minMax"/>
        </c:scaling>
        <c:delete val="0"/>
        <c:axPos val="l"/>
        <c:majorGridlines/>
        <c:numFmt formatCode="General" sourceLinked="1"/>
        <c:majorTickMark val="out"/>
        <c:minorTickMark val="none"/>
        <c:tickLblPos val="nextTo"/>
        <c:crossAx val="158235260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Rides by Vehicle Type</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v>Total</c:v>
          </c:tx>
          <c:invertIfNegative val="0"/>
          <c:cat>
            <c:strLit>
              <c:ptCount val="5"/>
              <c:pt idx="0">
                <c:v>eBike</c:v>
              </c:pt>
              <c:pt idx="1">
                <c:v>Go Mini</c:v>
              </c:pt>
              <c:pt idx="2">
                <c:v>Go Sedan</c:v>
              </c:pt>
              <c:pt idx="3">
                <c:v>Premier Sedan</c:v>
              </c:pt>
              <c:pt idx="4">
                <c:v>Uber XL</c:v>
              </c:pt>
            </c:strLit>
          </c:cat>
          <c:val>
            <c:numLit>
              <c:formatCode>General</c:formatCode>
              <c:ptCount val="5"/>
              <c:pt idx="0">
                <c:v>97</c:v>
              </c:pt>
              <c:pt idx="1">
                <c:v>302</c:v>
              </c:pt>
              <c:pt idx="2">
                <c:v>254</c:v>
              </c:pt>
              <c:pt idx="3">
                <c:v>191</c:v>
              </c:pt>
              <c:pt idx="4">
                <c:v>40</c:v>
              </c:pt>
            </c:numLit>
          </c:val>
          <c:extLst>
            <c:ext xmlns:c16="http://schemas.microsoft.com/office/drawing/2014/chart" uri="{C3380CC4-5D6E-409C-BE32-E72D297353CC}">
              <c16:uniqueId val="{00000000-759A-460A-8AA7-BB64CD129F42}"/>
            </c:ext>
          </c:extLst>
        </c:ser>
        <c:dLbls>
          <c:showLegendKey val="0"/>
          <c:showVal val="0"/>
          <c:showCatName val="0"/>
          <c:showSerName val="0"/>
          <c:showPercent val="0"/>
          <c:showBubbleSize val="0"/>
        </c:dLbls>
        <c:gapWidth val="150"/>
        <c:axId val="1030719183"/>
        <c:axId val="1659899983"/>
      </c:barChart>
      <c:catAx>
        <c:axId val="1030719183"/>
        <c:scaling>
          <c:orientation val="minMax"/>
        </c:scaling>
        <c:delete val="0"/>
        <c:axPos val="b"/>
        <c:numFmt formatCode="General" sourceLinked="1"/>
        <c:majorTickMark val="out"/>
        <c:minorTickMark val="none"/>
        <c:tickLblPos val="nextTo"/>
        <c:crossAx val="1659899983"/>
        <c:crosses val="autoZero"/>
        <c:auto val="1"/>
        <c:lblAlgn val="ctr"/>
        <c:lblOffset val="100"/>
        <c:noMultiLvlLbl val="0"/>
      </c:catAx>
      <c:valAx>
        <c:axId val="1659899983"/>
        <c:scaling>
          <c:orientation val="minMax"/>
        </c:scaling>
        <c:delete val="0"/>
        <c:axPos val="l"/>
        <c:majorGridlines/>
        <c:numFmt formatCode="General" sourceLinked="1"/>
        <c:majorTickMark val="out"/>
        <c:minorTickMark val="none"/>
        <c:tickLblPos val="nextTo"/>
        <c:crossAx val="1030719183"/>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Rides by Vehicle Type</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v>Total</c:v>
          </c:tx>
          <c:invertIfNegative val="0"/>
          <c:cat>
            <c:strLit>
              <c:ptCount val="2"/>
              <c:pt idx="0">
                <c:v>Go Mini</c:v>
              </c:pt>
              <c:pt idx="1">
                <c:v>Go Sedan</c:v>
              </c:pt>
            </c:strLit>
          </c:cat>
          <c:val>
            <c:numLit>
              <c:formatCode>General</c:formatCode>
              <c:ptCount val="2"/>
              <c:pt idx="0">
                <c:v>302</c:v>
              </c:pt>
              <c:pt idx="1">
                <c:v>254</c:v>
              </c:pt>
            </c:numLit>
          </c:val>
          <c:extLst>
            <c:ext xmlns:c16="http://schemas.microsoft.com/office/drawing/2014/chart" uri="{C3380CC4-5D6E-409C-BE32-E72D297353CC}">
              <c16:uniqueId val="{00000000-49AF-49C1-B2BA-A620339F401D}"/>
            </c:ext>
          </c:extLst>
        </c:ser>
        <c:dLbls>
          <c:showLegendKey val="0"/>
          <c:showVal val="0"/>
          <c:showCatName val="0"/>
          <c:showSerName val="0"/>
          <c:showPercent val="0"/>
          <c:showBubbleSize val="0"/>
        </c:dLbls>
        <c:gapWidth val="150"/>
        <c:axId val="1582350207"/>
        <c:axId val="1579245183"/>
      </c:barChart>
      <c:catAx>
        <c:axId val="1582350207"/>
        <c:scaling>
          <c:orientation val="minMax"/>
        </c:scaling>
        <c:delete val="0"/>
        <c:axPos val="b"/>
        <c:numFmt formatCode="General" sourceLinked="1"/>
        <c:majorTickMark val="out"/>
        <c:minorTickMark val="none"/>
        <c:tickLblPos val="nextTo"/>
        <c:crossAx val="1579245183"/>
        <c:crosses val="autoZero"/>
        <c:auto val="1"/>
        <c:lblAlgn val="ctr"/>
        <c:lblOffset val="100"/>
        <c:noMultiLvlLbl val="0"/>
      </c:catAx>
      <c:valAx>
        <c:axId val="1579245183"/>
        <c:scaling>
          <c:orientation val="minMax"/>
        </c:scaling>
        <c:delete val="0"/>
        <c:axPos val="l"/>
        <c:majorGridlines/>
        <c:numFmt formatCode="General" sourceLinked="1"/>
        <c:majorTickMark val="out"/>
        <c:minorTickMark val="none"/>
        <c:tickLblPos val="nextTo"/>
        <c:crossAx val="158235020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Rides by Vehicle Type</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v>Total</c:v>
          </c:tx>
          <c:invertIfNegative val="0"/>
          <c:cat>
            <c:strLit>
              <c:ptCount val="7"/>
              <c:pt idx="0">
                <c:v>Auto</c:v>
              </c:pt>
              <c:pt idx="1">
                <c:v>Bike</c:v>
              </c:pt>
              <c:pt idx="2">
                <c:v>eBike</c:v>
              </c:pt>
              <c:pt idx="3">
                <c:v>Go Mini</c:v>
              </c:pt>
              <c:pt idx="4">
                <c:v>Go Sedan</c:v>
              </c:pt>
              <c:pt idx="5">
                <c:v>Premier Sedan</c:v>
              </c:pt>
              <c:pt idx="6">
                <c:v>Uber XL</c:v>
              </c:pt>
            </c:strLit>
          </c:cat>
          <c:val>
            <c:numLit>
              <c:formatCode>General</c:formatCode>
              <c:ptCount val="7"/>
              <c:pt idx="0">
                <c:v>394</c:v>
              </c:pt>
              <c:pt idx="1">
                <c:v>221</c:v>
              </c:pt>
              <c:pt idx="2">
                <c:v>97</c:v>
              </c:pt>
              <c:pt idx="3">
                <c:v>302</c:v>
              </c:pt>
              <c:pt idx="4">
                <c:v>254</c:v>
              </c:pt>
              <c:pt idx="5">
                <c:v>191</c:v>
              </c:pt>
              <c:pt idx="6">
                <c:v>40</c:v>
              </c:pt>
            </c:numLit>
          </c:val>
          <c:extLst>
            <c:ext xmlns:c16="http://schemas.microsoft.com/office/drawing/2014/chart" uri="{C3380CC4-5D6E-409C-BE32-E72D297353CC}">
              <c16:uniqueId val="{00000000-924D-4282-BA05-23BAAF652A13}"/>
            </c:ext>
          </c:extLst>
        </c:ser>
        <c:dLbls>
          <c:showLegendKey val="0"/>
          <c:showVal val="0"/>
          <c:showCatName val="0"/>
          <c:showSerName val="0"/>
          <c:showPercent val="0"/>
          <c:showBubbleSize val="0"/>
        </c:dLbls>
        <c:gapWidth val="150"/>
        <c:axId val="1579591935"/>
        <c:axId val="1579592415"/>
      </c:barChart>
      <c:catAx>
        <c:axId val="1579591935"/>
        <c:scaling>
          <c:orientation val="minMax"/>
        </c:scaling>
        <c:delete val="0"/>
        <c:axPos val="b"/>
        <c:numFmt formatCode="General" sourceLinked="1"/>
        <c:majorTickMark val="out"/>
        <c:minorTickMark val="none"/>
        <c:tickLblPos val="nextTo"/>
        <c:crossAx val="1579592415"/>
        <c:crosses val="autoZero"/>
        <c:auto val="1"/>
        <c:lblAlgn val="ctr"/>
        <c:lblOffset val="100"/>
        <c:noMultiLvlLbl val="0"/>
      </c:catAx>
      <c:valAx>
        <c:axId val="1579592415"/>
        <c:scaling>
          <c:orientation val="minMax"/>
        </c:scaling>
        <c:delete val="0"/>
        <c:axPos val="l"/>
        <c:majorGridlines/>
        <c:numFmt formatCode="General" sourceLinked="1"/>
        <c:majorTickMark val="out"/>
        <c:minorTickMark val="none"/>
        <c:tickLblPos val="nextTo"/>
        <c:crossAx val="157959193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Rides by Vehicle Type</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v>Total</c:v>
          </c:tx>
          <c:invertIfNegative val="0"/>
          <c:cat>
            <c:strLit>
              <c:ptCount val="7"/>
              <c:pt idx="0">
                <c:v>Auto</c:v>
              </c:pt>
              <c:pt idx="1">
                <c:v>Bike</c:v>
              </c:pt>
              <c:pt idx="2">
                <c:v>eBike</c:v>
              </c:pt>
              <c:pt idx="3">
                <c:v>Go Mini</c:v>
              </c:pt>
              <c:pt idx="4">
                <c:v>Go Sedan</c:v>
              </c:pt>
              <c:pt idx="5">
                <c:v>Premier Sedan</c:v>
              </c:pt>
              <c:pt idx="6">
                <c:v>Uber XL</c:v>
              </c:pt>
            </c:strLit>
          </c:cat>
          <c:val>
            <c:numLit>
              <c:formatCode>General</c:formatCode>
              <c:ptCount val="7"/>
              <c:pt idx="0">
                <c:v>394</c:v>
              </c:pt>
              <c:pt idx="1">
                <c:v>221</c:v>
              </c:pt>
              <c:pt idx="2">
                <c:v>97</c:v>
              </c:pt>
              <c:pt idx="3">
                <c:v>302</c:v>
              </c:pt>
              <c:pt idx="4">
                <c:v>254</c:v>
              </c:pt>
              <c:pt idx="5">
                <c:v>191</c:v>
              </c:pt>
              <c:pt idx="6">
                <c:v>40</c:v>
              </c:pt>
            </c:numLit>
          </c:val>
          <c:extLst>
            <c:ext xmlns:c16="http://schemas.microsoft.com/office/drawing/2014/chart" uri="{C3380CC4-5D6E-409C-BE32-E72D297353CC}">
              <c16:uniqueId val="{00000000-089D-4BD4-9138-CCA0F9106743}"/>
            </c:ext>
          </c:extLst>
        </c:ser>
        <c:dLbls>
          <c:showLegendKey val="0"/>
          <c:showVal val="0"/>
          <c:showCatName val="0"/>
          <c:showSerName val="0"/>
          <c:showPercent val="0"/>
          <c:showBubbleSize val="0"/>
        </c:dLbls>
        <c:gapWidth val="150"/>
        <c:axId val="440163216"/>
        <c:axId val="440160816"/>
      </c:barChart>
      <c:catAx>
        <c:axId val="440163216"/>
        <c:scaling>
          <c:orientation val="minMax"/>
        </c:scaling>
        <c:delete val="0"/>
        <c:axPos val="b"/>
        <c:numFmt formatCode="General" sourceLinked="1"/>
        <c:majorTickMark val="out"/>
        <c:minorTickMark val="none"/>
        <c:tickLblPos val="nextTo"/>
        <c:crossAx val="440160816"/>
        <c:crosses val="autoZero"/>
        <c:auto val="1"/>
        <c:lblAlgn val="ctr"/>
        <c:lblOffset val="100"/>
        <c:noMultiLvlLbl val="0"/>
      </c:catAx>
      <c:valAx>
        <c:axId val="440160816"/>
        <c:scaling>
          <c:orientation val="minMax"/>
        </c:scaling>
        <c:delete val="0"/>
        <c:axPos val="l"/>
        <c:majorGridlines/>
        <c:numFmt formatCode="General" sourceLinked="1"/>
        <c:majorTickMark val="out"/>
        <c:minorTickMark val="none"/>
        <c:tickLblPos val="nextTo"/>
        <c:crossAx val="44016321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Rides by Vehicle Type</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v>Total</c:v>
          </c:tx>
          <c:invertIfNegative val="0"/>
          <c:cat>
            <c:strLit>
              <c:ptCount val="6"/>
              <c:pt idx="0">
                <c:v>Bike</c:v>
              </c:pt>
              <c:pt idx="1">
                <c:v>eBike</c:v>
              </c:pt>
              <c:pt idx="2">
                <c:v>Go Mini</c:v>
              </c:pt>
              <c:pt idx="3">
                <c:v>Go Sedan</c:v>
              </c:pt>
              <c:pt idx="4">
                <c:v>Premier Sedan</c:v>
              </c:pt>
              <c:pt idx="5">
                <c:v>Uber XL</c:v>
              </c:pt>
            </c:strLit>
          </c:cat>
          <c:val>
            <c:numLit>
              <c:formatCode>General</c:formatCode>
              <c:ptCount val="6"/>
              <c:pt idx="0">
                <c:v>221</c:v>
              </c:pt>
              <c:pt idx="1">
                <c:v>97</c:v>
              </c:pt>
              <c:pt idx="2">
                <c:v>302</c:v>
              </c:pt>
              <c:pt idx="3">
                <c:v>254</c:v>
              </c:pt>
              <c:pt idx="4">
                <c:v>191</c:v>
              </c:pt>
              <c:pt idx="5">
                <c:v>40</c:v>
              </c:pt>
            </c:numLit>
          </c:val>
          <c:extLst>
            <c:ext xmlns:c16="http://schemas.microsoft.com/office/drawing/2014/chart" uri="{C3380CC4-5D6E-409C-BE32-E72D297353CC}">
              <c16:uniqueId val="{00000000-21F3-47B6-9A13-14DD54632D36}"/>
            </c:ext>
          </c:extLst>
        </c:ser>
        <c:dLbls>
          <c:showLegendKey val="0"/>
          <c:showVal val="0"/>
          <c:showCatName val="0"/>
          <c:showSerName val="0"/>
          <c:showPercent val="0"/>
          <c:showBubbleSize val="0"/>
        </c:dLbls>
        <c:gapWidth val="150"/>
        <c:axId val="440168016"/>
        <c:axId val="440166096"/>
      </c:barChart>
      <c:catAx>
        <c:axId val="440168016"/>
        <c:scaling>
          <c:orientation val="minMax"/>
        </c:scaling>
        <c:delete val="0"/>
        <c:axPos val="b"/>
        <c:numFmt formatCode="General" sourceLinked="1"/>
        <c:majorTickMark val="out"/>
        <c:minorTickMark val="none"/>
        <c:tickLblPos val="nextTo"/>
        <c:crossAx val="440166096"/>
        <c:crosses val="autoZero"/>
        <c:auto val="1"/>
        <c:lblAlgn val="ctr"/>
        <c:lblOffset val="100"/>
        <c:noMultiLvlLbl val="0"/>
      </c:catAx>
      <c:valAx>
        <c:axId val="440166096"/>
        <c:scaling>
          <c:orientation val="minMax"/>
        </c:scaling>
        <c:delete val="0"/>
        <c:axPos val="l"/>
        <c:majorGridlines/>
        <c:numFmt formatCode="General" sourceLinked="1"/>
        <c:majorTickMark val="out"/>
        <c:minorTickMark val="none"/>
        <c:tickLblPos val="nextTo"/>
        <c:crossAx val="44016801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Rides by Vehicle Type</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v>Total</c:v>
          </c:tx>
          <c:invertIfNegative val="0"/>
          <c:cat>
            <c:strLit>
              <c:ptCount val="7"/>
              <c:pt idx="0">
                <c:v>Auto</c:v>
              </c:pt>
              <c:pt idx="1">
                <c:v>Bike</c:v>
              </c:pt>
              <c:pt idx="2">
                <c:v>eBike</c:v>
              </c:pt>
              <c:pt idx="3">
                <c:v>Go Mini</c:v>
              </c:pt>
              <c:pt idx="4">
                <c:v>Go Sedan</c:v>
              </c:pt>
              <c:pt idx="5">
                <c:v>Premier Sedan</c:v>
              </c:pt>
              <c:pt idx="6">
                <c:v>Uber XL</c:v>
              </c:pt>
            </c:strLit>
          </c:cat>
          <c:val>
            <c:numLit>
              <c:formatCode>General</c:formatCode>
              <c:ptCount val="7"/>
              <c:pt idx="0">
                <c:v>394</c:v>
              </c:pt>
              <c:pt idx="1">
                <c:v>221</c:v>
              </c:pt>
              <c:pt idx="2">
                <c:v>97</c:v>
              </c:pt>
              <c:pt idx="3">
                <c:v>302</c:v>
              </c:pt>
              <c:pt idx="4">
                <c:v>254</c:v>
              </c:pt>
              <c:pt idx="5">
                <c:v>191</c:v>
              </c:pt>
              <c:pt idx="6">
                <c:v>40</c:v>
              </c:pt>
            </c:numLit>
          </c:val>
          <c:extLst>
            <c:ext xmlns:c16="http://schemas.microsoft.com/office/drawing/2014/chart" uri="{C3380CC4-5D6E-409C-BE32-E72D297353CC}">
              <c16:uniqueId val="{00000000-73FB-4480-8AA5-642ADD002D38}"/>
            </c:ext>
          </c:extLst>
        </c:ser>
        <c:dLbls>
          <c:showLegendKey val="0"/>
          <c:showVal val="0"/>
          <c:showCatName val="0"/>
          <c:showSerName val="0"/>
          <c:showPercent val="0"/>
          <c:showBubbleSize val="0"/>
        </c:dLbls>
        <c:gapWidth val="150"/>
        <c:axId val="440168496"/>
        <c:axId val="440159376"/>
      </c:barChart>
      <c:catAx>
        <c:axId val="440168496"/>
        <c:scaling>
          <c:orientation val="minMax"/>
        </c:scaling>
        <c:delete val="0"/>
        <c:axPos val="b"/>
        <c:numFmt formatCode="General" sourceLinked="1"/>
        <c:majorTickMark val="out"/>
        <c:minorTickMark val="none"/>
        <c:tickLblPos val="nextTo"/>
        <c:crossAx val="440159376"/>
        <c:crosses val="autoZero"/>
        <c:auto val="1"/>
        <c:lblAlgn val="ctr"/>
        <c:lblOffset val="100"/>
        <c:noMultiLvlLbl val="0"/>
      </c:catAx>
      <c:valAx>
        <c:axId val="440159376"/>
        <c:scaling>
          <c:orientation val="minMax"/>
        </c:scaling>
        <c:delete val="0"/>
        <c:axPos val="l"/>
        <c:majorGridlines/>
        <c:numFmt formatCode="General" sourceLinked="1"/>
        <c:majorTickMark val="out"/>
        <c:minorTickMark val="none"/>
        <c:tickLblPos val="nextTo"/>
        <c:crossAx val="440168496"/>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Rides by Vehicle Type</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v>Total</c:v>
          </c:tx>
          <c:invertIfNegative val="0"/>
          <c:cat>
            <c:strLit>
              <c:ptCount val="7"/>
              <c:pt idx="0">
                <c:v>Auto</c:v>
              </c:pt>
              <c:pt idx="1">
                <c:v>Bike</c:v>
              </c:pt>
              <c:pt idx="2">
                <c:v>eBike</c:v>
              </c:pt>
              <c:pt idx="3">
                <c:v>Go Mini</c:v>
              </c:pt>
              <c:pt idx="4">
                <c:v>Go Sedan</c:v>
              </c:pt>
              <c:pt idx="5">
                <c:v>Premier Sedan</c:v>
              </c:pt>
              <c:pt idx="6">
                <c:v>Uber XL</c:v>
              </c:pt>
            </c:strLit>
          </c:cat>
          <c:val>
            <c:numLit>
              <c:formatCode>General</c:formatCode>
              <c:ptCount val="7"/>
              <c:pt idx="0">
                <c:v>394</c:v>
              </c:pt>
              <c:pt idx="1">
                <c:v>221</c:v>
              </c:pt>
              <c:pt idx="2">
                <c:v>97</c:v>
              </c:pt>
              <c:pt idx="3">
                <c:v>302</c:v>
              </c:pt>
              <c:pt idx="4">
                <c:v>254</c:v>
              </c:pt>
              <c:pt idx="5">
                <c:v>191</c:v>
              </c:pt>
              <c:pt idx="6">
                <c:v>40</c:v>
              </c:pt>
            </c:numLit>
          </c:val>
          <c:extLst>
            <c:ext xmlns:c16="http://schemas.microsoft.com/office/drawing/2014/chart" uri="{C3380CC4-5D6E-409C-BE32-E72D297353CC}">
              <c16:uniqueId val="{00000000-CE71-46C8-9BEE-485F6D5CEED4}"/>
            </c:ext>
          </c:extLst>
        </c:ser>
        <c:dLbls>
          <c:showLegendKey val="0"/>
          <c:showVal val="0"/>
          <c:showCatName val="0"/>
          <c:showSerName val="0"/>
          <c:showPercent val="0"/>
          <c:showBubbleSize val="0"/>
        </c:dLbls>
        <c:gapWidth val="150"/>
        <c:axId val="1936853487"/>
        <c:axId val="1936853967"/>
      </c:barChart>
      <c:catAx>
        <c:axId val="1936853487"/>
        <c:scaling>
          <c:orientation val="minMax"/>
        </c:scaling>
        <c:delete val="0"/>
        <c:axPos val="b"/>
        <c:numFmt formatCode="General" sourceLinked="1"/>
        <c:majorTickMark val="out"/>
        <c:minorTickMark val="none"/>
        <c:tickLblPos val="nextTo"/>
        <c:crossAx val="1936853967"/>
        <c:crosses val="autoZero"/>
        <c:auto val="1"/>
        <c:lblAlgn val="ctr"/>
        <c:lblOffset val="100"/>
        <c:noMultiLvlLbl val="0"/>
      </c:catAx>
      <c:valAx>
        <c:axId val="1936853967"/>
        <c:scaling>
          <c:orientation val="minMax"/>
        </c:scaling>
        <c:delete val="0"/>
        <c:axPos val="l"/>
        <c:majorGridlines/>
        <c:numFmt formatCode="General" sourceLinked="1"/>
        <c:majorTickMark val="out"/>
        <c:minorTickMark val="none"/>
        <c:tickLblPos val="nextTo"/>
        <c:crossAx val="193685348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Rides by Vehicle Type</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v>Total</c:v>
          </c:tx>
          <c:invertIfNegative val="0"/>
          <c:cat>
            <c:strLit>
              <c:ptCount val="2"/>
              <c:pt idx="0">
                <c:v>Bike</c:v>
              </c:pt>
              <c:pt idx="1">
                <c:v>eBike</c:v>
              </c:pt>
            </c:strLit>
          </c:cat>
          <c:val>
            <c:numLit>
              <c:formatCode>General</c:formatCode>
              <c:ptCount val="2"/>
              <c:pt idx="0">
                <c:v>221</c:v>
              </c:pt>
              <c:pt idx="1">
                <c:v>97</c:v>
              </c:pt>
            </c:numLit>
          </c:val>
          <c:extLst>
            <c:ext xmlns:c16="http://schemas.microsoft.com/office/drawing/2014/chart" uri="{C3380CC4-5D6E-409C-BE32-E72D297353CC}">
              <c16:uniqueId val="{00000000-9BDA-46F5-AD3F-FB5281AEACCE}"/>
            </c:ext>
          </c:extLst>
        </c:ser>
        <c:dLbls>
          <c:showLegendKey val="0"/>
          <c:showVal val="0"/>
          <c:showCatName val="0"/>
          <c:showSerName val="0"/>
          <c:showPercent val="0"/>
          <c:showBubbleSize val="0"/>
        </c:dLbls>
        <c:gapWidth val="150"/>
        <c:axId val="1936928847"/>
        <c:axId val="1936930767"/>
      </c:barChart>
      <c:catAx>
        <c:axId val="1936928847"/>
        <c:scaling>
          <c:orientation val="minMax"/>
        </c:scaling>
        <c:delete val="0"/>
        <c:axPos val="b"/>
        <c:numFmt formatCode="General" sourceLinked="1"/>
        <c:majorTickMark val="out"/>
        <c:minorTickMark val="none"/>
        <c:tickLblPos val="nextTo"/>
        <c:crossAx val="1936930767"/>
        <c:crosses val="autoZero"/>
        <c:auto val="1"/>
        <c:lblAlgn val="ctr"/>
        <c:lblOffset val="100"/>
        <c:noMultiLvlLbl val="0"/>
      </c:catAx>
      <c:valAx>
        <c:axId val="1936930767"/>
        <c:scaling>
          <c:orientation val="minMax"/>
        </c:scaling>
        <c:delete val="0"/>
        <c:axPos val="l"/>
        <c:majorGridlines/>
        <c:numFmt formatCode="General" sourceLinked="1"/>
        <c:majorTickMark val="out"/>
        <c:minorTickMark val="none"/>
        <c:tickLblPos val="nextTo"/>
        <c:crossAx val="193692884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Rides by Vehicle Type</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v>Total</c:v>
          </c:tx>
          <c:invertIfNegative val="0"/>
          <c:cat>
            <c:strLit>
              <c:ptCount val="7"/>
              <c:pt idx="0">
                <c:v>Auto</c:v>
              </c:pt>
              <c:pt idx="1">
                <c:v>Bike</c:v>
              </c:pt>
              <c:pt idx="2">
                <c:v>eBike</c:v>
              </c:pt>
              <c:pt idx="3">
                <c:v>Go Mini</c:v>
              </c:pt>
              <c:pt idx="4">
                <c:v>Go Sedan</c:v>
              </c:pt>
              <c:pt idx="5">
                <c:v>Premier Sedan</c:v>
              </c:pt>
              <c:pt idx="6">
                <c:v>Uber XL</c:v>
              </c:pt>
            </c:strLit>
          </c:cat>
          <c:val>
            <c:numLit>
              <c:formatCode>General</c:formatCode>
              <c:ptCount val="7"/>
              <c:pt idx="0">
                <c:v>394</c:v>
              </c:pt>
              <c:pt idx="1">
                <c:v>221</c:v>
              </c:pt>
              <c:pt idx="2">
                <c:v>97</c:v>
              </c:pt>
              <c:pt idx="3">
                <c:v>302</c:v>
              </c:pt>
              <c:pt idx="4">
                <c:v>254</c:v>
              </c:pt>
              <c:pt idx="5">
                <c:v>191</c:v>
              </c:pt>
              <c:pt idx="6">
                <c:v>40</c:v>
              </c:pt>
            </c:numLit>
          </c:val>
          <c:extLst>
            <c:ext xmlns:c16="http://schemas.microsoft.com/office/drawing/2014/chart" uri="{C3380CC4-5D6E-409C-BE32-E72D297353CC}">
              <c16:uniqueId val="{00000000-6236-4897-8851-E992A510CC72}"/>
            </c:ext>
          </c:extLst>
        </c:ser>
        <c:dLbls>
          <c:showLegendKey val="0"/>
          <c:showVal val="0"/>
          <c:showCatName val="0"/>
          <c:showSerName val="0"/>
          <c:showPercent val="0"/>
          <c:showBubbleSize val="0"/>
        </c:dLbls>
        <c:gapWidth val="150"/>
        <c:axId val="1936922127"/>
        <c:axId val="1936932207"/>
      </c:barChart>
      <c:catAx>
        <c:axId val="1936922127"/>
        <c:scaling>
          <c:orientation val="minMax"/>
        </c:scaling>
        <c:delete val="0"/>
        <c:axPos val="b"/>
        <c:numFmt formatCode="General" sourceLinked="1"/>
        <c:majorTickMark val="out"/>
        <c:minorTickMark val="none"/>
        <c:tickLblPos val="nextTo"/>
        <c:crossAx val="1936932207"/>
        <c:crosses val="autoZero"/>
        <c:auto val="1"/>
        <c:lblAlgn val="ctr"/>
        <c:lblOffset val="100"/>
        <c:noMultiLvlLbl val="0"/>
      </c:catAx>
      <c:valAx>
        <c:axId val="1936932207"/>
        <c:scaling>
          <c:orientation val="minMax"/>
        </c:scaling>
        <c:delete val="0"/>
        <c:axPos val="l"/>
        <c:majorGridlines/>
        <c:numFmt formatCode="General" sourceLinked="1"/>
        <c:majorTickMark val="out"/>
        <c:minorTickMark val="none"/>
        <c:tickLblPos val="nextTo"/>
        <c:crossAx val="193692212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Rides by Vehicle Type</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v>Total</c:v>
          </c:tx>
          <c:invertIfNegative val="0"/>
          <c:cat>
            <c:strLit>
              <c:ptCount val="7"/>
              <c:pt idx="0">
                <c:v>Auto</c:v>
              </c:pt>
              <c:pt idx="1">
                <c:v>Bike</c:v>
              </c:pt>
              <c:pt idx="2">
                <c:v>eBike</c:v>
              </c:pt>
              <c:pt idx="3">
                <c:v>Go Mini</c:v>
              </c:pt>
              <c:pt idx="4">
                <c:v>Go Sedan</c:v>
              </c:pt>
              <c:pt idx="5">
                <c:v>Premier Sedan</c:v>
              </c:pt>
              <c:pt idx="6">
                <c:v>Uber XL</c:v>
              </c:pt>
            </c:strLit>
          </c:cat>
          <c:val>
            <c:numLit>
              <c:formatCode>General</c:formatCode>
              <c:ptCount val="7"/>
              <c:pt idx="0">
                <c:v>394</c:v>
              </c:pt>
              <c:pt idx="1">
                <c:v>221</c:v>
              </c:pt>
              <c:pt idx="2">
                <c:v>97</c:v>
              </c:pt>
              <c:pt idx="3">
                <c:v>302</c:v>
              </c:pt>
              <c:pt idx="4">
                <c:v>254</c:v>
              </c:pt>
              <c:pt idx="5">
                <c:v>191</c:v>
              </c:pt>
              <c:pt idx="6">
                <c:v>40</c:v>
              </c:pt>
            </c:numLit>
          </c:val>
          <c:extLst>
            <c:ext xmlns:c16="http://schemas.microsoft.com/office/drawing/2014/chart" uri="{C3380CC4-5D6E-409C-BE32-E72D297353CC}">
              <c16:uniqueId val="{00000000-0882-4233-B9CA-782DE6AFA7C9}"/>
            </c:ext>
          </c:extLst>
        </c:ser>
        <c:dLbls>
          <c:showLegendKey val="0"/>
          <c:showVal val="0"/>
          <c:showCatName val="0"/>
          <c:showSerName val="0"/>
          <c:showPercent val="0"/>
          <c:showBubbleSize val="0"/>
        </c:dLbls>
        <c:gapWidth val="150"/>
        <c:axId val="846455615"/>
        <c:axId val="846464255"/>
      </c:barChart>
      <c:catAx>
        <c:axId val="846455615"/>
        <c:scaling>
          <c:orientation val="minMax"/>
        </c:scaling>
        <c:delete val="0"/>
        <c:axPos val="b"/>
        <c:numFmt formatCode="General" sourceLinked="1"/>
        <c:majorTickMark val="out"/>
        <c:minorTickMark val="none"/>
        <c:tickLblPos val="nextTo"/>
        <c:crossAx val="846464255"/>
        <c:crosses val="autoZero"/>
        <c:auto val="1"/>
        <c:lblAlgn val="ctr"/>
        <c:lblOffset val="100"/>
        <c:noMultiLvlLbl val="0"/>
      </c:catAx>
      <c:valAx>
        <c:axId val="846464255"/>
        <c:scaling>
          <c:orientation val="minMax"/>
        </c:scaling>
        <c:delete val="0"/>
        <c:axPos val="l"/>
        <c:majorGridlines/>
        <c:numFmt formatCode="General" sourceLinked="1"/>
        <c:majorTickMark val="out"/>
        <c:minorTickMark val="none"/>
        <c:tickLblPos val="nextTo"/>
        <c:crossAx val="84645561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IN"/>
              <a:t>Rides by Vehicle Type</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v>Total</c:v>
          </c:tx>
          <c:invertIfNegative val="0"/>
          <c:cat>
            <c:strLit>
              <c:ptCount val="7"/>
              <c:pt idx="0">
                <c:v>Auto</c:v>
              </c:pt>
              <c:pt idx="1">
                <c:v>Bike</c:v>
              </c:pt>
              <c:pt idx="2">
                <c:v>eBike</c:v>
              </c:pt>
              <c:pt idx="3">
                <c:v>Go Mini</c:v>
              </c:pt>
              <c:pt idx="4">
                <c:v>Go Sedan</c:v>
              </c:pt>
              <c:pt idx="5">
                <c:v>Premier Sedan</c:v>
              </c:pt>
              <c:pt idx="6">
                <c:v>Uber XL</c:v>
              </c:pt>
            </c:strLit>
          </c:cat>
          <c:val>
            <c:numLit>
              <c:formatCode>General</c:formatCode>
              <c:ptCount val="7"/>
              <c:pt idx="0">
                <c:v>394</c:v>
              </c:pt>
              <c:pt idx="1">
                <c:v>221</c:v>
              </c:pt>
              <c:pt idx="2">
                <c:v>97</c:v>
              </c:pt>
              <c:pt idx="3">
                <c:v>302</c:v>
              </c:pt>
              <c:pt idx="4">
                <c:v>254</c:v>
              </c:pt>
              <c:pt idx="5">
                <c:v>191</c:v>
              </c:pt>
              <c:pt idx="6">
                <c:v>40</c:v>
              </c:pt>
            </c:numLit>
          </c:val>
          <c:extLst>
            <c:ext xmlns:c16="http://schemas.microsoft.com/office/drawing/2014/chart" uri="{C3380CC4-5D6E-409C-BE32-E72D297353CC}">
              <c16:uniqueId val="{00000000-74E2-4150-A79E-FBB12F113C22}"/>
            </c:ext>
          </c:extLst>
        </c:ser>
        <c:dLbls>
          <c:showLegendKey val="0"/>
          <c:showVal val="0"/>
          <c:showCatName val="0"/>
          <c:showSerName val="0"/>
          <c:showPercent val="0"/>
          <c:showBubbleSize val="0"/>
        </c:dLbls>
        <c:gapWidth val="150"/>
        <c:axId val="846458495"/>
        <c:axId val="846466655"/>
      </c:barChart>
      <c:catAx>
        <c:axId val="846458495"/>
        <c:scaling>
          <c:orientation val="minMax"/>
        </c:scaling>
        <c:delete val="0"/>
        <c:axPos val="b"/>
        <c:numFmt formatCode="General" sourceLinked="1"/>
        <c:majorTickMark val="out"/>
        <c:minorTickMark val="none"/>
        <c:tickLblPos val="nextTo"/>
        <c:crossAx val="846466655"/>
        <c:crosses val="autoZero"/>
        <c:auto val="1"/>
        <c:lblAlgn val="ctr"/>
        <c:lblOffset val="100"/>
        <c:noMultiLvlLbl val="0"/>
      </c:catAx>
      <c:valAx>
        <c:axId val="846466655"/>
        <c:scaling>
          <c:orientation val="minMax"/>
        </c:scaling>
        <c:delete val="0"/>
        <c:axPos val="l"/>
        <c:majorGridlines/>
        <c:numFmt formatCode="General" sourceLinked="1"/>
        <c:majorTickMark val="out"/>
        <c:minorTickMark val="none"/>
        <c:tickLblPos val="nextTo"/>
        <c:crossAx val="846458495"/>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[Uber Data Excel Project with macro.xlsm]Macro Dashboard!ptRideVehicle</c:name>
    <c:fmtId val="0"/>
  </c:pivotSource>
  <c:chart>
    <c:title>
      <c:tx>
        <c:rich>
          <a:bodyPr/>
          <a:lstStyle/>
          <a:p>
            <a:pPr>
              <a:defRPr/>
            </a:pPr>
            <a:r>
              <a:rPr lang="en-IN"/>
              <a:t>Rides by Vehicle Type</a:t>
            </a:r>
          </a:p>
        </c:rich>
      </c:tx>
      <c:overlay val="0"/>
    </c:title>
    <c:autoTitleDeleted val="0"/>
    <c:pivotFmts>
      <c:pivotFmt>
        <c:idx val="0"/>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'Macro Dashboard'!$B$5</c:f>
              <c:strCache>
                <c:ptCount val="1"/>
                <c:pt idx="0">
                  <c:v>Total</c:v>
                </c:pt>
              </c:strCache>
            </c:strRef>
          </c:tx>
          <c:invertIfNegative val="0"/>
          <c:cat>
            <c:strRef>
              <c:f>'Macro Dashboard'!$A$6:$A$13</c:f>
              <c:strCache>
                <c:ptCount val="7"/>
                <c:pt idx="0">
                  <c:v>Auto</c:v>
                </c:pt>
                <c:pt idx="1">
                  <c:v>Bike</c:v>
                </c:pt>
                <c:pt idx="2">
                  <c:v>eBike</c:v>
                </c:pt>
                <c:pt idx="3">
                  <c:v>Go Mini</c:v>
                </c:pt>
                <c:pt idx="4">
                  <c:v>Go Sedan</c:v>
                </c:pt>
                <c:pt idx="5">
                  <c:v>Premier Sedan</c:v>
                </c:pt>
                <c:pt idx="6">
                  <c:v>Uber XL</c:v>
                </c:pt>
              </c:strCache>
            </c:strRef>
          </c:cat>
          <c:val>
            <c:numRef>
              <c:f>'Macro Dashboard'!$B$6:$B$13</c:f>
              <c:numCache>
                <c:formatCode>General</c:formatCode>
                <c:ptCount val="7"/>
                <c:pt idx="0">
                  <c:v>394</c:v>
                </c:pt>
                <c:pt idx="1">
                  <c:v>221</c:v>
                </c:pt>
                <c:pt idx="2">
                  <c:v>97</c:v>
                </c:pt>
                <c:pt idx="3">
                  <c:v>302</c:v>
                </c:pt>
                <c:pt idx="4">
                  <c:v>254</c:v>
                </c:pt>
                <c:pt idx="5">
                  <c:v>191</c:v>
                </c:pt>
                <c:pt idx="6">
                  <c:v>40</c:v>
                </c:pt>
              </c:numCache>
            </c:numRef>
          </c:val>
          <c:extLst>
            <c:ext xmlns:c16="http://schemas.microsoft.com/office/drawing/2014/chart" uri="{C3380CC4-5D6E-409C-BE32-E72D297353CC}">
              <c16:uniqueId val="{00000000-F7EC-43B6-95E9-DB49049D6377}"/>
            </c:ext>
          </c:extLst>
        </c:ser>
        <c:dLbls>
          <c:showLegendKey val="0"/>
          <c:showVal val="0"/>
          <c:showCatName val="0"/>
          <c:showSerName val="0"/>
          <c:showPercent val="0"/>
          <c:showBubbleSize val="0"/>
        </c:dLbls>
        <c:gapWidth val="150"/>
        <c:axId val="1936807407"/>
        <c:axId val="1936807887"/>
      </c:barChart>
      <c:catAx>
        <c:axId val="1936807407"/>
        <c:scaling>
          <c:orientation val="minMax"/>
        </c:scaling>
        <c:delete val="0"/>
        <c:axPos val="b"/>
        <c:numFmt formatCode="General" sourceLinked="1"/>
        <c:majorTickMark val="out"/>
        <c:minorTickMark val="none"/>
        <c:tickLblPos val="nextTo"/>
        <c:crossAx val="1936807887"/>
        <c:crosses val="autoZero"/>
        <c:auto val="1"/>
        <c:lblAlgn val="ctr"/>
        <c:lblOffset val="100"/>
        <c:noMultiLvlLbl val="0"/>
      </c:catAx>
      <c:valAx>
        <c:axId val="1936807887"/>
        <c:scaling>
          <c:orientation val="minMax"/>
        </c:scaling>
        <c:delete val="0"/>
        <c:axPos val="l"/>
        <c:majorGridlines/>
        <c:numFmt formatCode="General" sourceLinked="1"/>
        <c:majorTickMark val="out"/>
        <c:minorTickMark val="none"/>
        <c:tickLblPos val="nextTo"/>
        <c:crossAx val="1936807407"/>
        <c:crosses val="autoZero"/>
        <c:crossBetween val="between"/>
      </c:val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9.xml"/><Relationship Id="rId13" Type="http://schemas.openxmlformats.org/officeDocument/2006/relationships/chart" Target="../charts/chart14.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13</xdr:col>
      <xdr:colOff>462298</xdr:colOff>
      <xdr:row>15</xdr:row>
      <xdr:rowOff>143189</xdr:rowOff>
    </xdr:from>
    <xdr:to>
      <xdr:col>16</xdr:col>
      <xdr:colOff>377041</xdr:colOff>
      <xdr:row>29</xdr:row>
      <xdr:rowOff>37877</xdr:rowOff>
    </xdr:to>
    <mc:AlternateContent xmlns:mc="http://schemas.openxmlformats.org/markup-compatibility/2006">
      <mc:Choice xmlns:a14="http://schemas.microsoft.com/office/drawing/2010/main" Requires="a14">
        <xdr:graphicFrame macro="">
          <xdr:nvGraphicFramePr>
            <xdr:cNvPr id="5" name="Month">
              <a:extLst>
                <a:ext uri="{FF2B5EF4-FFF2-40B4-BE49-F238E27FC236}">
                  <a16:creationId xmlns:a16="http://schemas.microsoft.com/office/drawing/2014/main" id="{D3BC77C3-694D-F42D-A204-39A823A544BA}"/>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0457668" y="2996769"/>
              <a:ext cx="1835422" cy="24190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423035</xdr:colOff>
      <xdr:row>15</xdr:row>
      <xdr:rowOff>91762</xdr:rowOff>
    </xdr:from>
    <xdr:to>
      <xdr:col>21</xdr:col>
      <xdr:colOff>39466</xdr:colOff>
      <xdr:row>28</xdr:row>
      <xdr:rowOff>174267</xdr:rowOff>
    </xdr:to>
    <mc:AlternateContent xmlns:mc="http://schemas.openxmlformats.org/markup-compatibility/2006">
      <mc:Choice xmlns:a14="http://schemas.microsoft.com/office/drawing/2010/main" Requires="a14">
        <xdr:graphicFrame macro="">
          <xdr:nvGraphicFramePr>
            <xdr:cNvPr id="6" name="Vehicle Type">
              <a:extLst>
                <a:ext uri="{FF2B5EF4-FFF2-40B4-BE49-F238E27FC236}">
                  <a16:creationId xmlns:a16="http://schemas.microsoft.com/office/drawing/2014/main" id="{5885D984-2ED4-4812-D515-F7B1110D3708}"/>
                </a:ext>
              </a:extLst>
            </xdr:cNvPr>
            <xdr:cNvGraphicFramePr/>
          </xdr:nvGraphicFramePr>
          <xdr:xfrm>
            <a:off x="0" y="0"/>
            <a:ext cx="0" cy="0"/>
          </xdr:xfrm>
          <a:graphic>
            <a:graphicData uri="http://schemas.microsoft.com/office/drawing/2010/slicer">
              <sle:slicer xmlns:sle="http://schemas.microsoft.com/office/drawing/2010/slicer" name="Vehicle Type"/>
            </a:graphicData>
          </a:graphic>
        </xdr:graphicFrame>
      </mc:Choice>
      <mc:Fallback>
        <xdr:sp macro="" textlink="">
          <xdr:nvSpPr>
            <xdr:cNvPr id="0" name=""/>
            <xdr:cNvSpPr>
              <a:spLocks noTextEdit="1"/>
            </xdr:cNvSpPr>
          </xdr:nvSpPr>
          <xdr:spPr>
            <a:xfrm>
              <a:off x="12339084" y="2945342"/>
              <a:ext cx="1835012" cy="24265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85412</xdr:colOff>
      <xdr:row>15</xdr:row>
      <xdr:rowOff>31393</xdr:rowOff>
    </xdr:from>
    <xdr:to>
      <xdr:col>27</xdr:col>
      <xdr:colOff>438510</xdr:colOff>
      <xdr:row>28</xdr:row>
      <xdr:rowOff>113898</xdr:rowOff>
    </xdr:to>
    <mc:AlternateContent xmlns:mc="http://schemas.openxmlformats.org/markup-compatibility/2006">
      <mc:Choice xmlns:a14="http://schemas.microsoft.com/office/drawing/2010/main" Requires="a14">
        <xdr:graphicFrame macro="">
          <xdr:nvGraphicFramePr>
            <xdr:cNvPr id="7" name="Driver Ratings">
              <a:extLst>
                <a:ext uri="{FF2B5EF4-FFF2-40B4-BE49-F238E27FC236}">
                  <a16:creationId xmlns:a16="http://schemas.microsoft.com/office/drawing/2014/main" id="{651FE181-7294-A67F-7EAC-DBAF74D747F2}"/>
                </a:ext>
              </a:extLst>
            </xdr:cNvPr>
            <xdr:cNvGraphicFramePr/>
          </xdr:nvGraphicFramePr>
          <xdr:xfrm>
            <a:off x="0" y="0"/>
            <a:ext cx="0" cy="0"/>
          </xdr:xfrm>
          <a:graphic>
            <a:graphicData uri="http://schemas.microsoft.com/office/drawing/2010/slicer">
              <sle:slicer xmlns:sle="http://schemas.microsoft.com/office/drawing/2010/slicer" name="Driver Ratings"/>
            </a:graphicData>
          </a:graphic>
        </xdr:graphicFrame>
      </mc:Choice>
      <mc:Fallback>
        <xdr:sp macro="" textlink="">
          <xdr:nvSpPr>
            <xdr:cNvPr id="0" name=""/>
            <xdr:cNvSpPr>
              <a:spLocks noTextEdit="1"/>
            </xdr:cNvSpPr>
          </xdr:nvSpPr>
          <xdr:spPr>
            <a:xfrm>
              <a:off x="14220042" y="2884973"/>
              <a:ext cx="1819085" cy="242651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520653</xdr:colOff>
      <xdr:row>16</xdr:row>
      <xdr:rowOff>142652</xdr:rowOff>
    </xdr:from>
    <xdr:to>
      <xdr:col>3</xdr:col>
      <xdr:colOff>301355</xdr:colOff>
      <xdr:row>30</xdr:row>
      <xdr:rowOff>37340</xdr:rowOff>
    </xdr:to>
    <mc:AlternateContent xmlns:mc="http://schemas.openxmlformats.org/markup-compatibility/2006">
      <mc:Choice xmlns:a14="http://schemas.microsoft.com/office/drawing/2010/main" Requires="a14">
        <xdr:graphicFrame macro="">
          <xdr:nvGraphicFramePr>
            <xdr:cNvPr id="9" name="Month 1">
              <a:extLst>
                <a:ext uri="{FF2B5EF4-FFF2-40B4-BE49-F238E27FC236}">
                  <a16:creationId xmlns:a16="http://schemas.microsoft.com/office/drawing/2014/main" id="{B1D3AB84-C3C1-5A8D-40DA-C7575771845B}"/>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dr:sp macro="" textlink="">
          <xdr:nvSpPr>
            <xdr:cNvPr id="0" name=""/>
            <xdr:cNvSpPr>
              <a:spLocks noTextEdit="1"/>
            </xdr:cNvSpPr>
          </xdr:nvSpPr>
          <xdr:spPr>
            <a:xfrm>
              <a:off x="1437875" y="3176541"/>
              <a:ext cx="1834653" cy="24190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477593</xdr:colOff>
      <xdr:row>33</xdr:row>
      <xdr:rowOff>90688</xdr:rowOff>
    </xdr:from>
    <xdr:to>
      <xdr:col>9</xdr:col>
      <xdr:colOff>202128</xdr:colOff>
      <xdr:row>48</xdr:row>
      <xdr:rowOff>16634</xdr:rowOff>
    </xdr:to>
    <xdr:graphicFrame macro="">
      <xdr:nvGraphicFramePr>
        <xdr:cNvPr id="10" name="Chart 9">
          <a:extLst>
            <a:ext uri="{FF2B5EF4-FFF2-40B4-BE49-F238E27FC236}">
              <a16:creationId xmlns:a16="http://schemas.microsoft.com/office/drawing/2014/main" id="{7619C9B5-2303-A8B8-1C3F-4D89BC6D3A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469900</xdr:colOff>
      <xdr:row>2</xdr:row>
      <xdr:rowOff>139700</xdr:rowOff>
    </xdr:from>
    <xdr:to>
      <xdr:col>15</xdr:col>
      <xdr:colOff>469900</xdr:colOff>
      <xdr:row>23</xdr:row>
      <xdr:rowOff>82550</xdr:rowOff>
    </xdr:to>
    <xdr:graphicFrame macro="">
      <xdr:nvGraphicFramePr>
        <xdr:cNvPr id="2" name="Chart 1">
          <a:extLst>
            <a:ext uri="{FF2B5EF4-FFF2-40B4-BE49-F238E27FC236}">
              <a16:creationId xmlns:a16="http://schemas.microsoft.com/office/drawing/2014/main" id="{E55DA013-AE24-92B9-0967-62216E12B9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469900</xdr:colOff>
      <xdr:row>2</xdr:row>
      <xdr:rowOff>139700</xdr:rowOff>
    </xdr:from>
    <xdr:to>
      <xdr:col>15</xdr:col>
      <xdr:colOff>469900</xdr:colOff>
      <xdr:row>23</xdr:row>
      <xdr:rowOff>82550</xdr:rowOff>
    </xdr:to>
    <xdr:graphicFrame macro="">
      <xdr:nvGraphicFramePr>
        <xdr:cNvPr id="3" name="Chart 2">
          <a:extLst>
            <a:ext uri="{FF2B5EF4-FFF2-40B4-BE49-F238E27FC236}">
              <a16:creationId xmlns:a16="http://schemas.microsoft.com/office/drawing/2014/main" id="{53EDB766-DABB-B45B-D06E-D78E6493BE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3</xdr:col>
          <xdr:colOff>25400</xdr:colOff>
          <xdr:row>3</xdr:row>
          <xdr:rowOff>38100</xdr:rowOff>
        </xdr:from>
        <xdr:to>
          <xdr:col>4</xdr:col>
          <xdr:colOff>406400</xdr:colOff>
          <xdr:row>5</xdr:row>
          <xdr:rowOff>101600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Macro Dashboard Button</a:t>
              </a:r>
            </a:p>
          </xdr:txBody>
        </xdr:sp>
        <xdr:clientData fPrintsWithSheet="0"/>
      </xdr:twoCellAnchor>
    </mc:Choice>
    <mc:Fallback/>
  </mc:AlternateContent>
  <xdr:twoCellAnchor>
    <xdr:from>
      <xdr:col>5</xdr:col>
      <xdr:colOff>431800</xdr:colOff>
      <xdr:row>2</xdr:row>
      <xdr:rowOff>139700</xdr:rowOff>
    </xdr:from>
    <xdr:to>
      <xdr:col>15</xdr:col>
      <xdr:colOff>431800</xdr:colOff>
      <xdr:row>23</xdr:row>
      <xdr:rowOff>82550</xdr:rowOff>
    </xdr:to>
    <xdr:graphicFrame macro="">
      <xdr:nvGraphicFramePr>
        <xdr:cNvPr id="4" name="Chart 3">
          <a:extLst>
            <a:ext uri="{FF2B5EF4-FFF2-40B4-BE49-F238E27FC236}">
              <a16:creationId xmlns:a16="http://schemas.microsoft.com/office/drawing/2014/main" id="{7DD95BBD-F155-88A7-5ACC-794DCE60C0A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431800</xdr:colOff>
      <xdr:row>2</xdr:row>
      <xdr:rowOff>139700</xdr:rowOff>
    </xdr:from>
    <xdr:to>
      <xdr:col>15</xdr:col>
      <xdr:colOff>431800</xdr:colOff>
      <xdr:row>23</xdr:row>
      <xdr:rowOff>82550</xdr:rowOff>
    </xdr:to>
    <xdr:graphicFrame macro="">
      <xdr:nvGraphicFramePr>
        <xdr:cNvPr id="5" name="Chart 4">
          <a:extLst>
            <a:ext uri="{FF2B5EF4-FFF2-40B4-BE49-F238E27FC236}">
              <a16:creationId xmlns:a16="http://schemas.microsoft.com/office/drawing/2014/main" id="{267211E7-7C89-D7AF-B569-3910D9E386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431800</xdr:colOff>
      <xdr:row>2</xdr:row>
      <xdr:rowOff>139700</xdr:rowOff>
    </xdr:from>
    <xdr:to>
      <xdr:col>15</xdr:col>
      <xdr:colOff>431800</xdr:colOff>
      <xdr:row>23</xdr:row>
      <xdr:rowOff>82550</xdr:rowOff>
    </xdr:to>
    <xdr:graphicFrame macro="">
      <xdr:nvGraphicFramePr>
        <xdr:cNvPr id="6" name="Chart 5">
          <a:extLst>
            <a:ext uri="{FF2B5EF4-FFF2-40B4-BE49-F238E27FC236}">
              <a16:creationId xmlns:a16="http://schemas.microsoft.com/office/drawing/2014/main" id="{452CFFBD-FFE3-12B0-4D25-96D3E26808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431800</xdr:colOff>
      <xdr:row>2</xdr:row>
      <xdr:rowOff>139700</xdr:rowOff>
    </xdr:from>
    <xdr:to>
      <xdr:col>15</xdr:col>
      <xdr:colOff>431800</xdr:colOff>
      <xdr:row>23</xdr:row>
      <xdr:rowOff>82550</xdr:rowOff>
    </xdr:to>
    <xdr:graphicFrame macro="">
      <xdr:nvGraphicFramePr>
        <xdr:cNvPr id="7" name="Chart 6">
          <a:extLst>
            <a:ext uri="{FF2B5EF4-FFF2-40B4-BE49-F238E27FC236}">
              <a16:creationId xmlns:a16="http://schemas.microsoft.com/office/drawing/2014/main" id="{4A0628DD-237B-E621-4689-9F9F4C23863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431800</xdr:colOff>
      <xdr:row>2</xdr:row>
      <xdr:rowOff>139700</xdr:rowOff>
    </xdr:from>
    <xdr:to>
      <xdr:col>15</xdr:col>
      <xdr:colOff>431800</xdr:colOff>
      <xdr:row>23</xdr:row>
      <xdr:rowOff>82550</xdr:rowOff>
    </xdr:to>
    <xdr:graphicFrame macro="">
      <xdr:nvGraphicFramePr>
        <xdr:cNvPr id="8" name="Chart 7">
          <a:extLst>
            <a:ext uri="{FF2B5EF4-FFF2-40B4-BE49-F238E27FC236}">
              <a16:creationId xmlns:a16="http://schemas.microsoft.com/office/drawing/2014/main" id="{86DC1C98-B2A0-0CF7-5612-819A6EFB0A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431800</xdr:colOff>
      <xdr:row>2</xdr:row>
      <xdr:rowOff>139700</xdr:rowOff>
    </xdr:from>
    <xdr:to>
      <xdr:col>15</xdr:col>
      <xdr:colOff>431800</xdr:colOff>
      <xdr:row>23</xdr:row>
      <xdr:rowOff>82550</xdr:rowOff>
    </xdr:to>
    <xdr:graphicFrame macro="">
      <xdr:nvGraphicFramePr>
        <xdr:cNvPr id="9" name="Chart 8">
          <a:extLst>
            <a:ext uri="{FF2B5EF4-FFF2-40B4-BE49-F238E27FC236}">
              <a16:creationId xmlns:a16="http://schemas.microsoft.com/office/drawing/2014/main" id="{B99830A4-058B-AA85-3ABB-F2C26EBE28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431800</xdr:colOff>
      <xdr:row>2</xdr:row>
      <xdr:rowOff>139700</xdr:rowOff>
    </xdr:from>
    <xdr:to>
      <xdr:col>15</xdr:col>
      <xdr:colOff>431800</xdr:colOff>
      <xdr:row>23</xdr:row>
      <xdr:rowOff>82550</xdr:rowOff>
    </xdr:to>
    <xdr:graphicFrame macro="">
      <xdr:nvGraphicFramePr>
        <xdr:cNvPr id="10" name="Chart 9">
          <a:extLst>
            <a:ext uri="{FF2B5EF4-FFF2-40B4-BE49-F238E27FC236}">
              <a16:creationId xmlns:a16="http://schemas.microsoft.com/office/drawing/2014/main" id="{92552B53-7CD5-201A-B9CF-4880E56756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431800</xdr:colOff>
      <xdr:row>2</xdr:row>
      <xdr:rowOff>139700</xdr:rowOff>
    </xdr:from>
    <xdr:to>
      <xdr:col>15</xdr:col>
      <xdr:colOff>431800</xdr:colOff>
      <xdr:row>23</xdr:row>
      <xdr:rowOff>82550</xdr:rowOff>
    </xdr:to>
    <xdr:graphicFrame macro="">
      <xdr:nvGraphicFramePr>
        <xdr:cNvPr id="11" name="Chart 10">
          <a:extLst>
            <a:ext uri="{FF2B5EF4-FFF2-40B4-BE49-F238E27FC236}">
              <a16:creationId xmlns:a16="http://schemas.microsoft.com/office/drawing/2014/main" id="{36315850-26CC-97A7-F5DB-A87BD429C7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431800</xdr:colOff>
      <xdr:row>2</xdr:row>
      <xdr:rowOff>139700</xdr:rowOff>
    </xdr:from>
    <xdr:to>
      <xdr:col>15</xdr:col>
      <xdr:colOff>431800</xdr:colOff>
      <xdr:row>23</xdr:row>
      <xdr:rowOff>82550</xdr:rowOff>
    </xdr:to>
    <xdr:graphicFrame macro="">
      <xdr:nvGraphicFramePr>
        <xdr:cNvPr id="12" name="Chart 11">
          <a:extLst>
            <a:ext uri="{FF2B5EF4-FFF2-40B4-BE49-F238E27FC236}">
              <a16:creationId xmlns:a16="http://schemas.microsoft.com/office/drawing/2014/main" id="{0C1CA56D-5212-C9DC-634F-7BF7C3F3E0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xdr:col>
      <xdr:colOff>431800</xdr:colOff>
      <xdr:row>2</xdr:row>
      <xdr:rowOff>139700</xdr:rowOff>
    </xdr:from>
    <xdr:to>
      <xdr:col>15</xdr:col>
      <xdr:colOff>431800</xdr:colOff>
      <xdr:row>23</xdr:row>
      <xdr:rowOff>82550</xdr:rowOff>
    </xdr:to>
    <xdr:graphicFrame macro="">
      <xdr:nvGraphicFramePr>
        <xdr:cNvPr id="13" name="Chart 12">
          <a:extLst>
            <a:ext uri="{FF2B5EF4-FFF2-40B4-BE49-F238E27FC236}">
              <a16:creationId xmlns:a16="http://schemas.microsoft.com/office/drawing/2014/main" id="{7023B36D-5BA6-4E49-21C9-1ED90114E0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xdr:col>
      <xdr:colOff>431800</xdr:colOff>
      <xdr:row>2</xdr:row>
      <xdr:rowOff>139700</xdr:rowOff>
    </xdr:from>
    <xdr:to>
      <xdr:col>15</xdr:col>
      <xdr:colOff>431800</xdr:colOff>
      <xdr:row>23</xdr:row>
      <xdr:rowOff>82550</xdr:rowOff>
    </xdr:to>
    <xdr:graphicFrame macro="">
      <xdr:nvGraphicFramePr>
        <xdr:cNvPr id="14" name="Chart 13">
          <a:extLst>
            <a:ext uri="{FF2B5EF4-FFF2-40B4-BE49-F238E27FC236}">
              <a16:creationId xmlns:a16="http://schemas.microsoft.com/office/drawing/2014/main" id="{43A007BA-44CD-F8BB-F3C1-3C8D2108D5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ram Yadav" refreshedDate="45906.390488657409" createdVersion="8" refreshedVersion="8" minRefreshableVersion="3" recordCount="1499" xr:uid="{1A5ED273-264E-4BC6-8513-AED26695099C}">
  <cacheSource type="worksheet">
    <worksheetSource ref="A1:V1500" sheet="Uber Data Excel Project"/>
  </cacheSource>
  <cacheFields count="22">
    <cacheField name="Date" numFmtId="14">
      <sharedItems containsSemiMixedTypes="0" containsNonDate="0" containsDate="1" containsString="0" minDate="2024-01-01T00:00:00" maxDate="2024-12-31T00:00:00" count="359">
        <d v="2024-03-23T00:00:00"/>
        <d v="2024-11-29T00:00:00"/>
        <d v="2024-08-23T00:00:00"/>
        <d v="2024-10-21T00:00:00"/>
        <d v="2024-09-16T00:00:00"/>
        <d v="2024-02-06T00:00:00"/>
        <d v="2024-06-17T00:00:00"/>
        <d v="2024-03-19T00:00:00"/>
        <d v="2024-09-14T00:00:00"/>
        <d v="2024-12-16T00:00:00"/>
        <d v="2024-06-14T00:00:00"/>
        <d v="2024-09-18T00:00:00"/>
        <d v="2024-06-25T00:00:00"/>
        <d v="2024-09-11T00:00:00"/>
        <d v="2024-10-18T00:00:00"/>
        <d v="2024-06-07T00:00:00"/>
        <d v="2024-07-01T00:00:00"/>
        <d v="2024-12-15T00:00:00"/>
        <d v="2024-11-24T00:00:00"/>
        <d v="2024-05-24T00:00:00"/>
        <d v="2024-12-14T00:00:00"/>
        <d v="2024-07-29T00:00:00"/>
        <d v="2024-02-23T00:00:00"/>
        <d v="2024-03-09T00:00:00"/>
        <d v="2024-08-28T00:00:00"/>
        <d v="2024-08-08T00:00:00"/>
        <d v="2024-01-26T00:00:00"/>
        <d v="2024-04-12T00:00:00"/>
        <d v="2024-04-05T00:00:00"/>
        <d v="2024-11-03T00:00:00"/>
        <d v="2024-05-18T00:00:00"/>
        <d v="2024-11-15T00:00:00"/>
        <d v="2024-02-04T00:00:00"/>
        <d v="2024-05-29T00:00:00"/>
        <d v="2024-07-13T00:00:00"/>
        <d v="2024-05-16T00:00:00"/>
        <d v="2024-10-02T00:00:00"/>
        <d v="2024-02-26T00:00:00"/>
        <d v="2024-09-10T00:00:00"/>
        <d v="2024-09-12T00:00:00"/>
        <d v="2024-01-24T00:00:00"/>
        <d v="2024-02-12T00:00:00"/>
        <d v="2024-04-01T00:00:00"/>
        <d v="2024-08-02T00:00:00"/>
        <d v="2024-09-30T00:00:00"/>
        <d v="2024-06-16T00:00:00"/>
        <d v="2024-05-04T00:00:00"/>
        <d v="2024-06-03T00:00:00"/>
        <d v="2024-10-03T00:00:00"/>
        <d v="2024-05-25T00:00:00"/>
        <d v="2024-03-04T00:00:00"/>
        <d v="2024-11-10T00:00:00"/>
        <d v="2024-04-11T00:00:00"/>
        <d v="2024-06-01T00:00:00"/>
        <d v="2024-05-09T00:00:00"/>
        <d v="2024-07-30T00:00:00"/>
        <d v="2024-02-25T00:00:00"/>
        <d v="2024-02-09T00:00:00"/>
        <d v="2024-03-02T00:00:00"/>
        <d v="2024-08-27T00:00:00"/>
        <d v="2024-03-08T00:00:00"/>
        <d v="2024-03-20T00:00:00"/>
        <d v="2024-01-25T00:00:00"/>
        <d v="2024-12-22T00:00:00"/>
        <d v="2024-12-21T00:00:00"/>
        <d v="2024-05-05T00:00:00"/>
        <d v="2024-11-08T00:00:00"/>
        <d v="2024-12-26T00:00:00"/>
        <d v="2024-09-05T00:00:00"/>
        <d v="2024-11-25T00:00:00"/>
        <d v="2024-08-15T00:00:00"/>
        <d v="2024-02-10T00:00:00"/>
        <d v="2024-09-26T00:00:00"/>
        <d v="2024-10-19T00:00:00"/>
        <d v="2024-03-31T00:00:00"/>
        <d v="2024-12-11T00:00:00"/>
        <d v="2024-06-19T00:00:00"/>
        <d v="2024-06-20T00:00:00"/>
        <d v="2024-07-10T00:00:00"/>
        <d v="2024-09-20T00:00:00"/>
        <d v="2024-04-30T00:00:00"/>
        <d v="2024-06-04T00:00:00"/>
        <d v="2024-10-30T00:00:00"/>
        <d v="2024-08-11T00:00:00"/>
        <d v="2024-05-21T00:00:00"/>
        <d v="2024-10-08T00:00:00"/>
        <d v="2024-03-26T00:00:00"/>
        <d v="2024-06-24T00:00:00"/>
        <d v="2024-03-28T00:00:00"/>
        <d v="2024-09-27T00:00:00"/>
        <d v="2024-04-26T00:00:00"/>
        <d v="2024-05-19T00:00:00"/>
        <d v="2024-06-05T00:00:00"/>
        <d v="2024-01-07T00:00:00"/>
        <d v="2024-04-19T00:00:00"/>
        <d v="2024-06-10T00:00:00"/>
        <d v="2024-08-16T00:00:00"/>
        <d v="2024-07-21T00:00:00"/>
        <d v="2024-09-22T00:00:00"/>
        <d v="2024-05-26T00:00:00"/>
        <d v="2024-03-30T00:00:00"/>
        <d v="2024-09-19T00:00:00"/>
        <d v="2024-06-28T00:00:00"/>
        <d v="2024-11-30T00:00:00"/>
        <d v="2024-11-04T00:00:00"/>
        <d v="2024-04-16T00:00:00"/>
        <d v="2024-01-15T00:00:00"/>
        <d v="2024-07-08T00:00:00"/>
        <d v="2024-08-14T00:00:00"/>
        <d v="2024-07-31T00:00:00"/>
        <d v="2024-05-08T00:00:00"/>
        <d v="2024-08-09T00:00:00"/>
        <d v="2024-05-12T00:00:00"/>
        <d v="2024-02-20T00:00:00"/>
        <d v="2024-12-24T00:00:00"/>
        <d v="2024-04-28T00:00:00"/>
        <d v="2024-01-18T00:00:00"/>
        <d v="2024-04-15T00:00:00"/>
        <d v="2024-12-19T00:00:00"/>
        <d v="2024-01-22T00:00:00"/>
        <d v="2024-08-17T00:00:00"/>
        <d v="2024-06-02T00:00:00"/>
        <d v="2024-03-11T00:00:00"/>
        <d v="2024-11-20T00:00:00"/>
        <d v="2024-10-23T00:00:00"/>
        <d v="2024-08-10T00:00:00"/>
        <d v="2024-05-06T00:00:00"/>
        <d v="2024-11-13T00:00:00"/>
        <d v="2024-02-15T00:00:00"/>
        <d v="2024-08-01T00:00:00"/>
        <d v="2024-05-02T00:00:00"/>
        <d v="2024-10-20T00:00:00"/>
        <d v="2024-02-13T00:00:00"/>
        <d v="2024-07-11T00:00:00"/>
        <d v="2024-11-18T00:00:00"/>
        <d v="2024-03-05T00:00:00"/>
        <d v="2024-01-12T00:00:00"/>
        <d v="2024-05-17T00:00:00"/>
        <d v="2024-05-13T00:00:00"/>
        <d v="2024-01-04T00:00:00"/>
        <d v="2024-11-05T00:00:00"/>
        <d v="2024-02-22T00:00:00"/>
        <d v="2024-12-04T00:00:00"/>
        <d v="2024-12-12T00:00:00"/>
        <d v="2024-07-12T00:00:00"/>
        <d v="2024-12-17T00:00:00"/>
        <d v="2024-08-29T00:00:00"/>
        <d v="2024-03-25T00:00:00"/>
        <d v="2024-06-30T00:00:00"/>
        <d v="2024-07-18T00:00:00"/>
        <d v="2024-03-14T00:00:00"/>
        <d v="2024-09-15T00:00:00"/>
        <d v="2024-11-16T00:00:00"/>
        <d v="2024-07-19T00:00:00"/>
        <d v="2024-12-02T00:00:00"/>
        <d v="2024-05-30T00:00:00"/>
        <d v="2024-12-05T00:00:00"/>
        <d v="2024-07-16T00:00:00"/>
        <d v="2024-01-06T00:00:00"/>
        <d v="2024-02-28T00:00:00"/>
        <d v="2024-04-04T00:00:00"/>
        <d v="2024-05-07T00:00:00"/>
        <d v="2024-06-15T00:00:00"/>
        <d v="2024-01-23T00:00:00"/>
        <d v="2024-10-28T00:00:00"/>
        <d v="2024-08-24T00:00:00"/>
        <d v="2024-10-22T00:00:00"/>
        <d v="2024-07-02T00:00:00"/>
        <d v="2024-09-07T00:00:00"/>
        <d v="2024-07-05T00:00:00"/>
        <d v="2024-05-03T00:00:00"/>
        <d v="2024-04-10T00:00:00"/>
        <d v="2024-04-22T00:00:00"/>
        <d v="2024-09-25T00:00:00"/>
        <d v="2024-12-10T00:00:00"/>
        <d v="2024-07-27T00:00:00"/>
        <d v="2024-10-16T00:00:00"/>
        <d v="2024-02-18T00:00:00"/>
        <d v="2024-03-07T00:00:00"/>
        <d v="2024-02-01T00:00:00"/>
        <d v="2024-03-10T00:00:00"/>
        <d v="2024-03-03T00:00:00"/>
        <d v="2024-10-26T00:00:00"/>
        <d v="2024-09-06T00:00:00"/>
        <d v="2024-12-20T00:00:00"/>
        <d v="2024-07-04T00:00:00"/>
        <d v="2024-10-17T00:00:00"/>
        <d v="2024-12-25T00:00:00"/>
        <d v="2024-04-23T00:00:00"/>
        <d v="2024-02-11T00:00:00"/>
        <d v="2024-03-22T00:00:00"/>
        <d v="2024-05-01T00:00:00"/>
        <d v="2024-04-03T00:00:00"/>
        <d v="2024-04-21T00:00:00"/>
        <d v="2024-05-14T00:00:00"/>
        <d v="2024-10-07T00:00:00"/>
        <d v="2024-11-19T00:00:00"/>
        <d v="2024-06-27T00:00:00"/>
        <d v="2024-03-16T00:00:00"/>
        <d v="2024-04-13T00:00:00"/>
        <d v="2024-11-28T00:00:00"/>
        <d v="2024-08-30T00:00:00"/>
        <d v="2024-07-25T00:00:00"/>
        <d v="2024-12-27T00:00:00"/>
        <d v="2024-12-06T00:00:00"/>
        <d v="2024-08-13T00:00:00"/>
        <d v="2024-01-20T00:00:00"/>
        <d v="2024-07-28T00:00:00"/>
        <d v="2024-08-04T00:00:00"/>
        <d v="2024-08-05T00:00:00"/>
        <d v="2024-03-21T00:00:00"/>
        <d v="2024-04-29T00:00:00"/>
        <d v="2024-09-13T00:00:00"/>
        <d v="2024-10-06T00:00:00"/>
        <d v="2024-10-10T00:00:00"/>
        <d v="2024-12-28T00:00:00"/>
        <d v="2024-11-11T00:00:00"/>
        <d v="2024-08-20T00:00:00"/>
        <d v="2024-11-27T00:00:00"/>
        <d v="2024-12-29T00:00:00"/>
        <d v="2024-04-08T00:00:00"/>
        <d v="2024-07-23T00:00:00"/>
        <d v="2024-10-09T00:00:00"/>
        <d v="2024-11-06T00:00:00"/>
        <d v="2024-02-17T00:00:00"/>
        <d v="2024-08-19T00:00:00"/>
        <d v="2024-01-16T00:00:00"/>
        <d v="2024-06-06T00:00:00"/>
        <d v="2024-03-18T00:00:00"/>
        <d v="2024-07-24T00:00:00"/>
        <d v="2024-09-29T00:00:00"/>
        <d v="2024-11-23T00:00:00"/>
        <d v="2024-01-11T00:00:00"/>
        <d v="2024-08-26T00:00:00"/>
        <d v="2024-04-02T00:00:00"/>
        <d v="2024-12-01T00:00:00"/>
        <d v="2024-02-05T00:00:00"/>
        <d v="2024-03-06T00:00:00"/>
        <d v="2024-04-24T00:00:00"/>
        <d v="2024-09-09T00:00:00"/>
        <d v="2024-08-12T00:00:00"/>
        <d v="2024-10-15T00:00:00"/>
        <d v="2024-02-07T00:00:00"/>
        <d v="2024-12-30T00:00:00"/>
        <d v="2024-07-06T00:00:00"/>
        <d v="2024-01-27T00:00:00"/>
        <d v="2024-01-02T00:00:00"/>
        <d v="2024-01-21T00:00:00"/>
        <d v="2024-02-14T00:00:00"/>
        <d v="2024-02-24T00:00:00"/>
        <d v="2024-01-19T00:00:00"/>
        <d v="2024-02-27T00:00:00"/>
        <d v="2024-10-14T00:00:00"/>
        <d v="2024-12-23T00:00:00"/>
        <d v="2024-02-03T00:00:00"/>
        <d v="2024-10-29T00:00:00"/>
        <d v="2024-03-29T00:00:00"/>
        <d v="2024-05-15T00:00:00"/>
        <d v="2024-04-18T00:00:00"/>
        <d v="2024-03-12T00:00:00"/>
        <d v="2024-05-23T00:00:00"/>
        <d v="2024-07-03T00:00:00"/>
        <d v="2024-02-16T00:00:00"/>
        <d v="2024-12-18T00:00:00"/>
        <d v="2024-01-03T00:00:00"/>
        <d v="2024-08-21T00:00:00"/>
        <d v="2024-05-27T00:00:00"/>
        <d v="2024-01-30T00:00:00"/>
        <d v="2024-05-11T00:00:00"/>
        <d v="2024-05-20T00:00:00"/>
        <d v="2024-05-28T00:00:00"/>
        <d v="2024-09-24T00:00:00"/>
        <d v="2024-11-02T00:00:00"/>
        <d v="2024-07-07T00:00:00"/>
        <d v="2024-03-13T00:00:00"/>
        <d v="2024-06-18T00:00:00"/>
        <d v="2024-04-14T00:00:00"/>
        <d v="2024-01-31T00:00:00"/>
        <d v="2024-01-05T00:00:00"/>
        <d v="2024-07-15T00:00:00"/>
        <d v="2024-01-13T00:00:00"/>
        <d v="2024-11-09T00:00:00"/>
        <d v="2024-04-17T00:00:00"/>
        <d v="2024-12-13T00:00:00"/>
        <d v="2024-10-12T00:00:00"/>
        <d v="2024-02-29T00:00:00"/>
        <d v="2024-08-03T00:00:00"/>
        <d v="2024-04-09T00:00:00"/>
        <d v="2024-08-22T00:00:00"/>
        <d v="2024-03-15T00:00:00"/>
        <d v="2024-04-07T00:00:00"/>
        <d v="2024-01-17T00:00:00"/>
        <d v="2024-07-14T00:00:00"/>
        <d v="2024-10-24T00:00:00"/>
        <d v="2024-09-21T00:00:00"/>
        <d v="2024-06-22T00:00:00"/>
        <d v="2024-11-12T00:00:00"/>
        <d v="2024-10-31T00:00:00"/>
        <d v="2024-06-21T00:00:00"/>
        <d v="2024-07-22T00:00:00"/>
        <d v="2024-01-08T00:00:00"/>
        <d v="2024-09-04T00:00:00"/>
        <d v="2024-01-29T00:00:00"/>
        <d v="2024-11-07T00:00:00"/>
        <d v="2024-11-26T00:00:00"/>
        <d v="2024-06-26T00:00:00"/>
        <d v="2024-01-28T00:00:00"/>
        <d v="2024-01-14T00:00:00"/>
        <d v="2024-07-09T00:00:00"/>
        <d v="2024-08-31T00:00:00"/>
        <d v="2024-03-01T00:00:00"/>
        <d v="2024-07-17T00:00:00"/>
        <d v="2024-10-11T00:00:00"/>
        <d v="2024-08-18T00:00:00"/>
        <d v="2024-05-31T00:00:00"/>
        <d v="2024-11-22T00:00:00"/>
        <d v="2024-04-27T00:00:00"/>
        <d v="2024-12-03T00:00:00"/>
        <d v="2024-10-25T00:00:00"/>
        <d v="2024-03-24T00:00:00"/>
        <d v="2024-09-02T00:00:00"/>
        <d v="2024-06-12T00:00:00"/>
        <d v="2024-01-09T00:00:00"/>
        <d v="2024-09-23T00:00:00"/>
        <d v="2024-09-17T00:00:00"/>
        <d v="2024-02-21T00:00:00"/>
        <d v="2024-10-27T00:00:00"/>
        <d v="2024-06-23T00:00:00"/>
        <d v="2024-12-07T00:00:00"/>
        <d v="2024-10-13T00:00:00"/>
        <d v="2024-03-27T00:00:00"/>
        <d v="2024-09-03T00:00:00"/>
        <d v="2024-08-06T00:00:00"/>
        <d v="2024-11-14T00:00:00"/>
        <d v="2024-11-21T00:00:00"/>
        <d v="2024-01-10T00:00:00"/>
        <d v="2024-11-17T00:00:00"/>
        <d v="2024-02-08T00:00:00"/>
        <d v="2024-09-01T00:00:00"/>
        <d v="2024-01-01T00:00:00"/>
        <d v="2024-04-25T00:00:00"/>
        <d v="2024-06-08T00:00:00"/>
        <d v="2024-10-01T00:00:00"/>
        <d v="2024-02-19T00:00:00"/>
        <d v="2024-06-11T00:00:00"/>
        <d v="2024-07-26T00:00:00"/>
        <d v="2024-12-09T00:00:00"/>
        <d v="2024-09-28T00:00:00"/>
        <d v="2024-06-09T00:00:00"/>
        <d v="2024-11-01T00:00:00"/>
        <d v="2024-02-02T00:00:00"/>
        <d v="2024-05-10T00:00:00"/>
        <d v="2024-09-08T00:00:00"/>
        <d v="2024-03-17T00:00:00"/>
        <d v="2024-07-20T00:00:00"/>
        <d v="2024-12-08T00:00:00"/>
        <d v="2024-10-04T00:00:00"/>
        <d v="2024-04-06T00:00:00"/>
        <d v="2024-05-22T00:00:00"/>
      </sharedItems>
    </cacheField>
    <cacheField name="Month" numFmtId="0">
      <sharedItems count="12">
        <s v="March"/>
        <s v="November"/>
        <s v="August"/>
        <s v="October"/>
        <s v="September"/>
        <s v="February"/>
        <s v="June"/>
        <s v="December"/>
        <s v="July"/>
        <s v="May"/>
        <s v="January"/>
        <s v="April"/>
      </sharedItems>
    </cacheField>
    <cacheField name="Time" numFmtId="21">
      <sharedItems containsSemiMixedTypes="0" containsNonDate="0" containsDate="1" containsString="0" minDate="1899-12-30T00:02:34" maxDate="1899-12-30T23:59:15" count="1487">
        <d v="1899-12-30T12:29:38"/>
        <d v="1899-12-30T18:01:39"/>
        <d v="1899-12-30T08:56:10"/>
        <d v="1899-12-30T17:17:25"/>
        <d v="1899-12-30T22:08:00"/>
        <d v="1899-12-30T09:44:56"/>
        <d v="1899-12-30T15:45:58"/>
        <d v="1899-12-30T17:37:37"/>
        <d v="1899-12-30T12:49:09"/>
        <d v="1899-12-30T19:06:48"/>
        <d v="1899-12-30T16:24:12"/>
        <d v="1899-12-30T08:09:38"/>
        <d v="1899-12-30T22:44:15"/>
        <d v="1899-12-30T19:29:39"/>
        <d v="1899-12-30T18:28:53"/>
        <d v="1899-12-30T15:05:35"/>
        <d v="1899-12-30T10:51:16"/>
        <d v="1899-12-30T15:08:25"/>
        <d v="1899-12-30T09:07:10"/>
        <d v="1899-12-30T19:53:57"/>
        <d v="1899-12-30T21:27:04"/>
        <d v="1899-12-30T06:28:22"/>
        <d v="1899-12-30T11:02:45"/>
        <d v="1899-12-30T20:14:24"/>
        <d v="1899-12-30T16:30:14"/>
        <d v="1899-12-30T06:34:38"/>
        <d v="1899-12-30T09:44:00"/>
        <d v="1899-12-30T19:42:35"/>
        <d v="1899-12-30T18:57:12"/>
        <d v="1899-12-30T12:24:59"/>
        <d v="1899-12-30T17:37:52"/>
        <d v="1899-12-30T05:53:55"/>
        <d v="1899-12-30T18:08:04"/>
        <d v="1899-12-30T14:05:10"/>
        <d v="1899-12-30T19:53:15"/>
        <d v="1899-12-30T19:21:10"/>
        <d v="1899-12-30T13:04:31"/>
        <d v="1899-12-30T03:10:35"/>
        <d v="1899-12-30T15:43:16"/>
        <d v="1899-12-30T13:02:42"/>
        <d v="1899-12-30T09:14:57"/>
        <d v="1899-12-30T10:47:57"/>
        <d v="1899-12-30T19:42:39"/>
        <d v="1899-12-30T19:17:00"/>
        <d v="1899-12-30T21:14:19"/>
        <d v="1899-12-30T21:06:36"/>
        <d v="1899-12-30T07:17:07"/>
        <d v="1899-12-30T13:10:50"/>
        <d v="1899-12-30T00:44:47"/>
        <d v="1899-12-30T09:33:55"/>
        <d v="1899-12-30T21:26:59"/>
        <d v="1899-12-30T18:14:47"/>
        <d v="1899-12-30T22:20:34"/>
        <d v="1899-12-30T11:24:29"/>
        <d v="1899-12-30T17:46:46"/>
        <d v="1899-12-30T05:13:57"/>
        <d v="1899-12-30T10:36:44"/>
        <d v="1899-12-30T15:43:34"/>
        <d v="1899-12-30T10:03:27"/>
        <d v="1899-12-30T10:44:30"/>
        <d v="1899-12-30T12:02:26"/>
        <d v="1899-12-30T16:23:19"/>
        <d v="1899-12-30T11:15:59"/>
        <d v="1899-12-30T04:59:03"/>
        <d v="1899-12-30T18:22:02"/>
        <d v="1899-12-30T09:28:38"/>
        <d v="1899-12-30T09:59:11"/>
        <d v="1899-12-30T12:39:21"/>
        <d v="1899-12-30T11:14:35"/>
        <d v="1899-12-30T20:25:47"/>
        <d v="1899-12-30T19:52:48"/>
        <d v="1899-12-30T10:53:20"/>
        <d v="1899-12-30T21:40:00"/>
        <d v="1899-12-30T11:38:09"/>
        <d v="1899-12-30T21:22:39"/>
        <d v="1899-12-30T17:01:10"/>
        <d v="1899-12-30T21:21:55"/>
        <d v="1899-12-30T07:44:18"/>
        <d v="1899-12-30T08:29:14"/>
        <d v="1899-12-30T18:40:03"/>
        <d v="1899-12-30T09:17:39"/>
        <d v="1899-12-30T11:33:51"/>
        <d v="1899-12-30T17:39:56"/>
        <d v="1899-12-30T16:24:50"/>
        <d v="1899-12-30T10:51:01"/>
        <d v="1899-12-30T12:37:12"/>
        <d v="1899-12-30T17:05:36"/>
        <d v="1899-12-30T16:19:41"/>
        <d v="1899-12-30T18:58:36"/>
        <d v="1899-12-30T02:23:12"/>
        <d v="1899-12-30T21:27:00"/>
        <d v="1899-12-30T12:34:51"/>
        <d v="1899-12-30T13:09:16"/>
        <d v="1899-12-30T20:25:28"/>
        <d v="1899-12-30T20:38:07"/>
        <d v="1899-12-30T16:29:36"/>
        <d v="1899-12-30T18:21:32"/>
        <d v="1899-12-30T17:39:58"/>
        <d v="1899-12-30T08:52:57"/>
        <d v="1899-12-30T18:59:52"/>
        <d v="1899-12-30T18:04:39"/>
        <d v="1899-12-30T19:20:01"/>
        <d v="1899-12-30T20:16:53"/>
        <d v="1899-12-30T15:45:51"/>
        <d v="1899-12-30T18:47:16"/>
        <d v="1899-12-30T11:16:12"/>
        <d v="1899-12-30T16:21:31"/>
        <d v="1899-12-30T14:14:27"/>
        <d v="1899-12-30T16:34:57"/>
        <d v="1899-12-30T19:13:05"/>
        <d v="1899-12-30T15:24:51"/>
        <d v="1899-12-30T17:05:19"/>
        <d v="1899-12-30T15:32:16"/>
        <d v="1899-12-30T18:46:34"/>
        <d v="1899-12-30T11:31:18"/>
        <d v="1899-12-30T10:45:00"/>
        <d v="1899-12-30T06:39:39"/>
        <d v="1899-12-30T22:36:05"/>
        <d v="1899-12-30T13:55:19"/>
        <d v="1899-12-30T08:47:23"/>
        <d v="1899-12-30T16:16:56"/>
        <d v="1899-12-30T10:22:29"/>
        <d v="1899-12-30T18:36:50"/>
        <d v="1899-12-30T13:46:26"/>
        <d v="1899-12-30T19:41:40"/>
        <d v="1899-12-30T05:52:14"/>
        <d v="1899-12-30T18:08:10"/>
        <d v="1899-12-30T15:55:36"/>
        <d v="1899-12-30T14:17:24"/>
        <d v="1899-12-30T17:05:26"/>
        <d v="1899-12-30T17:50:10"/>
        <d v="1899-12-30T17:41:00"/>
        <d v="1899-12-30T17:07:36"/>
        <d v="1899-12-30T16:37:21"/>
        <d v="1899-12-30T12:28:32"/>
        <d v="1899-12-30T16:41:35"/>
        <d v="1899-12-30T22:15:54"/>
        <d v="1899-12-30T09:10:13"/>
        <d v="1899-12-30T01:09:07"/>
        <d v="1899-12-30T18:51:34"/>
        <d v="1899-12-30T20:45:58"/>
        <d v="1899-12-30T10:30:20"/>
        <d v="1899-12-30T17:11:59"/>
        <d v="1899-12-30T19:59:01"/>
        <d v="1899-12-30T18:13:59"/>
        <d v="1899-12-30T23:04:30"/>
        <d v="1899-12-30T19:03:28"/>
        <d v="1899-12-30T20:42:59"/>
        <d v="1899-12-30T18:23:40"/>
        <d v="1899-12-30T21:13:51"/>
        <d v="1899-12-30T20:31:57"/>
        <d v="1899-12-30T12:35:03"/>
        <d v="1899-12-30T21:27:23"/>
        <d v="1899-12-30T22:20:11"/>
        <d v="1899-12-30T16:42:58"/>
        <d v="1899-12-30T10:50:53"/>
        <d v="1899-12-30T18:36:43"/>
        <d v="1899-12-30T19:24:18"/>
        <d v="1899-12-30T06:51:43"/>
        <d v="1899-12-30T16:07:51"/>
        <d v="1899-12-30T12:35:33"/>
        <d v="1899-12-30T19:11:02"/>
        <d v="1899-12-30T06:16:08"/>
        <d v="1899-12-30T19:16:35"/>
        <d v="1899-12-30T06:04:30"/>
        <d v="1899-12-30T12:47:05"/>
        <d v="1899-12-30T23:08:22"/>
        <d v="1899-12-30T06:11:32"/>
        <d v="1899-12-30T16:51:38"/>
        <d v="1899-12-30T07:38:34"/>
        <d v="1899-12-30T14:42:27"/>
        <d v="1899-12-30T07:14:32"/>
        <d v="1899-12-30T16:38:12"/>
        <d v="1899-12-30T12:21:00"/>
        <d v="1899-12-30T09:19:16"/>
        <d v="1899-12-30T01:08:21"/>
        <d v="1899-12-30T21:08:35"/>
        <d v="1899-12-30T06:58:58"/>
        <d v="1899-12-30T22:02:03"/>
        <d v="1899-12-30T18:52:02"/>
        <d v="1899-12-30T17:11:41"/>
        <d v="1899-12-30T21:03:12"/>
        <d v="1899-12-30T22:48:26"/>
        <d v="1899-12-30T14:09:18"/>
        <d v="1899-12-30T09:58:14"/>
        <d v="1899-12-30T12:01:07"/>
        <d v="1899-12-30T22:28:52"/>
        <d v="1899-12-30T16:39:57"/>
        <d v="1899-12-30T19:11:24"/>
        <d v="1899-12-30T21:01:54"/>
        <d v="1899-12-30T18:40:11"/>
        <d v="1899-12-30T21:34:48"/>
        <d v="1899-12-30T02:41:57"/>
        <d v="1899-12-30T23:23:23"/>
        <d v="1899-12-30T12:23:13"/>
        <d v="1899-12-30T20:23:02"/>
        <d v="1899-12-30T10:16:09"/>
        <d v="1899-12-30T19:05:30"/>
        <d v="1899-12-30T16:57:27"/>
        <d v="1899-12-30T20:04:25"/>
        <d v="1899-12-30T14:29:16"/>
        <d v="1899-12-30T22:06:40"/>
        <d v="1899-12-30T18:57:34"/>
        <d v="1899-12-30T07:56:34"/>
        <d v="1899-12-30T19:23:06"/>
        <d v="1899-12-30T16:59:15"/>
        <d v="1899-12-30T20:53:36"/>
        <d v="1899-12-30T03:21:43"/>
        <d v="1899-12-30T18:49:22"/>
        <d v="1899-12-30T08:32:26"/>
        <d v="1899-12-30T16:33:57"/>
        <d v="1899-12-30T21:10:50"/>
        <d v="1899-12-30T19:12:37"/>
        <d v="1899-12-30T20:58:12"/>
        <d v="1899-12-30T21:24:16"/>
        <d v="1899-12-30T10:28:09"/>
        <d v="1899-12-30T15:46:27"/>
        <d v="1899-12-30T10:17:43"/>
        <d v="1899-12-30T07:48:07"/>
        <d v="1899-12-30T17:53:25"/>
        <d v="1899-12-30T21:09:54"/>
        <d v="1899-12-30T08:48:36"/>
        <d v="1899-12-30T08:41:41"/>
        <d v="1899-12-30T06:53:10"/>
        <d v="1899-12-30T09:03:55"/>
        <d v="1899-12-30T15:25:18"/>
        <d v="1899-12-30T04:07:03"/>
        <d v="1899-12-30T06:41:29"/>
        <d v="1899-12-30T21:53:28"/>
        <d v="1899-12-30T19:13:34"/>
        <d v="1899-12-30T09:18:36"/>
        <d v="1899-12-30T17:13:32"/>
        <d v="1899-12-30T18:58:35"/>
        <d v="1899-12-30T18:18:13"/>
        <d v="1899-12-30T15:49:09"/>
        <d v="1899-12-30T14:20:31"/>
        <d v="1899-12-30T10:59:44"/>
        <d v="1899-12-30T02:49:21"/>
        <d v="1899-12-30T11:41:45"/>
        <d v="1899-12-30T21:30:28"/>
        <d v="1899-12-30T19:10:02"/>
        <d v="1899-12-30T16:24:39"/>
        <d v="1899-12-30T14:34:57"/>
        <d v="1899-12-30T10:59:58"/>
        <d v="1899-12-30T17:11:13"/>
        <d v="1899-12-30T23:11:32"/>
        <d v="1899-12-30T10:03:37"/>
        <d v="1899-12-30T08:42:50"/>
        <d v="1899-12-30T09:13:13"/>
        <d v="1899-12-30T21:06:20"/>
        <d v="1899-12-30T13:48:25"/>
        <d v="1899-12-30T13:44:51"/>
        <d v="1899-12-30T20:20:54"/>
        <d v="1899-12-30T08:50:10"/>
        <d v="1899-12-30T16:16:28"/>
        <d v="1899-12-30T10:45:14"/>
        <d v="1899-12-30T11:00:26"/>
        <d v="1899-12-30T15:55:15"/>
        <d v="1899-12-30T17:46:59"/>
        <d v="1899-12-30T08:04:36"/>
        <d v="1899-12-30T05:04:40"/>
        <d v="1899-12-30T08:02:57"/>
        <d v="1899-12-30T11:09:18"/>
        <d v="1899-12-30T18:46:31"/>
        <d v="1899-12-30T14:03:27"/>
        <d v="1899-12-30T21:49:01"/>
        <d v="1899-12-30T07:28:54"/>
        <d v="1899-12-30T09:30:03"/>
        <d v="1899-12-30T18:48:40"/>
        <d v="1899-12-30T20:05:26"/>
        <d v="1899-12-30T09:40:17"/>
        <d v="1899-12-30T19:47:28"/>
        <d v="1899-12-30T12:27:17"/>
        <d v="1899-12-30T19:41:11"/>
        <d v="1899-12-30T14:17:08"/>
        <d v="1899-12-30T18:07:44"/>
        <d v="1899-12-30T21:55:25"/>
        <d v="1899-12-30T16:22:15"/>
        <d v="1899-12-30T07:50:54"/>
        <d v="1899-12-30T17:13:13"/>
        <d v="1899-12-30T19:36:59"/>
        <d v="1899-12-30T21:03:43"/>
        <d v="1899-12-30T11:19:15"/>
        <d v="1899-12-30T03:34:51"/>
        <d v="1899-12-30T20:44:46"/>
        <d v="1899-12-30T19:00:23"/>
        <d v="1899-12-30T20:29:02"/>
        <d v="1899-12-30T19:28:35"/>
        <d v="1899-12-30T18:35:05"/>
        <d v="1899-12-30T10:12:54"/>
        <d v="1899-12-30T21:04:51"/>
        <d v="1899-12-30T14:46:21"/>
        <d v="1899-12-30T16:43:09"/>
        <d v="1899-12-30T01:14:14"/>
        <d v="1899-12-30T16:09:31"/>
        <d v="1899-12-30T18:47:50"/>
        <d v="1899-12-30T17:14:18"/>
        <d v="1899-12-30T21:04:42"/>
        <d v="1899-12-30T14:02:47"/>
        <d v="1899-12-30T20:15:39"/>
        <d v="1899-12-30T20:15:11"/>
        <d v="1899-12-30T13:22:10"/>
        <d v="1899-12-30T11:03:11"/>
        <d v="1899-12-30T11:57:59"/>
        <d v="1899-12-30T21:15:24"/>
        <d v="1899-12-30T11:34:22"/>
        <d v="1899-12-30T09:55:49"/>
        <d v="1899-12-30T08:25:20"/>
        <d v="1899-12-30T15:40:40"/>
        <d v="1899-12-30T12:45:03"/>
        <d v="1899-12-30T01:29:50"/>
        <d v="1899-12-30T22:39:08"/>
        <d v="1899-12-30T13:35:55"/>
        <d v="1899-12-30T15:20:50"/>
        <d v="1899-12-30T06:30:30"/>
        <d v="1899-12-30T21:53:22"/>
        <d v="1899-12-30T03:56:19"/>
        <d v="1899-12-30T06:39:13"/>
        <d v="1899-12-30T15:23:53"/>
        <d v="1899-12-30T16:22:48"/>
        <d v="1899-12-30T09:51:13"/>
        <d v="1899-12-30T22:39:15"/>
        <d v="1899-12-30T17:42:35"/>
        <d v="1899-12-30T08:10:57"/>
        <d v="1899-12-30T02:51:56"/>
        <d v="1899-12-30T18:30:55"/>
        <d v="1899-12-30T19:49:23"/>
        <d v="1899-12-30T10:39:57"/>
        <d v="1899-12-30T18:09:35"/>
        <d v="1899-12-30T20:42:23"/>
        <d v="1899-12-30T09:05:53"/>
        <d v="1899-12-30T01:52:02"/>
        <d v="1899-12-30T02:44:58"/>
        <d v="1899-12-30T13:15:08"/>
        <d v="1899-12-30T11:09:37"/>
        <d v="1899-12-30T16:35:23"/>
        <d v="1899-12-30T13:53:17"/>
        <d v="1899-12-30T14:05:34"/>
        <d v="1899-12-30T19:07:57"/>
        <d v="1899-12-30T15:56:29"/>
        <d v="1899-12-30T13:01:21"/>
        <d v="1899-12-30T10:53:47"/>
        <d v="1899-12-30T17:20:23"/>
        <d v="1899-12-30T20:13:00"/>
        <d v="1899-12-30T08:57:24"/>
        <d v="1899-12-30T02:31:09"/>
        <d v="1899-12-30T16:19:02"/>
        <d v="1899-12-30T17:14:35"/>
        <d v="1899-12-30T09:16:04"/>
        <d v="1899-12-30T21:29:14"/>
        <d v="1899-12-30T17:48:55"/>
        <d v="1899-12-30T21:13:50"/>
        <d v="1899-12-30T15:15:50"/>
        <d v="1899-12-30T18:52:59"/>
        <d v="1899-12-30T17:22:40"/>
        <d v="1899-12-30T12:20:07"/>
        <d v="1899-12-30T18:07:10"/>
        <d v="1899-12-30T14:39:37"/>
        <d v="1899-12-30T18:44:28"/>
        <d v="1899-12-30T03:42:37"/>
        <d v="1899-12-30T05:25:09"/>
        <d v="1899-12-30T17:29:47"/>
        <d v="1899-12-30T19:08:22"/>
        <d v="1899-12-30T18:06:50"/>
        <d v="1899-12-30T14:38:02"/>
        <d v="1899-12-30T19:18:56"/>
        <d v="1899-12-30T16:19:12"/>
        <d v="1899-12-30T21:41:12"/>
        <d v="1899-12-30T14:06:02"/>
        <d v="1899-12-30T16:49:53"/>
        <d v="1899-12-30T19:24:59"/>
        <d v="1899-12-30T18:05:10"/>
        <d v="1899-12-30T15:53:15"/>
        <d v="1899-12-30T23:28:39"/>
        <d v="1899-12-30T04:51:55"/>
        <d v="1899-12-30T09:09:48"/>
        <d v="1899-12-30T03:45:50"/>
        <d v="1899-12-30T21:25:37"/>
        <d v="1899-12-30T14:26:34"/>
        <d v="1899-12-30T11:35:16"/>
        <d v="1899-12-30T16:59:05"/>
        <d v="1899-12-30T06:06:08"/>
        <d v="1899-12-30T11:25:04"/>
        <d v="1899-12-30T11:49:24"/>
        <d v="1899-12-30T11:55:31"/>
        <d v="1899-12-30T20:08:07"/>
        <d v="1899-12-30T10:32:59"/>
        <d v="1899-12-30T02:37:10"/>
        <d v="1899-12-30T21:52:08"/>
        <d v="1899-12-30T23:59:15"/>
        <d v="1899-12-30T13:31:45"/>
        <d v="1899-12-30T17:45:30"/>
        <d v="1899-12-30T19:41:22"/>
        <d v="1899-12-30T13:53:18"/>
        <d v="1899-12-30T07:10:12"/>
        <d v="1899-12-30T11:47:22"/>
        <d v="1899-12-30T01:17:51"/>
        <d v="1899-12-30T12:34:46"/>
        <d v="1899-12-30T09:03:00"/>
        <d v="1899-12-30T19:25:02"/>
        <d v="1899-12-30T13:02:32"/>
        <d v="1899-12-30T14:46:37"/>
        <d v="1899-12-30T23:05:49"/>
        <d v="1899-12-30T21:48:21"/>
        <d v="1899-12-30T15:09:07"/>
        <d v="1899-12-30T09:33:05"/>
        <d v="1899-12-30T12:25:23"/>
        <d v="1899-12-30T22:13:15"/>
        <d v="1899-12-30T23:39:15"/>
        <d v="1899-12-30T19:00:24"/>
        <d v="1899-12-30T19:47:03"/>
        <d v="1899-12-30T16:43:36"/>
        <d v="1899-12-30T16:52:05"/>
        <d v="1899-12-30T10:17:35"/>
        <d v="1899-12-30T22:33:01"/>
        <d v="1899-12-30T19:43:12"/>
        <d v="1899-12-30T06:09:08"/>
        <d v="1899-12-30T10:43:36"/>
        <d v="1899-12-30T06:22:50"/>
        <d v="1899-12-30T18:58:54"/>
        <d v="1899-12-30T20:42:13"/>
        <d v="1899-12-30T15:02:03"/>
        <d v="1899-12-30T11:34:09"/>
        <d v="1899-12-30T10:19:51"/>
        <d v="1899-12-30T17:43:38"/>
        <d v="1899-12-30T18:26:42"/>
        <d v="1899-12-30T18:19:32"/>
        <d v="1899-12-30T19:10:04"/>
        <d v="1899-12-30T20:12:48"/>
        <d v="1899-12-30T08:59:05"/>
        <d v="1899-12-30T18:13:26"/>
        <d v="1899-12-30T19:53:26"/>
        <d v="1899-12-30T00:27:47"/>
        <d v="1899-12-30T22:00:18"/>
        <d v="1899-12-30T17:11:05"/>
        <d v="1899-12-30T19:23:42"/>
        <d v="1899-12-30T16:22:08"/>
        <d v="1899-12-30T11:48:21"/>
        <d v="1899-12-30T07:07:23"/>
        <d v="1899-12-30T18:38:27"/>
        <d v="1899-12-30T18:46:11"/>
        <d v="1899-12-30T16:22:14"/>
        <d v="1899-12-30T04:41:59"/>
        <d v="1899-12-30T22:33:27"/>
        <d v="1899-12-30T19:05:58"/>
        <d v="1899-12-30T11:49:33"/>
        <d v="1899-12-30T19:48:28"/>
        <d v="1899-12-30T14:00:29"/>
        <d v="1899-12-30T13:03:15"/>
        <d v="1899-12-30T19:39:38"/>
        <d v="1899-12-30T09:12:38"/>
        <d v="1899-12-30T17:16:04"/>
        <d v="1899-12-30T08:54:09"/>
        <d v="1899-12-30T13:43:56"/>
        <d v="1899-12-30T10:34:23"/>
        <d v="1899-12-30T21:14:25"/>
        <d v="1899-12-30T03:34:22"/>
        <d v="1899-12-30T20:23:08"/>
        <d v="1899-12-30T09:12:53"/>
        <d v="1899-12-30T19:10:08"/>
        <d v="1899-12-30T17:59:06"/>
        <d v="1899-12-30T21:54:30"/>
        <d v="1899-12-30T15:20:19"/>
        <d v="1899-12-30T18:52:40"/>
        <d v="1899-12-30T09:59:46"/>
        <d v="1899-12-30T16:53:42"/>
        <d v="1899-12-30T11:21:13"/>
        <d v="1899-12-30T06:52:49"/>
        <d v="1899-12-30T15:34:07"/>
        <d v="1899-12-30T10:19:06"/>
        <d v="1899-12-30T19:30:57"/>
        <d v="1899-12-30T07:40:03"/>
        <d v="1899-12-30T08:18:20"/>
        <d v="1899-12-30T18:10:37"/>
        <d v="1899-12-30T11:52:33"/>
        <d v="1899-12-30T12:53:30"/>
        <d v="1899-12-30T13:54:20"/>
        <d v="1899-12-30T16:57:48"/>
        <d v="1899-12-30T09:51:14"/>
        <d v="1899-12-30T07:46:22"/>
        <d v="1899-12-30T18:30:52"/>
        <d v="1899-12-30T05:27:39"/>
        <d v="1899-12-30T18:08:25"/>
        <d v="1899-12-30T18:08:03"/>
        <d v="1899-12-30T19:33:38"/>
        <d v="1899-12-30T16:58:32"/>
        <d v="1899-12-30T17:50:42"/>
        <d v="1899-12-30T18:51:57"/>
        <d v="1899-12-30T05:56:09"/>
        <d v="1899-12-30T20:32:17"/>
        <d v="1899-12-30T22:58:02"/>
        <d v="1899-12-30T09:20:39"/>
        <d v="1899-12-30T17:05:28"/>
        <d v="1899-12-30T18:27:13"/>
        <d v="1899-12-30T23:43:15"/>
        <d v="1899-12-30T09:03:49"/>
        <d v="1899-12-30T03:06:06"/>
        <d v="1899-12-30T20:53:11"/>
        <d v="1899-12-30T13:28:31"/>
        <d v="1899-12-30T12:14:07"/>
        <d v="1899-12-30T20:46:08"/>
        <d v="1899-12-30T14:52:54"/>
        <d v="1899-12-30T20:17:26"/>
        <d v="1899-12-30T10:02:17"/>
        <d v="1899-12-30T09:37:31"/>
        <d v="1899-12-30T18:19:30"/>
        <d v="1899-12-30T21:14:38"/>
        <d v="1899-12-30T10:07:04"/>
        <d v="1899-12-30T20:06:11"/>
        <d v="1899-12-30T20:21:12"/>
        <d v="1899-12-30T15:08:47"/>
        <d v="1899-12-30T16:23:25"/>
        <d v="1899-12-30T12:48:08"/>
        <d v="1899-12-30T10:00:31"/>
        <d v="1899-12-30T19:49:46"/>
        <d v="1899-12-30T14:02:01"/>
        <d v="1899-12-30T08:09:09"/>
        <d v="1899-12-30T20:19:58"/>
        <d v="1899-12-30T17:00:33"/>
        <d v="1899-12-30T08:25:19"/>
        <d v="1899-12-30T17:58:11"/>
        <d v="1899-12-30T19:05:27"/>
        <d v="1899-12-30T09:57:25"/>
        <d v="1899-12-30T10:28:54"/>
        <d v="1899-12-30T21:06:58"/>
        <d v="1899-12-30T14:09:02"/>
        <d v="1899-12-30T11:10:02"/>
        <d v="1899-12-30T04:40:50"/>
        <d v="1899-12-30T22:58:27"/>
        <d v="1899-12-30T17:14:23"/>
        <d v="1899-12-30T14:38:13"/>
        <d v="1899-12-30T15:21:21"/>
        <d v="1899-12-30T08:04:49"/>
        <d v="1899-12-30T11:27:31"/>
        <d v="1899-12-30T18:43:24"/>
        <d v="1899-12-30T07:55:35"/>
        <d v="1899-12-30T20:40:00"/>
        <d v="1899-12-30T18:13:20"/>
        <d v="1899-12-30T21:51:46"/>
        <d v="1899-12-30T15:11:55"/>
        <d v="1899-12-30T20:06:27"/>
        <d v="1899-12-30T21:18:07"/>
        <d v="1899-12-30T18:19:48"/>
        <d v="1899-12-30T17:57:48"/>
        <d v="1899-12-30T07:17:19"/>
        <d v="1899-12-30T23:11:44"/>
        <d v="1899-12-30T13:46:36"/>
        <d v="1899-12-30T16:44:33"/>
        <d v="1899-12-30T13:48:26"/>
        <d v="1899-12-30T19:17:25"/>
        <d v="1899-12-30T14:35:05"/>
        <d v="1899-12-30T16:45:00"/>
        <d v="1899-12-30T12:37:59"/>
        <d v="1899-12-30T12:48:28"/>
        <d v="1899-12-30T12:27:33"/>
        <d v="1899-12-30T06:30:07"/>
        <d v="1899-12-30T17:41:41"/>
        <d v="1899-12-30T12:49:17"/>
        <d v="1899-12-30T15:17:40"/>
        <d v="1899-12-30T12:15:54"/>
        <d v="1899-12-30T16:38:52"/>
        <d v="1899-12-30T19:44:01"/>
        <d v="1899-12-30T22:21:38"/>
        <d v="1899-12-30T09:47:34"/>
        <d v="1899-12-30T21:40:13"/>
        <d v="1899-12-30T05:53:26"/>
        <d v="1899-12-30T07:00:32"/>
        <d v="1899-12-30T10:19:52"/>
        <d v="1899-12-30T19:06:23"/>
        <d v="1899-12-30T17:18:39"/>
        <d v="1899-12-30T13:37:48"/>
        <d v="1899-12-30T18:38:19"/>
        <d v="1899-12-30T18:58:47"/>
        <d v="1899-12-30T10:25:53"/>
        <d v="1899-12-30T15:05:38"/>
        <d v="1899-12-30T04:00:36"/>
        <d v="1899-12-30T22:25:41"/>
        <d v="1899-12-30T19:15:38"/>
        <d v="1899-12-30T09:34:01"/>
        <d v="1899-12-30T20:05:28"/>
        <d v="1899-12-30T10:30:09"/>
        <d v="1899-12-30T19:38:43"/>
        <d v="1899-12-30T17:18:51"/>
        <d v="1899-12-30T14:46:35"/>
        <d v="1899-12-30T08:22:00"/>
        <d v="1899-12-30T09:45:28"/>
        <d v="1899-12-30T17:06:19"/>
        <d v="1899-12-30T16:23:38"/>
        <d v="1899-12-30T16:17:42"/>
        <d v="1899-12-30T08:28:49"/>
        <d v="1899-12-30T13:59:52"/>
        <d v="1899-12-30T23:29:34"/>
        <d v="1899-12-30T18:19:54"/>
        <d v="1899-12-30T10:40:26"/>
        <d v="1899-12-30T06:07:23"/>
        <d v="1899-12-30T11:46:44"/>
        <d v="1899-12-30T06:12:54"/>
        <d v="1899-12-30T19:38:20"/>
        <d v="1899-12-30T20:49:04"/>
        <d v="1899-12-30T11:16:17"/>
        <d v="1899-12-30T17:07:14"/>
        <d v="1899-12-30T16:54:05"/>
        <d v="1899-12-30T05:36:39"/>
        <d v="1899-12-30T09:51:54"/>
        <d v="1899-12-30T16:32:43"/>
        <d v="1899-12-30T19:30:09"/>
        <d v="1899-12-30T17:50:09"/>
        <d v="1899-12-30T21:15:02"/>
        <d v="1899-12-30T08:20:00"/>
        <d v="1899-12-30T16:55:54"/>
        <d v="1899-12-30T15:01:11"/>
        <d v="1899-12-30T19:45:06"/>
        <d v="1899-12-30T19:14:56"/>
        <d v="1899-12-30T11:31:48"/>
        <d v="1899-12-30T12:04:56"/>
        <d v="1899-12-30T16:59:49"/>
        <d v="1899-12-30T14:07:00"/>
        <d v="1899-12-30T15:36:47"/>
        <d v="1899-12-30T23:51:33"/>
        <d v="1899-12-30T21:05:15"/>
        <d v="1899-12-30T12:12:23"/>
        <d v="1899-12-30T19:02:56"/>
        <d v="1899-12-30T06:31:59"/>
        <d v="1899-12-30T08:29:40"/>
        <d v="1899-12-30T22:18:29"/>
        <d v="1899-12-30T08:32:00"/>
        <d v="1899-12-30T21:00:28"/>
        <d v="1899-12-30T19:59:10"/>
        <d v="1899-12-30T13:18:26"/>
        <d v="1899-12-30T12:49:16"/>
        <d v="1899-12-30T08:47:58"/>
        <d v="1899-12-30T22:50:56"/>
        <d v="1899-12-30T15:15:23"/>
        <d v="1899-12-30T07:08:32"/>
        <d v="1899-12-30T17:14:55"/>
        <d v="1899-12-30T08:12:15"/>
        <d v="1899-12-30T14:13:38"/>
        <d v="1899-12-30T23:04:08"/>
        <d v="1899-12-30T18:01:32"/>
        <d v="1899-12-30T10:49:23"/>
        <d v="1899-12-30T11:48:26"/>
        <d v="1899-12-30T05:14:49"/>
        <d v="1899-12-30T19:13:11"/>
        <d v="1899-12-30T17:50:12"/>
        <d v="1899-12-30T08:33:15"/>
        <d v="1899-12-30T09:13:21"/>
        <d v="1899-12-30T13:40:36"/>
        <d v="1899-12-30T19:24:53"/>
        <d v="1899-12-30T15:47:38"/>
        <d v="1899-12-30T10:07:55"/>
        <d v="1899-12-30T16:39:18"/>
        <d v="1899-12-30T01:13:00"/>
        <d v="1899-12-30T19:32:23"/>
        <d v="1899-12-30T07:04:20"/>
        <d v="1899-12-30T14:59:55"/>
        <d v="1899-12-30T15:54:57"/>
        <d v="1899-12-30T18:01:19"/>
        <d v="1899-12-30T12:07:41"/>
        <d v="1899-12-30T19:21:11"/>
        <d v="1899-12-30T22:19:35"/>
        <d v="1899-12-30T18:22:12"/>
        <d v="1899-12-30T20:28:56"/>
        <d v="1899-12-30T14:13:53"/>
        <d v="1899-12-30T21:22:34"/>
        <d v="1899-12-30T06:55:05"/>
        <d v="1899-12-30T18:48:35"/>
        <d v="1899-12-30T04:29:44"/>
        <d v="1899-12-30T06:00:16"/>
        <d v="1899-12-30T22:34:50"/>
        <d v="1899-12-30T11:16:28"/>
        <d v="1899-12-30T17:33:35"/>
        <d v="1899-12-30T07:28:25"/>
        <d v="1899-12-30T10:59:30"/>
        <d v="1899-12-30T22:18:11"/>
        <d v="1899-12-30T17:40:11"/>
        <d v="1899-12-30T07:49:28"/>
        <d v="1899-12-30T17:17:59"/>
        <d v="1899-12-30T22:36:04"/>
        <d v="1899-12-30T22:28:41"/>
        <d v="1899-12-30T18:34:10"/>
        <d v="1899-12-30T17:15:22"/>
        <d v="1899-12-30T21:11:22"/>
        <d v="1899-12-30T14:34:29"/>
        <d v="1899-12-30T21:13:34"/>
        <d v="1899-12-30T09:57:51"/>
        <d v="1899-12-30T10:45:22"/>
        <d v="1899-12-30T20:54:30"/>
        <d v="1899-12-30T10:53:55"/>
        <d v="1899-12-30T20:20:27"/>
        <d v="1899-12-30T17:07:56"/>
        <d v="1899-12-30T16:56:38"/>
        <d v="1899-12-30T04:48:26"/>
        <d v="1899-12-30T08:12:58"/>
        <d v="1899-12-30T09:17:03"/>
        <d v="1899-12-30T18:35:30"/>
        <d v="1899-12-30T15:18:54"/>
        <d v="1899-12-30T18:26:46"/>
        <d v="1899-12-30T19:50:28"/>
        <d v="1899-12-30T01:16:43"/>
        <d v="1899-12-30T23:04:44"/>
        <d v="1899-12-30T13:57:05"/>
        <d v="1899-12-30T16:11:43"/>
        <d v="1899-12-30T17:30:46"/>
        <d v="1899-12-30T12:33:15"/>
        <d v="1899-12-30T00:56:01"/>
        <d v="1899-12-30T03:08:38"/>
        <d v="1899-12-30T22:06:38"/>
        <d v="1899-12-30T08:03:46"/>
        <d v="1899-12-30T23:36:51"/>
        <d v="1899-12-30T14:34:44"/>
        <d v="1899-12-30T16:02:17"/>
        <d v="1899-12-30T13:48:43"/>
        <d v="1899-12-30T00:25:56"/>
        <d v="1899-12-30T19:35:11"/>
        <d v="1899-12-30T15:45:33"/>
        <d v="1899-12-30T06:30:58"/>
        <d v="1899-12-30T16:14:28"/>
        <d v="1899-12-30T18:26:16"/>
        <d v="1899-12-30T19:13:35"/>
        <d v="1899-12-30T05:48:39"/>
        <d v="1899-12-30T14:29:56"/>
        <d v="1899-12-30T14:02:17"/>
        <d v="1899-12-30T17:27:56"/>
        <d v="1899-12-30T21:13:55"/>
        <d v="1899-12-30T13:38:27"/>
        <d v="1899-12-30T19:17:58"/>
        <d v="1899-12-30T20:19:22"/>
        <d v="1899-12-30T16:48:56"/>
        <d v="1899-12-30T09:41:12"/>
        <d v="1899-12-30T02:16:29"/>
        <d v="1899-12-30T10:46:08"/>
        <d v="1899-12-30T21:40:16"/>
        <d v="1899-12-30T20:04:40"/>
        <d v="1899-12-30T19:09:21"/>
        <d v="1899-12-30T15:18:28"/>
        <d v="1899-12-30T18:10:56"/>
        <d v="1899-12-30T14:58:13"/>
        <d v="1899-12-30T08:49:43"/>
        <d v="1899-12-30T08:55:47"/>
        <d v="1899-12-30T22:56:43"/>
        <d v="1899-12-30T10:43:05"/>
        <d v="1899-12-30T21:43:40"/>
        <d v="1899-12-30T19:59:22"/>
        <d v="1899-12-30T06:23:53"/>
        <d v="1899-12-30T05:45:21"/>
        <d v="1899-12-30T16:40:53"/>
        <d v="1899-12-30T11:30:12"/>
        <d v="1899-12-30T02:53:22"/>
        <d v="1899-12-30T16:48:05"/>
        <d v="1899-12-30T13:59:54"/>
        <d v="1899-12-30T22:50:23"/>
        <d v="1899-12-30T17:36:04"/>
        <d v="1899-12-30T16:04:21"/>
        <d v="1899-12-30T22:54:00"/>
        <d v="1899-12-30T07:40:35"/>
        <d v="1899-12-30T10:56:23"/>
        <d v="1899-12-30T16:08:37"/>
        <d v="1899-12-30T07:31:28"/>
        <d v="1899-12-30T06:39:21"/>
        <d v="1899-12-30T06:45:04"/>
        <d v="1899-12-30T15:01:07"/>
        <d v="1899-12-30T20:51:43"/>
        <d v="1899-12-30T13:24:41"/>
        <d v="1899-12-30T05:30:31"/>
        <d v="1899-12-30T14:51:12"/>
        <d v="1899-12-30T09:02:15"/>
        <d v="1899-12-30T11:44:39"/>
        <d v="1899-12-30T09:07:20"/>
        <d v="1899-12-30T20:47:33"/>
        <d v="1899-12-30T14:56:35"/>
        <d v="1899-12-30T19:22:01"/>
        <d v="1899-12-30T14:25:25"/>
        <d v="1899-12-30T15:30:19"/>
        <d v="1899-12-30T19:47:38"/>
        <d v="1899-12-30T22:15:19"/>
        <d v="1899-12-30T10:56:13"/>
        <d v="1899-12-30T17:21:56"/>
        <d v="1899-12-30T21:37:32"/>
        <d v="1899-12-30T18:24:09"/>
        <d v="1899-12-30T20:42:54"/>
        <d v="1899-12-30T23:03:35"/>
        <d v="1899-12-30T09:19:28"/>
        <d v="1899-12-30T21:00:15"/>
        <d v="1899-12-30T14:47:52"/>
        <d v="1899-12-30T20:30:17"/>
        <d v="1899-12-30T22:19:58"/>
        <d v="1899-12-30T17:51:08"/>
        <d v="1899-12-30T20:25:20"/>
        <d v="1899-12-30T01:06:04"/>
        <d v="1899-12-30T18:43:51"/>
        <d v="1899-12-30T06:59:49"/>
        <d v="1899-12-30T20:40:24"/>
        <d v="1899-12-30T16:31:47"/>
        <d v="1899-12-30T14:19:04"/>
        <d v="1899-12-30T12:36:07"/>
        <d v="1899-12-30T11:33:08"/>
        <d v="1899-12-30T20:49:44"/>
        <d v="1899-12-30T08:19:49"/>
        <d v="1899-12-30T14:28:27"/>
        <d v="1899-12-30T17:07:27"/>
        <d v="1899-12-30T12:13:08"/>
        <d v="1899-12-30T22:02:52"/>
        <d v="1899-12-30T18:15:34"/>
        <d v="1899-12-30T18:23:01"/>
        <d v="1899-12-30T20:45:19"/>
        <d v="1899-12-30T10:57:45"/>
        <d v="1899-12-30T18:37:16"/>
        <d v="1899-12-30T11:18:30"/>
        <d v="1899-12-30T11:42:26"/>
        <d v="1899-12-30T20:24:45"/>
        <d v="1899-12-30T19:05:10"/>
        <d v="1899-12-30T10:34:45"/>
        <d v="1899-12-30T18:48:18"/>
        <d v="1899-12-30T07:49:39"/>
        <d v="1899-12-30T14:55:28"/>
        <d v="1899-12-30T16:41:47"/>
        <d v="1899-12-30T07:53:31"/>
        <d v="1899-12-30T04:03:30"/>
        <d v="1899-12-30T10:32:14"/>
        <d v="1899-12-30T21:43:18"/>
        <d v="1899-12-30T01:34:22"/>
        <d v="1899-12-30T11:15:42"/>
        <d v="1899-12-30T10:35:57"/>
        <d v="1899-12-30T18:10:28"/>
        <d v="1899-12-30T07:31:29"/>
        <d v="1899-12-30T14:13:59"/>
        <d v="1899-12-30T11:08:10"/>
        <d v="1899-12-30T05:07:20"/>
        <d v="1899-12-30T20:59:12"/>
        <d v="1899-12-30T16:26:49"/>
        <d v="1899-12-30T09:49:01"/>
        <d v="1899-12-30T19:51:36"/>
        <d v="1899-12-30T23:02:51"/>
        <d v="1899-12-30T05:34:45"/>
        <d v="1899-12-30T17:13:31"/>
        <d v="1899-12-30T21:37:48"/>
        <d v="1899-12-30T20:44:06"/>
        <d v="1899-12-30T15:23:22"/>
        <d v="1899-12-30T14:23:15"/>
        <d v="1899-12-30T21:50:51"/>
        <d v="1899-12-30T17:28:07"/>
        <d v="1899-12-30T18:53:14"/>
        <d v="1899-12-30T07:08:01"/>
        <d v="1899-12-30T17:10:04"/>
        <d v="1899-12-30T18:42:24"/>
        <d v="1899-12-30T17:20:08"/>
        <d v="1899-12-30T12:03:41"/>
        <d v="1899-12-30T04:32:16"/>
        <d v="1899-12-30T22:42:13"/>
        <d v="1899-12-30T09:57:40"/>
        <d v="1899-12-30T09:07:03"/>
        <d v="1899-12-30T00:51:55"/>
        <d v="1899-12-30T07:07:42"/>
        <d v="1899-12-30T19:46:09"/>
        <d v="1899-12-30T10:14:15"/>
        <d v="1899-12-30T06:23:51"/>
        <d v="1899-12-30T11:32:54"/>
        <d v="1899-12-30T20:18:56"/>
        <d v="1899-12-30T23:04:36"/>
        <d v="1899-12-30T21:34:44"/>
        <d v="1899-12-30T19:53:38"/>
        <d v="1899-12-30T17:59:11"/>
        <d v="1899-12-30T10:51:06"/>
        <d v="1899-12-30T17:33:05"/>
        <d v="1899-12-30T07:18:34"/>
        <d v="1899-12-30T12:32:45"/>
        <d v="1899-12-30T18:32:11"/>
        <d v="1899-12-30T12:56:28"/>
        <d v="1899-12-30T18:20:06"/>
        <d v="1899-12-30T01:53:17"/>
        <d v="1899-12-30T17:30:52"/>
        <d v="1899-12-30T07:33:52"/>
        <d v="1899-12-30T16:42:51"/>
        <d v="1899-12-30T13:59:49"/>
        <d v="1899-12-30T16:42:54"/>
        <d v="1899-12-30T16:18:19"/>
        <d v="1899-12-30T17:48:08"/>
        <d v="1899-12-30T18:34:11"/>
        <d v="1899-12-30T10:31:23"/>
        <d v="1899-12-30T14:25:42"/>
        <d v="1899-12-30T20:54:05"/>
        <d v="1899-12-30T11:18:50"/>
        <d v="1899-12-30T17:59:09"/>
        <d v="1899-12-30T18:19:05"/>
        <d v="1899-12-30T13:06:27"/>
        <d v="1899-12-30T21:50:27"/>
        <d v="1899-12-30T08:48:26"/>
        <d v="1899-12-30T17:28:54"/>
        <d v="1899-12-30T13:09:52"/>
        <d v="1899-12-30T18:14:56"/>
        <d v="1899-12-30T09:11:09"/>
        <d v="1899-12-30T18:45:01"/>
        <d v="1899-12-30T15:19:20"/>
        <d v="1899-12-30T22:32:09"/>
        <d v="1899-12-30T03:41:52"/>
        <d v="1899-12-30T08:21:07"/>
        <d v="1899-12-30T19:32:05"/>
        <d v="1899-12-30T10:52:34"/>
        <d v="1899-12-30T22:17:20"/>
        <d v="1899-12-30T20:08:29"/>
        <d v="1899-12-30T23:54:40"/>
        <d v="1899-12-30T22:49:23"/>
        <d v="1899-12-30T12:41:01"/>
        <d v="1899-12-30T08:33:04"/>
        <d v="1899-12-30T19:45:10"/>
        <d v="1899-12-30T11:47:18"/>
        <d v="1899-12-30T05:06:50"/>
        <d v="1899-12-30T22:05:22"/>
        <d v="1899-12-30T16:20:40"/>
        <d v="1899-12-30T14:12:51"/>
        <d v="1899-12-30T13:25:23"/>
        <d v="1899-12-30T17:15:40"/>
        <d v="1899-12-30T09:09:22"/>
        <d v="1899-12-30T14:25:06"/>
        <d v="1899-12-30T09:45:20"/>
        <d v="1899-12-30T18:32:27"/>
        <d v="1899-12-30T08:41:23"/>
        <d v="1899-12-30T07:08:44"/>
        <d v="1899-12-30T20:08:25"/>
        <d v="1899-12-30T08:32:29"/>
        <d v="1899-12-30T15:59:50"/>
        <d v="1899-12-30T12:31:40"/>
        <d v="1899-12-30T19:06:08"/>
        <d v="1899-12-30T15:51:05"/>
        <d v="1899-12-30T22:50:44"/>
        <d v="1899-12-30T19:52:11"/>
        <d v="1899-12-30T22:02:19"/>
        <d v="1899-12-30T20:22:49"/>
        <d v="1899-12-30T21:57:03"/>
        <d v="1899-12-30T14:08:25"/>
        <d v="1899-12-30T21:02:27"/>
        <d v="1899-12-30T18:21:36"/>
        <d v="1899-12-30T08:03:54"/>
        <d v="1899-12-30T12:35:21"/>
        <d v="1899-12-30T10:03:42"/>
        <d v="1899-12-30T00:30:43"/>
        <d v="1899-12-30T18:26:59"/>
        <d v="1899-12-30T01:45:54"/>
        <d v="1899-12-30T20:38:05"/>
        <d v="1899-12-30T08:37:47"/>
        <d v="1899-12-30T17:03:47"/>
        <d v="1899-12-30T17:25:42"/>
        <d v="1899-12-30T06:12:27"/>
        <d v="1899-12-30T06:15:30"/>
        <d v="1899-12-30T19:26:48"/>
        <d v="1899-12-30T06:25:56"/>
        <d v="1899-12-30T15:10:08"/>
        <d v="1899-12-30T15:59:15"/>
        <d v="1899-12-30T05:08:27"/>
        <d v="1899-12-30T11:19:52"/>
        <d v="1899-12-30T19:54:40"/>
        <d v="1899-12-30T13:43:42"/>
        <d v="1899-12-30T14:53:12"/>
        <d v="1899-12-30T17:12:15"/>
        <d v="1899-12-30T17:17:23"/>
        <d v="1899-12-30T07:11:32"/>
        <d v="1899-12-30T15:54:15"/>
        <d v="1899-12-30T16:50:37"/>
        <d v="1899-12-30T19:01:09"/>
        <d v="1899-12-30T15:39:39"/>
        <d v="1899-12-30T10:44:54"/>
        <d v="1899-12-30T10:51:00"/>
        <d v="1899-12-30T05:22:45"/>
        <d v="1899-12-30T00:02:34"/>
        <d v="1899-12-30T10:23:31"/>
        <d v="1899-12-30T20:30:49"/>
        <d v="1899-12-30T18:10:53"/>
        <d v="1899-12-30T12:25:00"/>
        <d v="1899-12-30T11:10:06"/>
        <d v="1899-12-30T14:56:25"/>
        <d v="1899-12-30T22:50:49"/>
        <d v="1899-12-30T15:33:29"/>
        <d v="1899-12-30T18:09:57"/>
        <d v="1899-12-30T18:06:35"/>
        <d v="1899-12-30T22:04:09"/>
        <d v="1899-12-30T22:27:56"/>
        <d v="1899-12-30T07:26:47"/>
        <d v="1899-12-30T05:51:23"/>
        <d v="1899-12-30T15:12:27"/>
        <d v="1899-12-30T14:40:33"/>
        <d v="1899-12-30T12:19:27"/>
        <d v="1899-12-30T13:31:09"/>
        <d v="1899-12-30T09:38:15"/>
        <d v="1899-12-30T14:26:21"/>
        <d v="1899-12-30T09:04:20"/>
        <d v="1899-12-30T17:44:49"/>
        <d v="1899-12-30T17:49:16"/>
        <d v="1899-12-30T17:20:37"/>
        <d v="1899-12-30T18:05:08"/>
        <d v="1899-12-30T10:36:28"/>
        <d v="1899-12-30T07:49:14"/>
        <d v="1899-12-30T20:14:03"/>
        <d v="1899-12-30T11:39:21"/>
        <d v="1899-12-30T13:52:27"/>
        <d v="1899-12-30T13:51:27"/>
        <d v="1899-12-30T01:15:16"/>
        <d v="1899-12-30T22:05:35"/>
        <d v="1899-12-30T11:26:32"/>
        <d v="1899-12-30T15:04:09"/>
        <d v="1899-12-30T01:17:33"/>
        <d v="1899-12-30T19:31:39"/>
        <d v="1899-12-30T10:05:52"/>
        <d v="1899-12-30T10:20:44"/>
        <d v="1899-12-30T11:30:32"/>
        <d v="1899-12-30T00:34:29"/>
        <d v="1899-12-30T22:50:24"/>
        <d v="1899-12-30T21:50:35"/>
        <d v="1899-12-30T19:46:16"/>
        <d v="1899-12-30T11:37:32"/>
        <d v="1899-12-30T18:00:38"/>
        <d v="1899-12-30T05:46:17"/>
        <d v="1899-12-30T21:26:05"/>
        <d v="1899-12-30T16:46:34"/>
        <d v="1899-12-30T12:18:13"/>
        <d v="1899-12-30T08:42:33"/>
        <d v="1899-12-30T16:35:09"/>
        <d v="1899-12-30T19:59:26"/>
        <d v="1899-12-30T18:03:42"/>
        <d v="1899-12-30T11:59:18"/>
        <d v="1899-12-30T14:10:00"/>
        <d v="1899-12-30T18:46:25"/>
        <d v="1899-12-30T00:15:22"/>
        <d v="1899-12-30T08:57:17"/>
        <d v="1899-12-30T10:52:10"/>
        <d v="1899-12-30T06:36:13"/>
        <d v="1899-12-30T14:27:16"/>
        <d v="1899-12-30T04:43:29"/>
        <d v="1899-12-30T09:17:51"/>
        <d v="1899-12-30T20:14:25"/>
        <d v="1899-12-30T19:00:52"/>
        <d v="1899-12-30T22:29:09"/>
        <d v="1899-12-30T23:51:48"/>
        <d v="1899-12-30T16:43:10"/>
        <d v="1899-12-30T16:10:57"/>
        <d v="1899-12-30T17:40:31"/>
        <d v="1899-12-30T09:28:33"/>
        <d v="1899-12-30T21:06:07"/>
        <d v="1899-12-30T15:54:23"/>
        <d v="1899-12-30T08:26:07"/>
        <d v="1899-12-30T10:31:59"/>
        <d v="1899-12-30T08:15:44"/>
        <d v="1899-12-30T19:04:32"/>
        <d v="1899-12-30T00:02:54"/>
        <d v="1899-12-30T09:38:21"/>
        <d v="1899-12-30T09:19:21"/>
        <d v="1899-12-30T20:01:46"/>
        <d v="1899-12-30T07:05:06"/>
        <d v="1899-12-30T15:00:28"/>
        <d v="1899-12-30T10:22:00"/>
        <d v="1899-12-30T21:17:13"/>
        <d v="1899-12-30T04:25:51"/>
        <d v="1899-12-30T12:24:27"/>
        <d v="1899-12-30T22:54:28"/>
        <d v="1899-12-30T12:10:36"/>
        <d v="1899-12-30T10:49:08"/>
        <d v="1899-12-30T17:03:02"/>
        <d v="1899-12-30T21:01:10"/>
        <d v="1899-12-30T15:11:53"/>
        <d v="1899-12-30T03:00:26"/>
        <d v="1899-12-30T10:53:37"/>
        <d v="1899-12-30T16:04:38"/>
        <d v="1899-12-30T16:10:17"/>
        <d v="1899-12-30T10:11:28"/>
        <d v="1899-12-30T22:39:07"/>
        <d v="1899-12-30T13:34:20"/>
        <d v="1899-12-30T14:07:28"/>
        <d v="1899-12-30T16:30:26"/>
        <d v="1899-12-30T20:36:10"/>
        <d v="1899-12-30T06:29:10"/>
        <d v="1899-12-30T15:50:33"/>
        <d v="1899-12-30T19:47:01"/>
        <d v="1899-12-30T18:40:30"/>
        <d v="1899-12-30T08:40:27"/>
        <d v="1899-12-30T10:42:53"/>
        <d v="1899-12-30T04:23:43"/>
        <d v="1899-12-30T00:30:14"/>
        <d v="1899-12-30T05:39:17"/>
        <d v="1899-12-30T11:14:30"/>
        <d v="1899-12-30T00:30:51"/>
        <d v="1899-12-30T09:52:06"/>
        <d v="1899-12-30T18:07:09"/>
        <d v="1899-12-30T11:56:13"/>
        <d v="1899-12-30T19:10:36"/>
        <d v="1899-12-30T21:47:17"/>
        <d v="1899-12-30T19:45:21"/>
        <d v="1899-12-30T17:58:12"/>
        <d v="1899-12-30T18:53:57"/>
        <d v="1899-12-30T16:21:33"/>
        <d v="1899-12-30T10:30:24"/>
        <d v="1899-12-30T18:16:05"/>
        <d v="1899-12-30T07:31:12"/>
        <d v="1899-12-30T15:43:01"/>
        <d v="1899-12-30T20:58:00"/>
        <d v="1899-12-30T14:01:27"/>
        <d v="1899-12-30T18:49:36"/>
        <d v="1899-12-30T10:36:09"/>
        <d v="1899-12-30T11:44:59"/>
        <d v="1899-12-30T20:40:19"/>
        <d v="1899-12-30T16:53:40"/>
        <d v="1899-12-30T15:12:49"/>
        <d v="1899-12-30T19:04:57"/>
        <d v="1899-12-30T02:38:25"/>
        <d v="1899-12-30T18:39:09"/>
        <d v="1899-12-30T10:20:22"/>
        <d v="1899-12-30T16:32:05"/>
        <d v="1899-12-30T15:16:39"/>
        <d v="1899-12-30T20:09:45"/>
        <d v="1899-12-30T16:53:20"/>
        <d v="1899-12-30T20:00:55"/>
        <d v="1899-12-30T11:32:24"/>
        <d v="1899-12-30T18:48:43"/>
        <d v="1899-12-30T17:51:26"/>
        <d v="1899-12-30T20:39:29"/>
        <d v="1899-12-30T18:39:16"/>
        <d v="1899-12-30T10:24:51"/>
        <d v="1899-12-30T17:27:29"/>
        <d v="1899-12-30T13:34:54"/>
        <d v="1899-12-30T10:38:18"/>
        <d v="1899-12-30T11:56:25"/>
        <d v="1899-12-30T12:37:53"/>
        <d v="1899-12-30T18:28:06"/>
        <d v="1899-12-30T09:04:04"/>
        <d v="1899-12-30T07:23:59"/>
        <d v="1899-12-30T14:24:32"/>
        <d v="1899-12-30T06:34:37"/>
        <d v="1899-12-30T22:52:28"/>
        <d v="1899-12-30T18:00:39"/>
        <d v="1899-12-30T11:43:48"/>
        <d v="1899-12-30T09:58:05"/>
        <d v="1899-12-30T10:44:13"/>
        <d v="1899-12-30T17:25:31"/>
        <d v="1899-12-30T22:00:30"/>
        <d v="1899-12-30T17:13:41"/>
        <d v="1899-12-30T17:13:09"/>
        <d v="1899-12-30T01:56:24"/>
        <d v="1899-12-30T10:08:22"/>
        <d v="1899-12-30T17:03:40"/>
        <d v="1899-12-30T17:09:21"/>
        <d v="1899-12-30T07:22:05"/>
        <d v="1899-12-30T21:30:26"/>
        <d v="1899-12-30T09:17:04"/>
        <d v="1899-12-30T18:44:09"/>
        <d v="1899-12-30T16:16:44"/>
        <d v="1899-12-30T22:33:25"/>
        <d v="1899-12-30T09:56:09"/>
        <d v="1899-12-30T07:27:28"/>
        <d v="1899-12-30T14:04:21"/>
        <d v="1899-12-30T18:00:46"/>
        <d v="1899-12-30T10:40:42"/>
        <d v="1899-12-30T00:26:22"/>
        <d v="1899-12-30T17:36:58"/>
        <d v="1899-12-30T18:14:12"/>
        <d v="1899-12-30T09:10:52"/>
        <d v="1899-12-30T18:00:52"/>
        <d v="1899-12-30T09:17:22"/>
        <d v="1899-12-30T05:57:31"/>
        <d v="1899-12-30T17:24:38"/>
        <d v="1899-12-30T22:10:31"/>
        <d v="1899-12-30T19:39:07"/>
        <d v="1899-12-30T16:12:45"/>
        <d v="1899-12-30T17:31:59"/>
        <d v="1899-12-30T15:41:04"/>
        <d v="1899-12-30T21:07:18"/>
        <d v="1899-12-30T10:17:06"/>
        <d v="1899-12-30T21:49:08"/>
        <d v="1899-12-30T14:53:21"/>
        <d v="1899-12-30T18:45:08"/>
        <d v="1899-12-30T17:31:44"/>
        <d v="1899-12-30T19:37:23"/>
        <d v="1899-12-30T02:53:03"/>
        <d v="1899-12-30T05:44:58"/>
        <d v="1899-12-30T07:36:04"/>
        <d v="1899-12-30T17:41:29"/>
        <d v="1899-12-30T08:26:17"/>
        <d v="1899-12-30T09:31:39"/>
        <d v="1899-12-30T19:50:10"/>
        <d v="1899-12-30T07:31:14"/>
        <d v="1899-12-30T10:22:28"/>
        <d v="1899-12-30T12:35:13"/>
        <d v="1899-12-30T19:51:50"/>
        <d v="1899-12-30T21:30:20"/>
        <d v="1899-12-30T11:04:14"/>
        <d v="1899-12-30T21:01:26"/>
        <d v="1899-12-30T07:44:58"/>
        <d v="1899-12-30T15:49:18"/>
        <d v="1899-12-30T20:43:12"/>
        <d v="1899-12-30T20:43:29"/>
        <d v="1899-12-30T17:00:59"/>
        <d v="1899-12-30T18:50:22"/>
        <d v="1899-12-30T10:04:20"/>
        <d v="1899-12-30T00:52:57"/>
        <d v="1899-12-30T15:35:17"/>
        <d v="1899-12-30T02:17:47"/>
        <d v="1899-12-30T21:13:12"/>
        <d v="1899-12-30T12:56:23"/>
        <d v="1899-12-30T09:31:51"/>
        <d v="1899-12-30T10:39:07"/>
        <d v="1899-12-30T12:22:49"/>
        <d v="1899-12-30T09:22:56"/>
        <d v="1899-12-30T16:16:00"/>
        <d v="1899-12-30T13:49:54"/>
        <d v="1899-12-30T18:44:18"/>
        <d v="1899-12-30T13:55:23"/>
        <d v="1899-12-30T16:39:56"/>
        <d v="1899-12-30T17:03:00"/>
        <d v="1899-12-30T08:31:17"/>
        <d v="1899-12-30T12:35:59"/>
        <d v="1899-12-30T15:42:54"/>
        <d v="1899-12-30T19:27:36"/>
        <d v="1899-12-30T14:21:46"/>
        <d v="1899-12-30T17:07:24"/>
        <d v="1899-12-30T10:34:20"/>
        <d v="1899-12-30T18:30:43"/>
        <d v="1899-12-30T19:41:53"/>
        <d v="1899-12-30T11:30:02"/>
        <d v="1899-12-30T14:22:19"/>
        <d v="1899-12-30T20:19:34"/>
        <d v="1899-12-30T12:30:28"/>
        <d v="1899-12-30T21:04:26"/>
        <d v="1899-12-30T06:54:15"/>
        <d v="1899-12-30T12:02:42"/>
        <d v="1899-12-30T22:09:03"/>
        <d v="1899-12-30T06:26:20"/>
        <d v="1899-12-30T19:22:22"/>
        <d v="1899-12-30T16:58:45"/>
        <d v="1899-12-30T12:22:03"/>
        <d v="1899-12-30T12:24:11"/>
        <d v="1899-12-30T17:43:59"/>
        <d v="1899-12-30T09:10:58"/>
        <d v="1899-12-30T15:49:47"/>
        <d v="1899-12-30T19:12:18"/>
        <d v="1899-12-30T19:26:40"/>
        <d v="1899-12-30T19:31:04"/>
        <d v="1899-12-30T15:24:49"/>
        <d v="1899-12-30T18:18:28"/>
        <d v="1899-12-30T08:35:40"/>
        <d v="1899-12-30T18:56:04"/>
        <d v="1899-12-30T17:55:21"/>
        <d v="1899-12-30T08:16:21"/>
        <d v="1899-12-30T10:10:46"/>
        <d v="1899-12-30T10:46:51"/>
        <d v="1899-12-30T13:51:45"/>
        <d v="1899-12-30T09:41:43"/>
        <d v="1899-12-30T12:37:54"/>
        <d v="1899-12-30T17:26:26"/>
        <d v="1899-12-30T10:54:27"/>
        <d v="1899-12-30T21:36:15"/>
        <d v="1899-12-30T11:19:54"/>
        <d v="1899-12-30T18:26:30"/>
        <d v="1899-12-30T10:45:59"/>
        <d v="1899-12-30T19:44:00"/>
        <d v="1899-12-30T09:59:19"/>
        <d v="1899-12-30T12:22:15"/>
        <d v="1899-12-30T10:46:31"/>
        <d v="1899-12-30T10:09:27"/>
        <d v="1899-12-30T17:04:31"/>
        <d v="1899-12-30T20:34:55"/>
        <d v="1899-12-30T23:00:40"/>
        <d v="1899-12-30T20:22:38"/>
        <d v="1899-12-30T06:34:46"/>
        <d v="1899-12-30T23:46:48"/>
        <d v="1899-12-30T18:33:27"/>
        <d v="1899-12-30T23:48:15"/>
        <d v="1899-12-30T04:02:11"/>
        <d v="1899-12-30T08:37:03"/>
        <d v="1899-12-30T12:39:47"/>
        <d v="1899-12-30T16:08:28"/>
        <d v="1899-12-30T10:43:04"/>
        <d v="1899-12-30T19:35:52"/>
        <d v="1899-12-30T19:40:06"/>
        <d v="1899-12-30T17:51:37"/>
        <d v="1899-12-30T17:22:18"/>
        <d v="1899-12-30T16:45:01"/>
        <d v="1899-12-30T19:13:04"/>
        <d v="1899-12-30T18:21:40"/>
        <d v="1899-12-30T17:17:39"/>
        <d v="1899-12-30T11:51:56"/>
        <d v="1899-12-30T09:33:34"/>
        <d v="1899-12-30T17:13:52"/>
        <d v="1899-12-30T16:30:40"/>
        <d v="1899-12-30T18:20:08"/>
        <d v="1899-12-30T21:39:40"/>
        <d v="1899-12-30T10:07:08"/>
        <d v="1899-12-30T17:54:01"/>
        <d v="1899-12-30T14:33:11"/>
        <d v="1899-12-30T08:42:08"/>
        <d v="1899-12-30T19:01:47"/>
        <d v="1899-12-30T18:43:30"/>
        <d v="1899-12-30T22:02:10"/>
        <d v="1899-12-30T15:07:58"/>
        <d v="1899-12-30T16:08:43"/>
        <d v="1899-12-30T21:35:52"/>
        <d v="1899-12-30T16:19:15"/>
        <d v="1899-12-30T03:44:05"/>
        <d v="1899-12-30T17:34:15"/>
        <d v="1899-12-30T20:57:18"/>
        <d v="1899-12-30T20:22:33"/>
        <d v="1899-12-30T18:50:48"/>
        <d v="1899-12-30T19:56:38"/>
        <d v="1899-12-30T21:32:45"/>
        <d v="1899-12-30T14:40:51"/>
        <d v="1899-12-30T11:24:58"/>
        <d v="1899-12-30T19:19:40"/>
        <d v="1899-12-30T21:31:57"/>
        <d v="1899-12-30T06:59:43"/>
        <d v="1899-12-30T10:48:06"/>
        <d v="1899-12-30T07:18:41"/>
        <d v="1899-12-30T22:13:13"/>
        <d v="1899-12-30T22:00:56"/>
        <d v="1899-12-30T19:11:49"/>
        <d v="1899-12-30T11:39:17"/>
        <d v="1899-12-30T10:48:23"/>
        <d v="1899-12-30T05:46:05"/>
        <d v="1899-12-30T08:06:42"/>
        <d v="1899-12-30T20:19:18"/>
        <d v="1899-12-30T15:46:21"/>
        <d v="1899-12-30T19:32:47"/>
        <d v="1899-12-30T15:43:15"/>
        <d v="1899-12-30T10:03:13"/>
        <d v="1899-12-30T14:07:37"/>
        <d v="1899-12-30T05:52:09"/>
        <d v="1899-12-30T14:39:03"/>
        <d v="1899-12-30T17:55:19"/>
        <d v="1899-12-30T20:34:53"/>
        <d v="1899-12-30T20:46:59"/>
        <d v="1899-12-30T20:13:36"/>
        <d v="1899-12-30T09:40:37"/>
        <d v="1899-12-30T15:39:30"/>
        <d v="1899-12-30T12:00:46"/>
        <d v="1899-12-30T11:17:38"/>
        <d v="1899-12-30T07:44:00"/>
        <d v="1899-12-30T09:57:09"/>
        <d v="1899-12-30T15:15:57"/>
        <d v="1899-12-30T16:13:00"/>
        <d v="1899-12-30T08:02:04"/>
        <d v="1899-12-30T09:36:20"/>
        <d v="1899-12-30T09:02:07"/>
        <d v="1899-12-30T10:53:12"/>
        <d v="1899-12-30T16:54:08"/>
        <d v="1899-12-30T12:27:41"/>
        <d v="1899-12-30T06:53:55"/>
        <d v="1899-12-30T19:46:19"/>
        <d v="1899-12-30T09:27:24"/>
        <d v="1899-12-30T00:12:53"/>
        <d v="1899-12-30T17:00:57"/>
        <d v="1899-12-30T14:29:34"/>
        <d v="1899-12-30T15:52:46"/>
        <d v="1899-12-30T10:45:17"/>
        <d v="1899-12-30T10:49:47"/>
        <d v="1899-12-30T14:39:13"/>
        <d v="1899-12-30T15:07:02"/>
        <d v="1899-12-30T23:06:03"/>
        <d v="1899-12-30T20:27:56"/>
        <d v="1899-12-30T09:41:19"/>
        <d v="1899-12-30T17:08:28"/>
        <d v="1899-12-30T15:34:35"/>
        <d v="1899-12-30T03:51:05"/>
        <d v="1899-12-30T20:25:06"/>
        <d v="1899-12-30T14:28:07"/>
        <d v="1899-12-30T05:00:38"/>
        <d v="1899-12-30T12:47:04"/>
        <d v="1899-12-30T18:33:31"/>
        <d v="1899-12-30T10:03:38"/>
        <d v="1899-12-30T21:19:27"/>
        <d v="1899-12-30T02:42:47"/>
        <d v="1899-12-30T19:52:17"/>
        <d v="1899-12-30T11:24:03"/>
        <d v="1899-12-30T17:44:57"/>
        <d v="1899-12-30T10:26:45"/>
        <d v="1899-12-30T18:06:59"/>
        <d v="1899-12-30T20:27:30"/>
        <d v="1899-12-30T20:21:24"/>
        <d v="1899-12-30T10:22:52"/>
        <d v="1899-12-30T01:26:35"/>
        <d v="1899-12-30T18:47:12"/>
        <d v="1899-12-30T23:38:47"/>
        <d v="1899-12-30T06:22:25"/>
        <d v="1899-12-30T10:25:08"/>
        <d v="1899-12-30T20:35:22"/>
        <d v="1899-12-30T09:23:26"/>
        <d v="1899-12-30T05:45:46"/>
        <d v="1899-12-30T16:54:36"/>
        <d v="1899-12-30T14:35:46"/>
        <d v="1899-12-30T10:57:58"/>
        <d v="1899-12-30T18:26:11"/>
        <d v="1899-12-30T21:17:39"/>
        <d v="1899-12-30T05:30:20"/>
        <d v="1899-12-30T17:41:03"/>
        <d v="1899-12-30T20:13:35"/>
        <d v="1899-12-30T11:35:54"/>
        <d v="1899-12-30T09:42:46"/>
        <d v="1899-12-30T11:38:18"/>
        <d v="1899-12-30T07:02:29"/>
        <d v="1899-12-30T15:50:22"/>
        <d v="1899-12-30T15:38:18"/>
        <d v="1899-12-30T14:12:02"/>
        <d v="1899-12-30T16:42:04"/>
        <d v="1899-12-30T11:56:31"/>
        <d v="1899-12-30T17:14:40"/>
        <d v="1899-12-30T16:44:50"/>
        <d v="1899-12-30T13:35:53"/>
        <d v="1899-12-30T20:17:46"/>
        <d v="1899-12-30T16:31:56"/>
        <d v="1899-12-30T22:22:02"/>
        <d v="1899-12-30T16:41:02"/>
        <d v="1899-12-30T17:59:36"/>
        <d v="1899-12-30T07:08:40"/>
        <d v="1899-12-30T11:23:00"/>
        <d v="1899-12-30T19:56:22"/>
        <d v="1899-12-30T22:23:52"/>
        <d v="1899-12-30T05:12:39"/>
        <d v="1899-12-30T14:08:42"/>
        <d v="1899-12-30T17:53:02"/>
        <d v="1899-12-30T16:26:26"/>
        <d v="1899-12-30T19:38:42"/>
        <d v="1899-12-30T12:23:40"/>
        <d v="1899-12-30T11:52:01"/>
        <d v="1899-12-30T06:49:51"/>
        <d v="1899-12-30T20:56:40"/>
        <d v="1899-12-30T19:48:08"/>
        <d v="1899-12-30T14:36:25"/>
        <d v="1899-12-30T07:14:49"/>
        <d v="1899-12-30T18:47:38"/>
        <d v="1899-12-30T03:21:36"/>
        <d v="1899-12-30T13:53:26"/>
        <d v="1899-12-30T17:34:38"/>
        <d v="1899-12-30T16:53:34"/>
        <d v="1899-12-30T13:02:13"/>
        <d v="1899-12-30T17:58:57"/>
        <d v="1899-12-30T06:57:27"/>
        <d v="1899-12-30T17:49:12"/>
        <d v="1899-12-30T10:12:22"/>
        <d v="1899-12-30T12:50:40"/>
        <d v="1899-12-30T17:32:09"/>
        <d v="1899-12-30T13:16:40"/>
        <d v="1899-12-30T20:58:46"/>
        <d v="1899-12-30T13:44:40"/>
        <d v="1899-12-30T16:11:33"/>
        <d v="1899-12-30T18:51:25"/>
        <d v="1899-12-30T09:43:42"/>
        <d v="1899-12-30T17:43:49"/>
        <d v="1899-12-30T15:23:51"/>
        <d v="1899-12-30T18:18:40"/>
        <d v="1899-12-30T20:48:17"/>
        <d v="1899-12-30T14:26:14"/>
        <d v="1899-12-30T10:51:58"/>
        <d v="1899-12-30T15:26:14"/>
        <d v="1899-12-30T11:38:38"/>
        <d v="1899-12-30T00:52:15"/>
        <d v="1899-12-30T13:39:50"/>
        <d v="1899-12-30T18:22:55"/>
        <d v="1899-12-30T22:18:05"/>
        <d v="1899-12-30T19:34:45"/>
        <d v="1899-12-30T02:06:21"/>
        <d v="1899-12-30T18:56:32"/>
        <d v="1899-12-30T09:02:39"/>
        <d v="1899-12-30T09:30:16"/>
        <d v="1899-12-30T13:04:00"/>
        <d v="1899-12-30T08:06:51"/>
        <d v="1899-12-30T21:41:23"/>
        <d v="1899-12-30T07:14:02"/>
        <d v="1899-12-30T17:10:24"/>
        <d v="1899-12-30T08:11:56"/>
        <d v="1899-12-30T20:53:45"/>
        <d v="1899-12-30T10:41:36"/>
        <d v="1899-12-30T13:35:36"/>
        <d v="1899-12-30T16:47:06"/>
        <d v="1899-12-30T16:14:17"/>
        <d v="1899-12-30T19:50:48"/>
        <d v="1899-12-30T16:25:50"/>
        <d v="1899-12-30T16:50:28"/>
        <d v="1899-12-30T10:44:52"/>
        <d v="1899-12-30T16:35:45"/>
        <d v="1899-12-30T20:08:58"/>
        <d v="1899-12-30T09:44:48"/>
        <d v="1899-12-30T21:54:35"/>
        <d v="1899-12-30T11:29:01"/>
        <d v="1899-12-30T09:26:24"/>
        <d v="1899-12-30T05:50:24"/>
        <d v="1899-12-30T11:04:38"/>
        <d v="1899-12-30T15:06:49"/>
        <d v="1899-12-30T19:56:17"/>
        <d v="1899-12-30T08:28:17"/>
        <d v="1899-12-30T12:59:29"/>
        <d v="1899-12-30T05:18:17"/>
        <d v="1899-12-30T12:03:59"/>
        <d v="1899-12-30T17:25:34"/>
      </sharedItems>
    </cacheField>
    <cacheField name="Booking ID" numFmtId="0">
      <sharedItems/>
    </cacheField>
    <cacheField name="Booking Status" numFmtId="0">
      <sharedItems count="5">
        <s v="No Driver Found"/>
        <s v="Incomplete"/>
        <s v="Completed"/>
        <s v="Cancelled by Driver"/>
        <s v="Cancelled by Customer"/>
      </sharedItems>
    </cacheField>
    <cacheField name="Customer ID" numFmtId="0">
      <sharedItems/>
    </cacheField>
    <cacheField name="Vehicle Type" numFmtId="0">
      <sharedItems count="7">
        <s v="eBike"/>
        <s v="Go Sedan"/>
        <s v="Auto"/>
        <s v="Premier Sedan"/>
        <s v="Bike"/>
        <s v="Go Mini"/>
        <s v="Uber XL"/>
      </sharedItems>
    </cacheField>
    <cacheField name="Pickup Location" numFmtId="0">
      <sharedItems count="176">
        <s v="Palam Vihar"/>
        <s v="Shastri Nagar"/>
        <s v="Khandsa"/>
        <s v="Central Secretariat"/>
        <s v="Ghitorni Village"/>
        <s v="AIIMS"/>
        <s v="Vaishali"/>
        <s v="Mayur Vihar"/>
        <s v="Noida Sector 62"/>
        <s v="Rohini"/>
        <s v="Udyog Bhawan"/>
        <s v="Vidhan Sabha"/>
        <s v="Patel Chowk"/>
        <s v="Malviya Nagar"/>
        <s v="Madipur"/>
        <s v="Jama Masjid"/>
        <s v="IGI Airport"/>
        <s v="Vinobapuri"/>
        <s v="Kashmere Gate"/>
        <s v="Pitampura"/>
        <s v="Punjabi Bagh"/>
        <s v="Greater Noida"/>
        <s v="Tis Hazari"/>
        <s v="Noida Sector 18"/>
        <s v="Kanhaiya Nagar"/>
        <s v="Okhla"/>
        <s v="Cyber Hub"/>
        <s v="Sadar Bazar Gurgaon"/>
        <s v="Shastri Park"/>
        <s v="Faridabad Sector 15"/>
        <s v="Qutub Minar"/>
        <s v="Mundka"/>
        <s v="DLF City Court"/>
        <s v="New Colony"/>
        <s v="Nirman Vihar"/>
        <s v="New Delhi Railway Station"/>
        <s v="Civil Lines Gurgaon"/>
        <s v="Seelampur"/>
        <s v="Noida Extension"/>
        <s v="Adarsh Nagar"/>
        <s v="Panipat"/>
        <s v="Karol Bagh"/>
        <s v="Sultanpur"/>
        <s v="Moti Nagar"/>
        <s v="Dilshad Garden"/>
        <s v="Aya Nagar"/>
        <s v="Rajiv Chowk"/>
        <s v="MG Road"/>
        <s v="Jasola"/>
        <s v="Ardee City"/>
        <s v="Meerut"/>
        <s v="Anand Vihar ISBT"/>
        <s v="Lajpat Nagar"/>
        <s v="Tughlakabad"/>
        <s v="Karkarduma"/>
        <s v="Dwarka Mor"/>
        <s v="Anand Vihar"/>
        <s v="Uttam Nagar"/>
        <s v="Model Town"/>
        <s v="Mandi House"/>
        <s v="Ghitorni"/>
        <s v="Rajiv Nagar"/>
        <s v="Sohna Road"/>
        <s v="Bahadurgarh"/>
        <s v="Moolchand"/>
        <s v="INA Market"/>
        <s v="Sushant Lok"/>
        <s v="IIT Delhi"/>
        <s v="Satguru Ram Singh Marg"/>
        <s v="Munirka"/>
        <s v="IGNOU Road"/>
        <s v="Akshardham"/>
        <s v="Chhatarpur"/>
        <s v="IMT Manesar"/>
        <s v="Azadpur"/>
        <s v="Jhilmil"/>
        <s v="Sikanderpur"/>
        <s v="Rohini West"/>
        <s v="Kashmere Gate ISBT"/>
        <s v="Kherki Daula Toll"/>
        <s v="IFFCO Chowk"/>
        <s v="Hauz Rani"/>
        <s v="Sarai Kale Khan"/>
        <s v="Vishwavidyalaya"/>
        <s v="Maidan Garhi"/>
        <s v="Yamuna Bank"/>
        <s v="Khan Market"/>
        <s v="Pragati Maidan"/>
        <s v="Mansarovar Park"/>
        <s v="Rithala"/>
        <s v="Saidulajab"/>
        <s v="Nawada"/>
        <s v="Shahdara"/>
        <s v="Tilak Nagar"/>
        <s v="DLF Phase 3"/>
        <s v="Laxmi Nagar"/>
        <s v="Huda City Centre"/>
        <s v="Mehrauli"/>
        <s v="Botanical Garden"/>
        <s v="Ramesh Nagar"/>
        <s v="Dwarka Sector 21"/>
        <s v="Noida Film City"/>
        <s v="India Gate"/>
        <s v="Barakhamba Road"/>
        <s v="Gurgaon Sector 56"/>
        <s v="Ashram"/>
        <s v="Gurgaon Sector 29"/>
        <s v="Jor Bagh"/>
        <s v="Saket"/>
        <s v="Basai Dhankot"/>
        <s v="Udyog Vihar Phase 4"/>
        <s v="Raj Nagar Extension"/>
        <s v="Lok Kalyan Marg"/>
        <s v="Greater Kailash"/>
        <s v="Sarojini Nagar"/>
        <s v="GTB Nagar"/>
        <s v="Vatika Chowk"/>
        <s v="Golf Course Road"/>
        <s v="Ghaziabad"/>
        <s v="Narsinghpur"/>
        <s v="Panchsheel Park"/>
        <s v="Badarpur"/>
        <s v="Pataudi Chowk"/>
        <s v="Gwal Pahari"/>
        <s v="Tagore Garden"/>
        <s v="Samaypur Badli"/>
        <s v="Hero Honda Chowk"/>
        <s v="Delhi Gate"/>
        <s v="Chanakyapuri"/>
        <s v="RK Puram"/>
        <s v="Shivaji Park"/>
        <s v="Keshav Puram"/>
        <s v="Saket A Block"/>
        <s v="ITO"/>
        <s v="Indraprastha"/>
        <s v="Janakpuri"/>
        <s v="Ashok Park Main"/>
        <s v="Connaught Place"/>
        <s v="Jahangirpuri"/>
        <s v="Govindpuri"/>
        <s v="Welcome"/>
        <s v="Preet Vihar"/>
        <s v="Indirapuram"/>
        <s v="Kalkaji"/>
        <s v="Sonipat"/>
        <s v="Netaji Subhash Place"/>
        <s v="South Extension"/>
        <s v="Kadarpur"/>
        <s v="Arjangarh"/>
        <s v="Chirag Delhi"/>
        <s v="Manesar"/>
        <s v="Green Park"/>
        <s v="Badshahpur"/>
        <s v="Ashok Vihar"/>
        <s v="Nehru Place"/>
        <s v="Chandni Chowk"/>
        <s v="Gurgaon Railway Station"/>
        <s v="Inderlok"/>
        <s v="Rajouri Garden"/>
        <s v="Bhiwadi"/>
        <s v="Subhash Chowk"/>
        <s v="Rohini East"/>
        <s v="Peeragarhi"/>
        <s v="Vasant Kunj"/>
        <s v="Pulbangash"/>
        <s v="Kaushambi"/>
        <s v="Bhikaji Cama Place"/>
        <s v="Kirti Nagar"/>
        <s v="Paharganj"/>
        <s v="Subhash Nagar"/>
        <s v="Old Gurgaon"/>
        <s v="Udyog Vihar"/>
        <s v="Hauz Khas"/>
        <s v="Paschim Vihar"/>
        <s v="Ambience Mall"/>
        <s v="Lal Quila"/>
      </sharedItems>
    </cacheField>
    <cacheField name="Drop Location" numFmtId="0">
      <sharedItems/>
    </cacheField>
    <cacheField name="Avg VTAT" numFmtId="0">
      <sharedItems containsMixedTypes="1" containsNumber="1" minValue="2" maxValue="20" count="156">
        <s v="null"/>
        <n v="4.9000000000000004"/>
        <n v="13.4"/>
        <n v="13.1"/>
        <n v="5.3"/>
        <n v="5.0999999999999996"/>
        <n v="7.1"/>
        <n v="12.1"/>
        <n v="6.1"/>
        <n v="7.7"/>
        <n v="4.5999999999999996"/>
        <n v="12.2"/>
        <n v="14"/>
        <n v="8.5"/>
        <n v="5.6"/>
        <n v="6"/>
        <n v="12.4"/>
        <n v="10.3"/>
        <n v="7"/>
        <n v="10.4"/>
        <n v="7.9"/>
        <n v="13.6"/>
        <n v="11.5"/>
        <n v="3.1"/>
        <n v="8.9"/>
        <n v="9.1999999999999993"/>
        <n v="2"/>
        <n v="5.4"/>
        <n v="14.6"/>
        <n v="6.7"/>
        <n v="6.6"/>
        <n v="10"/>
        <n v="11"/>
        <n v="8"/>
        <n v="12.8"/>
        <n v="6.4"/>
        <n v="11.3"/>
        <n v="2.2999999999999998"/>
        <n v="7.8"/>
        <n v="8.8000000000000007"/>
        <n v="9.9"/>
        <n v="4.0999999999999996"/>
        <n v="11.2"/>
        <n v="3"/>
        <n v="9.1"/>
        <n v="4.3"/>
        <n v="11.4"/>
        <n v="6.3"/>
        <n v="11.7"/>
        <n v="16.600000000000001"/>
        <n v="5.8"/>
        <n v="4"/>
        <n v="3.4"/>
        <n v="11.1"/>
        <n v="5.9"/>
        <n v="8.1"/>
        <n v="5"/>
        <n v="12"/>
        <n v="3.2"/>
        <n v="9.6"/>
        <n v="3.9"/>
        <n v="8.4"/>
        <n v="10.9"/>
        <n v="5.7"/>
        <n v="8.6"/>
        <n v="9.5"/>
        <n v="2.6"/>
        <n v="2.1"/>
        <n v="14.4"/>
        <n v="7.5"/>
        <n v="10.8"/>
        <n v="14.7"/>
        <n v="3.5"/>
        <n v="8.3000000000000007"/>
        <n v="11.9"/>
        <n v="12.5"/>
        <n v="13.3"/>
        <n v="9.6999999999999993"/>
        <n v="3.6"/>
        <n v="9.4"/>
        <n v="9"/>
        <n v="2.4"/>
        <n v="19.100000000000001"/>
        <n v="2.9"/>
        <n v="18.5"/>
        <n v="16.100000000000001"/>
        <n v="13.7"/>
        <n v="4.5"/>
        <n v="6.9"/>
        <n v="6.2"/>
        <n v="7.2"/>
        <n v="3.7"/>
        <n v="11.6"/>
        <n v="3.3"/>
        <n v="4.7"/>
        <n v="7.4"/>
        <n v="9.3000000000000007"/>
        <n v="8.1999999999999993"/>
        <n v="13.5"/>
        <n v="4.4000000000000004"/>
        <n v="2.7"/>
        <n v="7.3"/>
        <n v="10.5"/>
        <n v="6.8"/>
        <n v="10.7"/>
        <n v="12.3"/>
        <n v="3.8"/>
        <n v="10.199999999999999"/>
        <n v="9.8000000000000007"/>
        <n v="8.6999999999999993"/>
        <n v="14.2"/>
        <n v="6.5"/>
        <n v="12.9"/>
        <n v="4.2"/>
        <n v="5.2"/>
        <n v="16.899999999999999"/>
        <n v="7.6"/>
        <n v="14.9"/>
        <n v="11.8"/>
        <n v="14.3"/>
        <n v="10.1"/>
        <n v="12.6"/>
        <n v="14.8"/>
        <n v="13.2"/>
        <n v="14.5"/>
        <n v="4.8"/>
        <n v="14.1"/>
        <n v="2.5"/>
        <n v="15"/>
        <n v="16.2"/>
        <n v="12.7"/>
        <n v="5.5"/>
        <n v="2.8"/>
        <n v="19.2"/>
        <n v="18"/>
        <n v="13.9"/>
        <n v="13"/>
        <n v="10.6"/>
        <n v="20"/>
        <n v="17.600000000000001"/>
        <n v="15.7"/>
        <n v="2.2000000000000002"/>
        <n v="16.5"/>
        <n v="15.9"/>
        <n v="19.600000000000001"/>
        <n v="19.899999999999999"/>
        <n v="19.8"/>
        <n v="16"/>
        <n v="16.399999999999999"/>
        <n v="13.8"/>
        <n v="18.7"/>
        <n v="17"/>
        <n v="15.5"/>
        <n v="16.8"/>
        <n v="16.7"/>
        <n v="15.4"/>
      </sharedItems>
    </cacheField>
    <cacheField name="Avg CTAT" numFmtId="0">
      <sharedItems containsMixedTypes="1" containsNumber="1" minValue="10.1" maxValue="45"/>
    </cacheField>
    <cacheField name="Cancelled Rides by Customer" numFmtId="0">
      <sharedItems containsMixedTypes="1" containsNumber="1" containsInteger="1" minValue="1" maxValue="1"/>
    </cacheField>
    <cacheField name="Reason for cancelling by Customer" numFmtId="0">
      <sharedItems/>
    </cacheField>
    <cacheField name="Cancelled Rides by Driver" numFmtId="0">
      <sharedItems containsMixedTypes="1" containsNumber="1" containsInteger="1" minValue="1" maxValue="1"/>
    </cacheField>
    <cacheField name="Driver Cancellation Reason" numFmtId="0">
      <sharedItems/>
    </cacheField>
    <cacheField name="Incomplete Rides" numFmtId="0">
      <sharedItems containsMixedTypes="1" containsNumber="1" containsInteger="1" minValue="1" maxValue="1"/>
    </cacheField>
    <cacheField name="Incomplete Rides Reason" numFmtId="0">
      <sharedItems/>
    </cacheField>
    <cacheField name="Booking Value" numFmtId="0">
      <sharedItems containsMixedTypes="1" containsNumber="1" containsInteger="1" minValue="50" maxValue="3453"/>
    </cacheField>
    <cacheField name="Ride Distance" numFmtId="0">
      <sharedItems containsMixedTypes="1" containsNumber="1" minValue="1.24" maxValue="49.95"/>
    </cacheField>
    <cacheField name="Driver Ratings" numFmtId="0">
      <sharedItems containsMixedTypes="1" containsNumber="1" minValue="3" maxValue="5" count="22">
        <s v="null"/>
        <n v="4.9000000000000004"/>
        <n v="4.5999999999999996"/>
        <n v="4.0999999999999996"/>
        <n v="4"/>
        <n v="4.4000000000000004"/>
        <n v="4.2"/>
        <n v="4.7"/>
        <n v="3.8"/>
        <n v="5"/>
        <n v="3.7"/>
        <n v="3.1"/>
        <n v="4.5"/>
        <n v="3.9"/>
        <n v="4.3"/>
        <n v="3.3"/>
        <n v="3.2"/>
        <n v="4.8"/>
        <n v="3.6"/>
        <n v="3.5"/>
        <n v="3.4"/>
        <n v="3"/>
      </sharedItems>
    </cacheField>
    <cacheField name="Customer Rating" numFmtId="0">
      <sharedItems containsMixedTypes="1" containsNumber="1" minValue="3" maxValue="5" count="22">
        <s v="null"/>
        <n v="4.9000000000000004"/>
        <n v="5"/>
        <n v="4.3"/>
        <n v="4.5999999999999996"/>
        <n v="4.0999999999999996"/>
        <n v="4.2"/>
        <n v="4.7"/>
        <n v="4.4000000000000004"/>
        <n v="3.6"/>
        <n v="4.5"/>
        <n v="3.3"/>
        <n v="3.8"/>
        <n v="3.7"/>
        <n v="4.8"/>
        <n v="3.9"/>
        <n v="3.4"/>
        <n v="3.2"/>
        <n v="3.1"/>
        <n v="4"/>
        <n v="3"/>
        <n v="3.5"/>
      </sharedItems>
    </cacheField>
    <cacheField name="Payment Method" numFmtId="0">
      <sharedItems/>
    </cacheField>
  </cacheFields>
  <extLst>
    <ext xmlns:x14="http://schemas.microsoft.com/office/spreadsheetml/2009/9/main" uri="{725AE2AE-9491-48be-B2B4-4EB974FC3084}">
      <x14:pivotCacheDefinition pivotCacheId="179947377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Viram Yadav" refreshedDate="45921.804886342594" backgroundQuery="1" createdVersion="8" refreshedVersion="8" minRefreshableVersion="3" recordCount="0" supportSubquery="1" supportAdvancedDrill="1" xr:uid="{751609AE-1F88-4164-93FF-4AA378044928}">
  <cacheSource type="external" connectionId="1"/>
  <cacheFields count="0"/>
  <cacheHierarchies count="24">
    <cacheHierarchy uniqueName="[Table1].[Date]" caption="Date" attribute="1" time="1" defaultMemberUniqueName="[Table1].[Date].[All]" allUniqueName="[Table1].[Date].[All]" dimensionUniqueName="[Table1]" displayFolder="" count="2" memberValueDatatype="7" unbalanced="0"/>
    <cacheHierarchy uniqueName="[Table1].[Month]" caption="Month" attribute="1" defaultMemberUniqueName="[Table1].[Month].[All]" allUniqueName="[Table1].[Month].[All]" dimensionUniqueName="[Table1]" displayFolder="" count="2" memberValueDatatype="130" unbalanced="0"/>
    <cacheHierarchy uniqueName="[Table1].[Time]" caption="Time" attribute="1" time="1" defaultMemberUniqueName="[Table1].[Time].[All]" allUniqueName="[Table1].[Time].[All]" dimensionUniqueName="[Table1]" displayFolder="" count="2" memberValueDatatype="7" unbalanced="0"/>
    <cacheHierarchy uniqueName="[Table1].[Booking ID]" caption="Booking ID" attribute="1" defaultMemberUniqueName="[Table1].[Booking ID].[All]" allUniqueName="[Table1].[Booking ID].[All]" dimensionUniqueName="[Table1]" displayFolder="" count="2" memberValueDatatype="130" unbalanced="0"/>
    <cacheHierarchy uniqueName="[Table1].[Booking Status]" caption="Booking Status" attribute="1" defaultMemberUniqueName="[Table1].[Booking Status].[All]" allUniqueName="[Table1].[Booking Status].[All]" dimensionUniqueName="[Table1]" displayFolder="" count="2" memberValueDatatype="130" unbalanced="0"/>
    <cacheHierarchy uniqueName="[Table1].[Customer ID]" caption="Customer ID" attribute="1" defaultMemberUniqueName="[Table1].[Customer ID].[All]" allUniqueName="[Table1].[Customer ID].[All]" dimensionUniqueName="[Table1]" displayFolder="" count="2" memberValueDatatype="130" unbalanced="0"/>
    <cacheHierarchy uniqueName="[Table1].[Vehicle Type]" caption="Vehicle Type" attribute="1" defaultMemberUniqueName="[Table1].[Vehicle Type].[All]" allUniqueName="[Table1].[Vehicle Type].[All]" dimensionUniqueName="[Table1]" displayFolder="" count="2" memberValueDatatype="130" unbalanced="0"/>
    <cacheHierarchy uniqueName="[Table1].[Pickup Location]" caption="Pickup Location" attribute="1" defaultMemberUniqueName="[Table1].[Pickup Location].[All]" allUniqueName="[Table1].[Pickup Location].[All]" dimensionUniqueName="[Table1]" displayFolder="" count="2" memberValueDatatype="130" unbalanced="0"/>
    <cacheHierarchy uniqueName="[Table1].[Drop Location]" caption="Drop Location" attribute="1" defaultMemberUniqueName="[Table1].[Drop Location].[All]" allUniqueName="[Table1].[Drop Location].[All]" dimensionUniqueName="[Table1]" displayFolder="" count="2" memberValueDatatype="130" unbalanced="0"/>
    <cacheHierarchy uniqueName="[Table1].[Avg VTAT]" caption="Avg VTAT" attribute="1" defaultMemberUniqueName="[Table1].[Avg VTAT].[All]" allUniqueName="[Table1].[Avg VTAT].[All]" dimensionUniqueName="[Table1]" displayFolder="" count="2" memberValueDatatype="130" unbalanced="0"/>
    <cacheHierarchy uniqueName="[Table1].[Avg CTAT]" caption="Avg CTAT" attribute="1" defaultMemberUniqueName="[Table1].[Avg CTAT].[All]" allUniqueName="[Table1].[Avg CTAT].[All]" dimensionUniqueName="[Table1]" displayFolder="" count="2" memberValueDatatype="130" unbalanced="0"/>
    <cacheHierarchy uniqueName="[Table1].[Cancelled Rides by Customer]" caption="Cancelled Rides by Customer" attribute="1" defaultMemberUniqueName="[Table1].[Cancelled Rides by Customer].[All]" allUniqueName="[Table1].[Cancelled Rides by Customer].[All]" dimensionUniqueName="[Table1]" displayFolder="" count="2" memberValueDatatype="130" unbalanced="0"/>
    <cacheHierarchy uniqueName="[Table1].[Reason for cancelling by Customer]" caption="Reason for cancelling by Customer" attribute="1" defaultMemberUniqueName="[Table1].[Reason for cancelling by Customer].[All]" allUniqueName="[Table1].[Reason for cancelling by Customer].[All]" dimensionUniqueName="[Table1]" displayFolder="" count="2" memberValueDatatype="130" unbalanced="0"/>
    <cacheHierarchy uniqueName="[Table1].[Cancelled Rides by Driver]" caption="Cancelled Rides by Driver" attribute="1" defaultMemberUniqueName="[Table1].[Cancelled Rides by Driver].[All]" allUniqueName="[Table1].[Cancelled Rides by Driver].[All]" dimensionUniqueName="[Table1]" displayFolder="" count="2" memberValueDatatype="130" unbalanced="0"/>
    <cacheHierarchy uniqueName="[Table1].[Driver Cancellation Reason]" caption="Driver Cancellation Reason" attribute="1" defaultMemberUniqueName="[Table1].[Driver Cancellation Reason].[All]" allUniqueName="[Table1].[Driver Cancellation Reason].[All]" dimensionUniqueName="[Table1]" displayFolder="" count="2" memberValueDatatype="130" unbalanced="0"/>
    <cacheHierarchy uniqueName="[Table1].[Incomplete Rides]" caption="Incomplete Rides" attribute="1" defaultMemberUniqueName="[Table1].[Incomplete Rides].[All]" allUniqueName="[Table1].[Incomplete Rides].[All]" dimensionUniqueName="[Table1]" displayFolder="" count="2" memberValueDatatype="130" unbalanced="0"/>
    <cacheHierarchy uniqueName="[Table1].[Incomplete Rides Reason]" caption="Incomplete Rides Reason" attribute="1" defaultMemberUniqueName="[Table1].[Incomplete Rides Reason].[All]" allUniqueName="[Table1].[Incomplete Rides Reason].[All]" dimensionUniqueName="[Table1]" displayFolder="" count="2" memberValueDatatype="130" unbalanced="0"/>
    <cacheHierarchy uniqueName="[Table1].[Booking Value]" caption="Booking Value" attribute="1" defaultMemberUniqueName="[Table1].[Booking Value].[All]" allUniqueName="[Table1].[Booking Value].[All]" dimensionUniqueName="[Table1]" displayFolder="" count="2" memberValueDatatype="130" unbalanced="0"/>
    <cacheHierarchy uniqueName="[Table1].[Ride Distance]" caption="Ride Distance" attribute="1" defaultMemberUniqueName="[Table1].[Ride Distance].[All]" allUniqueName="[Table1].[Ride Distance].[All]" dimensionUniqueName="[Table1]" displayFolder="" count="2" memberValueDatatype="130" unbalanced="0"/>
    <cacheHierarchy uniqueName="[Table1].[Driver Ratings]" caption="Driver Ratings" attribute="1" defaultMemberUniqueName="[Table1].[Driver Ratings].[All]" allUniqueName="[Table1].[Driver Ratings].[All]" dimensionUniqueName="[Table1]" displayFolder="" count="2" memberValueDatatype="130" unbalanced="0"/>
    <cacheHierarchy uniqueName="[Table1].[Customer Rating]" caption="Customer Rating" attribute="1" defaultMemberUniqueName="[Table1].[Customer Rating].[All]" allUniqueName="[Table1].[Customer Rating].[All]" dimensionUniqueName="[Table1]" displayFolder="" count="2" memberValueDatatype="130" unbalanced="0"/>
    <cacheHierarchy uniqueName="[Table1].[Payment Method]" caption="Payment Method" attribute="1" defaultMemberUniqueName="[Table1].[Payment Method].[All]" allUniqueName="[Table1].[Payment Method].[All]" dimensionUniqueName="[Table1]" displayFolder="" count="2" memberValueDatatype="130" unbalanced="0"/>
    <cacheHierarchy uniqueName="[Measures].[__XL_Count Table1]" caption="__XL_Count Table1" measure="1" displayFolder="" measureGroup="Table1" count="0" hidden="1"/>
    <cacheHierarchy uniqueName="[Measures].[__No measures defined]" caption="__No measures defined" measure="1" displayFolder="" count="0" hidden="1"/>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ram Yadav" refreshedDate="45921.819049768521" createdVersion="3" refreshedVersion="8" minRefreshableVersion="3" recordCount="1499" xr:uid="{57CD023B-BE0A-44FE-9166-5980FEA83897}">
  <cacheSource type="worksheet">
    <worksheetSource ref="A1:V1500" sheet="Uber Data Excel Project"/>
  </cacheSource>
  <cacheFields count="22">
    <cacheField name="Date" numFmtId="14">
      <sharedItems containsSemiMixedTypes="0" containsNonDate="0" containsDate="1" containsString="0" minDate="2024-01-01T00:00:00" maxDate="2024-12-31T00:00:00"/>
    </cacheField>
    <cacheField name="Month" numFmtId="0">
      <sharedItems/>
    </cacheField>
    <cacheField name="Time" numFmtId="21">
      <sharedItems containsSemiMixedTypes="0" containsNonDate="0" containsDate="1" containsString="0" minDate="1899-12-30T00:02:34" maxDate="1899-12-30T23:59:15"/>
    </cacheField>
    <cacheField name="Booking ID" numFmtId="0">
      <sharedItems/>
    </cacheField>
    <cacheField name="Booking Status" numFmtId="0">
      <sharedItems/>
    </cacheField>
    <cacheField name="Customer ID" numFmtId="0">
      <sharedItems/>
    </cacheField>
    <cacheField name="Vehicle Type" numFmtId="0">
      <sharedItems count="7">
        <s v="eBike"/>
        <s v="Go Sedan"/>
        <s v="Auto"/>
        <s v="Premier Sedan"/>
        <s v="Bike"/>
        <s v="Go Mini"/>
        <s v="Uber XL"/>
      </sharedItems>
    </cacheField>
    <cacheField name="Pickup Location" numFmtId="0">
      <sharedItems/>
    </cacheField>
    <cacheField name="Drop Location" numFmtId="0">
      <sharedItems/>
    </cacheField>
    <cacheField name="Avg VTAT" numFmtId="0">
      <sharedItems containsMixedTypes="1" containsNumber="1" minValue="2" maxValue="20"/>
    </cacheField>
    <cacheField name="Avg CTAT" numFmtId="0">
      <sharedItems containsMixedTypes="1" containsNumber="1" minValue="10.1" maxValue="45"/>
    </cacheField>
    <cacheField name="Cancelled Rides by Customer" numFmtId="0">
      <sharedItems containsMixedTypes="1" containsNumber="1" containsInteger="1" minValue="1" maxValue="1"/>
    </cacheField>
    <cacheField name="Reason for cancelling by Customer" numFmtId="0">
      <sharedItems/>
    </cacheField>
    <cacheField name="Cancelled Rides by Driver" numFmtId="0">
      <sharedItems containsMixedTypes="1" containsNumber="1" containsInteger="1" minValue="1" maxValue="1"/>
    </cacheField>
    <cacheField name="Driver Cancellation Reason" numFmtId="0">
      <sharedItems/>
    </cacheField>
    <cacheField name="Incomplete Rides" numFmtId="0">
      <sharedItems containsMixedTypes="1" containsNumber="1" containsInteger="1" minValue="1" maxValue="1"/>
    </cacheField>
    <cacheField name="Incomplete Rides Reason" numFmtId="0">
      <sharedItems/>
    </cacheField>
    <cacheField name="Booking Value" numFmtId="0">
      <sharedItems containsMixedTypes="1" containsNumber="1" containsInteger="1" minValue="50" maxValue="3453"/>
    </cacheField>
    <cacheField name="Ride Distance" numFmtId="0">
      <sharedItems containsMixedTypes="1" containsNumber="1" minValue="1.24" maxValue="49.95"/>
    </cacheField>
    <cacheField name="Driver Ratings" numFmtId="0">
      <sharedItems containsMixedTypes="1" containsNumber="1" minValue="3" maxValue="5"/>
    </cacheField>
    <cacheField name="Customer Rating" numFmtId="0">
      <sharedItems containsMixedTypes="1" containsNumber="1" minValue="3" maxValue="5"/>
    </cacheField>
    <cacheField name="Payment Method"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9">
  <r>
    <x v="0"/>
    <x v="0"/>
    <x v="0"/>
    <s v="&quot;CNR5884300&quot;"/>
    <x v="0"/>
    <s v="&quot;CID1982111&quot;"/>
    <x v="0"/>
    <x v="0"/>
    <s v="Jhilmil"/>
    <x v="0"/>
    <s v="null"/>
    <s v="null"/>
    <s v="null"/>
    <s v="null"/>
    <s v="null"/>
    <s v="null"/>
    <s v="null"/>
    <s v="null"/>
    <s v="null"/>
    <x v="0"/>
    <x v="0"/>
    <s v="null"/>
  </r>
  <r>
    <x v="1"/>
    <x v="1"/>
    <x v="1"/>
    <s v="&quot;CNR1326809&quot;"/>
    <x v="1"/>
    <s v="&quot;CID4604802&quot;"/>
    <x v="1"/>
    <x v="1"/>
    <s v="Gurgaon Sector 56"/>
    <x v="1"/>
    <n v="14"/>
    <s v="null"/>
    <s v="null"/>
    <s v="null"/>
    <s v="null"/>
    <n v="1"/>
    <s v="Vehicle Breakdown"/>
    <n v="237"/>
    <n v="5.73"/>
    <x v="0"/>
    <x v="0"/>
    <s v="UPI"/>
  </r>
  <r>
    <x v="2"/>
    <x v="2"/>
    <x v="2"/>
    <s v="&quot;CNR8494506&quot;"/>
    <x v="2"/>
    <s v="&quot;CID9202816&quot;"/>
    <x v="2"/>
    <x v="2"/>
    <s v="Malviya Nagar"/>
    <x v="2"/>
    <n v="25.8"/>
    <s v="null"/>
    <s v="null"/>
    <s v="null"/>
    <s v="null"/>
    <s v="null"/>
    <s v="null"/>
    <n v="627"/>
    <n v="13.58"/>
    <x v="1"/>
    <x v="1"/>
    <s v="Debit Card"/>
  </r>
  <r>
    <x v="3"/>
    <x v="3"/>
    <x v="3"/>
    <s v="&quot;CNR8906825&quot;"/>
    <x v="2"/>
    <s v="&quot;CID2610914&quot;"/>
    <x v="3"/>
    <x v="3"/>
    <s v="Inderlok"/>
    <x v="3"/>
    <n v="28.5"/>
    <s v="null"/>
    <s v="null"/>
    <s v="null"/>
    <s v="null"/>
    <s v="null"/>
    <s v="null"/>
    <n v="416"/>
    <n v="34.020000000000003"/>
    <x v="2"/>
    <x v="2"/>
    <s v="UPI"/>
  </r>
  <r>
    <x v="4"/>
    <x v="4"/>
    <x v="4"/>
    <s v="&quot;CNR1950162&quot;"/>
    <x v="2"/>
    <s v="&quot;CID9933542&quot;"/>
    <x v="4"/>
    <x v="4"/>
    <s v="Khan Market"/>
    <x v="4"/>
    <n v="19.600000000000001"/>
    <s v="null"/>
    <s v="null"/>
    <s v="null"/>
    <s v="null"/>
    <s v="null"/>
    <s v="null"/>
    <n v="737"/>
    <n v="48.21"/>
    <x v="3"/>
    <x v="3"/>
    <s v="UPI"/>
  </r>
  <r>
    <x v="5"/>
    <x v="5"/>
    <x v="5"/>
    <s v="&quot;CNR4096693&quot;"/>
    <x v="2"/>
    <s v="&quot;CID4670564&quot;"/>
    <x v="2"/>
    <x v="5"/>
    <s v="Narsinghpur"/>
    <x v="5"/>
    <n v="18.100000000000001"/>
    <s v="null"/>
    <s v="null"/>
    <s v="null"/>
    <s v="null"/>
    <s v="null"/>
    <s v="null"/>
    <n v="316"/>
    <n v="4.8499999999999996"/>
    <x v="3"/>
    <x v="4"/>
    <s v="UPI"/>
  </r>
  <r>
    <x v="6"/>
    <x v="6"/>
    <x v="6"/>
    <s v="&quot;CNR2002539&quot;"/>
    <x v="2"/>
    <s v="&quot;CID6800553&quot;"/>
    <x v="5"/>
    <x v="6"/>
    <s v="Punjabi Bagh"/>
    <x v="6"/>
    <n v="20.399999999999999"/>
    <s v="null"/>
    <s v="null"/>
    <s v="null"/>
    <s v="null"/>
    <s v="null"/>
    <s v="null"/>
    <n v="640"/>
    <n v="41.24"/>
    <x v="4"/>
    <x v="5"/>
    <s v="UPI"/>
  </r>
  <r>
    <x v="7"/>
    <x v="0"/>
    <x v="7"/>
    <s v="&quot;CNR6568000&quot;"/>
    <x v="2"/>
    <s v="&quot;CID8610436&quot;"/>
    <x v="2"/>
    <x v="7"/>
    <s v="Cyber Hub"/>
    <x v="7"/>
    <n v="16.5"/>
    <s v="null"/>
    <s v="null"/>
    <s v="null"/>
    <s v="null"/>
    <s v="null"/>
    <s v="null"/>
    <n v="136"/>
    <n v="6.56"/>
    <x v="5"/>
    <x v="6"/>
    <s v="UPI"/>
  </r>
  <r>
    <x v="8"/>
    <x v="4"/>
    <x v="8"/>
    <s v="&quot;CNR4510807&quot;"/>
    <x v="0"/>
    <s v="&quot;CID7873618&quot;"/>
    <x v="1"/>
    <x v="8"/>
    <s v="Noida Sector 18"/>
    <x v="0"/>
    <s v="null"/>
    <s v="null"/>
    <s v="null"/>
    <s v="null"/>
    <s v="null"/>
    <s v="null"/>
    <s v="null"/>
    <s v="null"/>
    <s v="null"/>
    <x v="0"/>
    <x v="0"/>
    <s v="null"/>
  </r>
  <r>
    <x v="9"/>
    <x v="7"/>
    <x v="9"/>
    <s v="&quot;CNR7721892&quot;"/>
    <x v="1"/>
    <s v="&quot;CID5214275&quot;"/>
    <x v="2"/>
    <x v="9"/>
    <s v="Adarsh Nagar"/>
    <x v="8"/>
    <n v="26"/>
    <s v="null"/>
    <s v="null"/>
    <s v="null"/>
    <s v="null"/>
    <n v="1"/>
    <s v="Other Issue"/>
    <n v="135"/>
    <n v="10.36"/>
    <x v="0"/>
    <x v="0"/>
    <s v="Cash"/>
  </r>
  <r>
    <x v="10"/>
    <x v="6"/>
    <x v="10"/>
    <s v="&quot;CNR9070334&quot;"/>
    <x v="2"/>
    <s v="&quot;CID6680340&quot;"/>
    <x v="2"/>
    <x v="10"/>
    <s v="Dwarka Sector 21"/>
    <x v="9"/>
    <n v="18.899999999999999"/>
    <s v="null"/>
    <s v="null"/>
    <s v="null"/>
    <s v="null"/>
    <s v="null"/>
    <s v="null"/>
    <n v="181"/>
    <n v="19.84"/>
    <x v="6"/>
    <x v="1"/>
    <s v="Cash"/>
  </r>
  <r>
    <x v="11"/>
    <x v="4"/>
    <x v="11"/>
    <s v="&quot;CNR9551927&quot;"/>
    <x v="0"/>
    <s v="&quot;CID7568143&quot;"/>
    <x v="2"/>
    <x v="11"/>
    <s v="AIIMS"/>
    <x v="0"/>
    <s v="null"/>
    <s v="null"/>
    <s v="null"/>
    <s v="null"/>
    <s v="null"/>
    <s v="null"/>
    <s v="null"/>
    <s v="null"/>
    <s v="null"/>
    <x v="0"/>
    <x v="0"/>
    <s v="null"/>
  </r>
  <r>
    <x v="12"/>
    <x v="6"/>
    <x v="12"/>
    <s v="&quot;CNR4386945&quot;"/>
    <x v="3"/>
    <s v="&quot;CID5543520&quot;"/>
    <x v="0"/>
    <x v="12"/>
    <s v="Kherki Daula Toll"/>
    <x v="10"/>
    <s v="null"/>
    <s v="null"/>
    <s v="null"/>
    <n v="1"/>
    <s v="Personal &amp; Car related issues"/>
    <s v="null"/>
    <s v="null"/>
    <s v="null"/>
    <s v="null"/>
    <x v="0"/>
    <x v="0"/>
    <s v="null"/>
  </r>
  <r>
    <x v="13"/>
    <x v="4"/>
    <x v="13"/>
    <s v="&quot;CNR2987763&quot;"/>
    <x v="2"/>
    <s v="&quot;CID2669710&quot;"/>
    <x v="5"/>
    <x v="13"/>
    <s v="Ghitorni Village"/>
    <x v="11"/>
    <n v="28.2"/>
    <s v="null"/>
    <s v="null"/>
    <s v="null"/>
    <s v="null"/>
    <s v="null"/>
    <s v="null"/>
    <n v="394"/>
    <n v="21.44"/>
    <x v="3"/>
    <x v="7"/>
    <s v="UPI"/>
  </r>
  <r>
    <x v="14"/>
    <x v="3"/>
    <x v="14"/>
    <s v="&quot;CNR8962232&quot;"/>
    <x v="2"/>
    <s v="&quot;CID1789354&quot;"/>
    <x v="5"/>
    <x v="14"/>
    <s v="GTB Nagar"/>
    <x v="12"/>
    <n v="30.9"/>
    <s v="null"/>
    <s v="null"/>
    <s v="null"/>
    <s v="null"/>
    <s v="null"/>
    <s v="null"/>
    <n v="836"/>
    <n v="39.549999999999997"/>
    <x v="7"/>
    <x v="8"/>
    <s v="UPI"/>
  </r>
  <r>
    <x v="15"/>
    <x v="6"/>
    <x v="15"/>
    <s v="&quot;CNR2390352&quot;"/>
    <x v="2"/>
    <s v="&quot;CID5432215&quot;"/>
    <x v="2"/>
    <x v="15"/>
    <s v="Khan Market"/>
    <x v="13"/>
    <n v="36.9"/>
    <s v="null"/>
    <s v="null"/>
    <s v="null"/>
    <s v="null"/>
    <s v="null"/>
    <s v="null"/>
    <n v="410"/>
    <n v="34.76"/>
    <x v="4"/>
    <x v="1"/>
    <s v="Uber Wallet"/>
  </r>
  <r>
    <x v="16"/>
    <x v="8"/>
    <x v="16"/>
    <s v="&quot;CNR3221338&quot;"/>
    <x v="2"/>
    <s v="&quot;CID2581698&quot;"/>
    <x v="3"/>
    <x v="16"/>
    <s v="Madipur"/>
    <x v="14"/>
    <n v="27.5"/>
    <s v="null"/>
    <s v="null"/>
    <s v="null"/>
    <s v="null"/>
    <s v="null"/>
    <s v="null"/>
    <n v="401"/>
    <n v="21.97"/>
    <x v="1"/>
    <x v="3"/>
    <s v="UPI"/>
  </r>
  <r>
    <x v="17"/>
    <x v="7"/>
    <x v="17"/>
    <s v="&quot;CNR6739317&quot;"/>
    <x v="3"/>
    <s v="&quot;CID8682675&quot;"/>
    <x v="1"/>
    <x v="17"/>
    <s v="GTB Nagar"/>
    <x v="15"/>
    <s v="null"/>
    <s v="null"/>
    <s v="null"/>
    <n v="1"/>
    <s v="Customer related issue"/>
    <s v="null"/>
    <s v="null"/>
    <s v="null"/>
    <s v="null"/>
    <x v="0"/>
    <x v="0"/>
    <s v="null"/>
  </r>
  <r>
    <x v="18"/>
    <x v="1"/>
    <x v="18"/>
    <s v="&quot;CNR6126048&quot;"/>
    <x v="4"/>
    <s v="&quot;CID1060329&quot;"/>
    <x v="0"/>
    <x v="18"/>
    <s v="Anand Vihar"/>
    <x v="16"/>
    <s v="null"/>
    <n v="1"/>
    <s v="Driver is not moving towards pickup location"/>
    <s v="null"/>
    <s v="null"/>
    <s v="null"/>
    <s v="null"/>
    <s v="null"/>
    <s v="null"/>
    <x v="0"/>
    <x v="0"/>
    <s v="null"/>
  </r>
  <r>
    <x v="19"/>
    <x v="9"/>
    <x v="19"/>
    <s v="&quot;CNR9465840&quot;"/>
    <x v="3"/>
    <s v="&quot;CID9046501&quot;"/>
    <x v="0"/>
    <x v="19"/>
    <s v="Rajiv Nagar"/>
    <x v="17"/>
    <s v="null"/>
    <s v="null"/>
    <s v="null"/>
    <n v="1"/>
    <s v="Customer related issue"/>
    <s v="null"/>
    <s v="null"/>
    <s v="null"/>
    <s v="null"/>
    <x v="0"/>
    <x v="0"/>
    <s v="null"/>
  </r>
  <r>
    <x v="20"/>
    <x v="7"/>
    <x v="20"/>
    <s v="&quot;CNR9843229&quot;"/>
    <x v="2"/>
    <s v="&quot;CID4929303&quot;"/>
    <x v="1"/>
    <x v="20"/>
    <s v="Mansarovar Park"/>
    <x v="8"/>
    <n v="33.700000000000003"/>
    <s v="null"/>
    <s v="null"/>
    <s v="null"/>
    <s v="null"/>
    <s v="null"/>
    <s v="null"/>
    <n v="264"/>
    <n v="13.64"/>
    <x v="8"/>
    <x v="7"/>
    <s v="Uber Wallet"/>
  </r>
  <r>
    <x v="21"/>
    <x v="8"/>
    <x v="21"/>
    <s v="&quot;CNR7911434&quot;"/>
    <x v="2"/>
    <s v="&quot;CID8465004&quot;"/>
    <x v="2"/>
    <x v="21"/>
    <s v="Botanical Garden"/>
    <x v="18"/>
    <n v="21.3"/>
    <s v="null"/>
    <s v="null"/>
    <s v="null"/>
    <s v="null"/>
    <s v="null"/>
    <s v="null"/>
    <n v="183"/>
    <n v="4.5"/>
    <x v="9"/>
    <x v="6"/>
    <s v="UPI"/>
  </r>
  <r>
    <x v="22"/>
    <x v="5"/>
    <x v="22"/>
    <s v="&quot;CNR6178330&quot;"/>
    <x v="2"/>
    <s v="&quot;CID7719678&quot;"/>
    <x v="5"/>
    <x v="22"/>
    <s v="IMT Manesar"/>
    <x v="19"/>
    <n v="25.1"/>
    <s v="null"/>
    <s v="null"/>
    <s v="null"/>
    <s v="null"/>
    <s v="null"/>
    <s v="null"/>
    <n v="713"/>
    <n v="38.03"/>
    <x v="10"/>
    <x v="9"/>
    <s v="UPI"/>
  </r>
  <r>
    <x v="23"/>
    <x v="0"/>
    <x v="23"/>
    <s v="&quot;CNR5309981&quot;"/>
    <x v="2"/>
    <s v="&quot;CID3870048&quot;"/>
    <x v="5"/>
    <x v="23"/>
    <s v="Old Gurgaon"/>
    <x v="20"/>
    <n v="41.1"/>
    <s v="null"/>
    <s v="null"/>
    <s v="null"/>
    <s v="null"/>
    <s v="null"/>
    <s v="null"/>
    <n v="113"/>
    <n v="14.53"/>
    <x v="2"/>
    <x v="1"/>
    <s v="UPI"/>
  </r>
  <r>
    <x v="24"/>
    <x v="2"/>
    <x v="24"/>
    <s v="&quot;CNR2978950&quot;"/>
    <x v="2"/>
    <s v="&quot;CID2977484&quot;"/>
    <x v="2"/>
    <x v="24"/>
    <s v="Anand Vihar"/>
    <x v="21"/>
    <n v="25.2"/>
    <s v="null"/>
    <s v="null"/>
    <s v="null"/>
    <s v="null"/>
    <s v="null"/>
    <s v="null"/>
    <n v="767"/>
    <n v="7.39"/>
    <x v="8"/>
    <x v="4"/>
    <s v="Debit Card"/>
  </r>
  <r>
    <x v="25"/>
    <x v="2"/>
    <x v="25"/>
    <s v="&quot;CNR2806943&quot;"/>
    <x v="2"/>
    <s v="&quot;CID7550481&quot;"/>
    <x v="6"/>
    <x v="25"/>
    <s v="Barakhamba Road"/>
    <x v="5"/>
    <n v="20.7"/>
    <s v="null"/>
    <s v="null"/>
    <s v="null"/>
    <s v="null"/>
    <s v="null"/>
    <s v="null"/>
    <n v="495"/>
    <n v="10.23"/>
    <x v="8"/>
    <x v="6"/>
    <s v="Credit Card"/>
  </r>
  <r>
    <x v="26"/>
    <x v="10"/>
    <x v="26"/>
    <s v="&quot;CNR3614535&quot;"/>
    <x v="3"/>
    <s v="&quot;CID2507102&quot;"/>
    <x v="2"/>
    <x v="26"/>
    <s v="Saket"/>
    <x v="22"/>
    <s v="null"/>
    <s v="null"/>
    <s v="null"/>
    <n v="1"/>
    <s v="Personal &amp; Car related issues"/>
    <s v="null"/>
    <s v="null"/>
    <s v="null"/>
    <s v="null"/>
    <x v="0"/>
    <x v="0"/>
    <s v="null"/>
  </r>
  <r>
    <x v="27"/>
    <x v="11"/>
    <x v="27"/>
    <s v="&quot;CNR4499383&quot;"/>
    <x v="0"/>
    <s v="&quot;CID5717521&quot;"/>
    <x v="3"/>
    <x v="27"/>
    <s v="Mehrauli"/>
    <x v="0"/>
    <s v="null"/>
    <s v="null"/>
    <s v="null"/>
    <s v="null"/>
    <s v="null"/>
    <s v="null"/>
    <s v="null"/>
    <s v="null"/>
    <s v="null"/>
    <x v="0"/>
    <x v="0"/>
    <s v="null"/>
  </r>
  <r>
    <x v="28"/>
    <x v="11"/>
    <x v="28"/>
    <s v="&quot;CNR9834201&quot;"/>
    <x v="1"/>
    <s v="&quot;CID7891331&quot;"/>
    <x v="4"/>
    <x v="28"/>
    <s v="Botanical Garden"/>
    <x v="23"/>
    <n v="28.2"/>
    <s v="null"/>
    <s v="null"/>
    <s v="null"/>
    <s v="null"/>
    <n v="1"/>
    <s v="Vehicle Breakdown"/>
    <n v="304"/>
    <n v="1.98"/>
    <x v="0"/>
    <x v="0"/>
    <s v="UPI"/>
  </r>
  <r>
    <x v="29"/>
    <x v="1"/>
    <x v="29"/>
    <s v="&quot;CNR8779845&quot;"/>
    <x v="2"/>
    <s v="&quot;CID7444351&quot;"/>
    <x v="2"/>
    <x v="29"/>
    <s v="Malviya Nagar"/>
    <x v="24"/>
    <n v="31.1"/>
    <s v="null"/>
    <s v="null"/>
    <s v="null"/>
    <s v="null"/>
    <s v="null"/>
    <s v="null"/>
    <n v="2847"/>
    <n v="39.21"/>
    <x v="11"/>
    <x v="4"/>
    <s v="Debit Card"/>
  </r>
  <r>
    <x v="30"/>
    <x v="9"/>
    <x v="30"/>
    <s v="&quot;CNR2178654&quot;"/>
    <x v="3"/>
    <s v="&quot;CID3631860&quot;"/>
    <x v="5"/>
    <x v="30"/>
    <s v="Vishwavidyalaya"/>
    <x v="25"/>
    <s v="null"/>
    <s v="null"/>
    <s v="null"/>
    <n v="1"/>
    <s v="More than permitted people in there"/>
    <s v="null"/>
    <s v="null"/>
    <s v="null"/>
    <s v="null"/>
    <x v="0"/>
    <x v="0"/>
    <s v="null"/>
  </r>
  <r>
    <x v="31"/>
    <x v="1"/>
    <x v="31"/>
    <s v="&quot;CNR3871541&quot;"/>
    <x v="2"/>
    <s v="&quot;CID9849259&quot;"/>
    <x v="5"/>
    <x v="31"/>
    <s v="Preet Vihar"/>
    <x v="24"/>
    <n v="41"/>
    <s v="null"/>
    <s v="null"/>
    <s v="null"/>
    <s v="null"/>
    <s v="null"/>
    <s v="null"/>
    <n v="282"/>
    <n v="8.36"/>
    <x v="8"/>
    <x v="8"/>
    <s v="UPI"/>
  </r>
  <r>
    <x v="32"/>
    <x v="5"/>
    <x v="32"/>
    <s v="&quot;CNR2877692&quot;"/>
    <x v="2"/>
    <s v="&quot;CID5901711&quot;"/>
    <x v="3"/>
    <x v="32"/>
    <s v="Nehru Place"/>
    <x v="22"/>
    <n v="20.5"/>
    <s v="null"/>
    <s v="null"/>
    <s v="null"/>
    <s v="null"/>
    <s v="null"/>
    <s v="null"/>
    <n v="656"/>
    <n v="6.39"/>
    <x v="9"/>
    <x v="1"/>
    <s v="Uber Wallet"/>
  </r>
  <r>
    <x v="33"/>
    <x v="9"/>
    <x v="33"/>
    <s v="&quot;CNR9603633&quot;"/>
    <x v="2"/>
    <s v="&quot;CID5856503&quot;"/>
    <x v="2"/>
    <x v="22"/>
    <s v="Shahdara"/>
    <x v="26"/>
    <n v="19.399999999999999"/>
    <s v="null"/>
    <s v="null"/>
    <s v="null"/>
    <s v="null"/>
    <s v="null"/>
    <s v="null"/>
    <n v="134"/>
    <n v="46.66"/>
    <x v="8"/>
    <x v="8"/>
    <s v="Credit Card"/>
  </r>
  <r>
    <x v="34"/>
    <x v="8"/>
    <x v="34"/>
    <s v="&quot;CNR8087051&quot;"/>
    <x v="3"/>
    <s v="&quot;CID9716528&quot;"/>
    <x v="1"/>
    <x v="33"/>
    <s v="Ghitorni Village"/>
    <x v="27"/>
    <s v="null"/>
    <s v="null"/>
    <s v="null"/>
    <n v="1"/>
    <s v="Customer related issue"/>
    <s v="null"/>
    <s v="null"/>
    <s v="null"/>
    <s v="null"/>
    <x v="0"/>
    <x v="0"/>
    <s v="null"/>
  </r>
  <r>
    <x v="15"/>
    <x v="6"/>
    <x v="35"/>
    <s v="&quot;CNR7823292&quot;"/>
    <x v="2"/>
    <s v="&quot;CID9377721&quot;"/>
    <x v="1"/>
    <x v="34"/>
    <s v="Malviya Nagar"/>
    <x v="28"/>
    <n v="25.4"/>
    <s v="null"/>
    <s v="null"/>
    <s v="null"/>
    <s v="null"/>
    <s v="null"/>
    <s v="null"/>
    <n v="470"/>
    <n v="27.07"/>
    <x v="10"/>
    <x v="6"/>
    <s v="Cash"/>
  </r>
  <r>
    <x v="35"/>
    <x v="9"/>
    <x v="36"/>
    <s v="&quot;CNR9918895&quot;"/>
    <x v="2"/>
    <s v="&quot;CID9520433&quot;"/>
    <x v="2"/>
    <x v="35"/>
    <s v="Noida Film City"/>
    <x v="29"/>
    <n v="20.5"/>
    <s v="null"/>
    <s v="null"/>
    <s v="null"/>
    <s v="null"/>
    <s v="null"/>
    <s v="null"/>
    <n v="187"/>
    <n v="12.16"/>
    <x v="1"/>
    <x v="3"/>
    <s v="UPI"/>
  </r>
  <r>
    <x v="36"/>
    <x v="3"/>
    <x v="37"/>
    <s v="&quot;CNR7401001&quot;"/>
    <x v="2"/>
    <s v="&quot;CID9958715&quot;"/>
    <x v="3"/>
    <x v="36"/>
    <s v="Mandi House"/>
    <x v="30"/>
    <n v="30"/>
    <s v="null"/>
    <s v="null"/>
    <s v="null"/>
    <s v="null"/>
    <s v="null"/>
    <s v="null"/>
    <n v="186"/>
    <n v="10.28"/>
    <x v="5"/>
    <x v="4"/>
    <s v="UPI"/>
  </r>
  <r>
    <x v="37"/>
    <x v="5"/>
    <x v="38"/>
    <s v="&quot;CNR2631310&quot;"/>
    <x v="2"/>
    <s v="&quot;CID4355670&quot;"/>
    <x v="0"/>
    <x v="37"/>
    <s v="Janakpuri"/>
    <x v="31"/>
    <n v="35.799999999999997"/>
    <s v="null"/>
    <s v="null"/>
    <s v="null"/>
    <s v="null"/>
    <s v="null"/>
    <s v="null"/>
    <n v="70"/>
    <n v="44.42"/>
    <x v="3"/>
    <x v="8"/>
    <s v="UPI"/>
  </r>
  <r>
    <x v="38"/>
    <x v="4"/>
    <x v="39"/>
    <s v="&quot;CNR4218487&quot;"/>
    <x v="4"/>
    <s v="&quot;CID3037053&quot;"/>
    <x v="4"/>
    <x v="38"/>
    <s v="Udyog Vihar Phase 4"/>
    <x v="32"/>
    <s v="null"/>
    <n v="1"/>
    <s v="Driver is not moving towards pickup location"/>
    <s v="null"/>
    <s v="null"/>
    <s v="null"/>
    <s v="null"/>
    <s v="null"/>
    <s v="null"/>
    <x v="0"/>
    <x v="0"/>
    <s v="null"/>
  </r>
  <r>
    <x v="39"/>
    <x v="4"/>
    <x v="40"/>
    <s v="&quot;CNR5333099&quot;"/>
    <x v="3"/>
    <s v="&quot;CID5112050&quot;"/>
    <x v="2"/>
    <x v="39"/>
    <s v="Civil Lines Gurgaon"/>
    <x v="33"/>
    <s v="null"/>
    <s v="null"/>
    <s v="null"/>
    <n v="1"/>
    <s v="Personal &amp; Car related issues"/>
    <s v="null"/>
    <s v="null"/>
    <s v="null"/>
    <s v="null"/>
    <x v="0"/>
    <x v="0"/>
    <s v="null"/>
  </r>
  <r>
    <x v="40"/>
    <x v="10"/>
    <x v="41"/>
    <s v="&quot;CNR5969954&quot;"/>
    <x v="2"/>
    <s v="&quot;CID5558118&quot;"/>
    <x v="2"/>
    <x v="17"/>
    <s v="Karkarduma"/>
    <x v="34"/>
    <n v="18.7"/>
    <s v="null"/>
    <s v="null"/>
    <s v="null"/>
    <s v="null"/>
    <s v="null"/>
    <s v="null"/>
    <n v="273"/>
    <n v="34.64"/>
    <x v="12"/>
    <x v="4"/>
    <s v="Uber Wallet"/>
  </r>
  <r>
    <x v="41"/>
    <x v="5"/>
    <x v="42"/>
    <s v="&quot;CNR4130953&quot;"/>
    <x v="1"/>
    <s v="&quot;CID3196782&quot;"/>
    <x v="3"/>
    <x v="40"/>
    <s v="Tagore Garden"/>
    <x v="35"/>
    <n v="10.5"/>
    <s v="null"/>
    <s v="null"/>
    <s v="null"/>
    <s v="null"/>
    <n v="1"/>
    <s v="Other Issue"/>
    <n v="966"/>
    <n v="18.3"/>
    <x v="0"/>
    <x v="0"/>
    <s v="Debit Card"/>
  </r>
  <r>
    <x v="36"/>
    <x v="3"/>
    <x v="43"/>
    <s v="&quot;CNR6693125&quot;"/>
    <x v="3"/>
    <s v="&quot;CID7364449&quot;"/>
    <x v="2"/>
    <x v="41"/>
    <s v="Tagore Garden"/>
    <x v="27"/>
    <s v="null"/>
    <s v="null"/>
    <s v="null"/>
    <n v="1"/>
    <s v="More than permitted people in there"/>
    <s v="null"/>
    <s v="null"/>
    <s v="null"/>
    <s v="null"/>
    <x v="0"/>
    <x v="0"/>
    <s v="null"/>
  </r>
  <r>
    <x v="42"/>
    <x v="11"/>
    <x v="44"/>
    <s v="&quot;CNR9572979&quot;"/>
    <x v="2"/>
    <s v="&quot;CID3474992&quot;"/>
    <x v="1"/>
    <x v="42"/>
    <s v="Noida Extension"/>
    <x v="11"/>
    <n v="42.3"/>
    <s v="null"/>
    <s v="null"/>
    <s v="null"/>
    <s v="null"/>
    <s v="null"/>
    <s v="null"/>
    <n v="251"/>
    <n v="20.91"/>
    <x v="6"/>
    <x v="9"/>
    <s v="Debit Card"/>
  </r>
  <r>
    <x v="11"/>
    <x v="4"/>
    <x v="45"/>
    <s v="&quot;CNR6444364&quot;"/>
    <x v="3"/>
    <s v="&quot;CID8262635&quot;"/>
    <x v="5"/>
    <x v="43"/>
    <s v="Anand Vihar ISBT"/>
    <x v="30"/>
    <s v="null"/>
    <s v="null"/>
    <s v="null"/>
    <n v="1"/>
    <s v="More than permitted people in there"/>
    <s v="null"/>
    <s v="null"/>
    <s v="null"/>
    <s v="null"/>
    <x v="0"/>
    <x v="0"/>
    <s v="null"/>
  </r>
  <r>
    <x v="43"/>
    <x v="2"/>
    <x v="46"/>
    <s v="&quot;CNR4862806&quot;"/>
    <x v="4"/>
    <s v="&quot;CID7875150&quot;"/>
    <x v="2"/>
    <x v="28"/>
    <s v="Anand Vihar ISBT"/>
    <x v="36"/>
    <s v="null"/>
    <n v="1"/>
    <s v="Driver asked to cancel"/>
    <s v="null"/>
    <s v="null"/>
    <s v="null"/>
    <s v="null"/>
    <s v="null"/>
    <s v="null"/>
    <x v="0"/>
    <x v="0"/>
    <s v="null"/>
  </r>
  <r>
    <x v="44"/>
    <x v="4"/>
    <x v="47"/>
    <s v="&quot;CNR4674790&quot;"/>
    <x v="1"/>
    <s v="&quot;CID4795905&quot;"/>
    <x v="4"/>
    <x v="44"/>
    <s v="Nehru Place"/>
    <x v="37"/>
    <n v="29.7"/>
    <s v="null"/>
    <s v="null"/>
    <s v="null"/>
    <s v="null"/>
    <n v="1"/>
    <s v="Vehicle Breakdown"/>
    <n v="453"/>
    <n v="19.239999999999998"/>
    <x v="0"/>
    <x v="0"/>
    <s v="Debit Card"/>
  </r>
  <r>
    <x v="45"/>
    <x v="6"/>
    <x v="48"/>
    <s v="&quot;CNR6866217&quot;"/>
    <x v="2"/>
    <s v="&quot;CID7798304&quot;"/>
    <x v="1"/>
    <x v="44"/>
    <s v="Nehru Place"/>
    <x v="38"/>
    <n v="42.2"/>
    <s v="null"/>
    <s v="null"/>
    <s v="null"/>
    <s v="null"/>
    <s v="null"/>
    <s v="null"/>
    <n v="246"/>
    <n v="8.1300000000000008"/>
    <x v="6"/>
    <x v="10"/>
    <s v="UPI"/>
  </r>
  <r>
    <x v="11"/>
    <x v="4"/>
    <x v="49"/>
    <s v="&quot;CNR4932611&quot;"/>
    <x v="2"/>
    <s v="&quot;CID8795963&quot;"/>
    <x v="2"/>
    <x v="45"/>
    <s v="Karkarduma"/>
    <x v="39"/>
    <n v="25.2"/>
    <s v="null"/>
    <s v="null"/>
    <s v="null"/>
    <s v="null"/>
    <s v="null"/>
    <s v="null"/>
    <n v="237"/>
    <n v="2.96"/>
    <x v="13"/>
    <x v="11"/>
    <s v="UPI"/>
  </r>
  <r>
    <x v="46"/>
    <x v="9"/>
    <x v="50"/>
    <s v="&quot;CNR1572483&quot;"/>
    <x v="1"/>
    <s v="&quot;CID6059557&quot;"/>
    <x v="5"/>
    <x v="46"/>
    <s v="Central Secretariat"/>
    <x v="40"/>
    <n v="21.6"/>
    <s v="null"/>
    <s v="null"/>
    <s v="null"/>
    <s v="null"/>
    <n v="1"/>
    <s v="Vehicle Breakdown"/>
    <n v="1581"/>
    <n v="1.82"/>
    <x v="0"/>
    <x v="0"/>
    <s v="Cash"/>
  </r>
  <r>
    <x v="47"/>
    <x v="6"/>
    <x v="51"/>
    <s v="&quot;CNR6945858&quot;"/>
    <x v="2"/>
    <s v="&quot;CID9079088&quot;"/>
    <x v="5"/>
    <x v="47"/>
    <s v="Hauz Rani"/>
    <x v="41"/>
    <n v="25.1"/>
    <s v="null"/>
    <s v="null"/>
    <s v="null"/>
    <s v="null"/>
    <s v="null"/>
    <s v="null"/>
    <n v="379"/>
    <n v="33.04"/>
    <x v="6"/>
    <x v="10"/>
    <s v="Uber Wallet"/>
  </r>
  <r>
    <x v="48"/>
    <x v="3"/>
    <x v="52"/>
    <s v="&quot;CNR6584679&quot;"/>
    <x v="2"/>
    <s v="&quot;CID4738537&quot;"/>
    <x v="5"/>
    <x v="48"/>
    <s v="Palam Vihar"/>
    <x v="42"/>
    <n v="40.700000000000003"/>
    <s v="null"/>
    <s v="null"/>
    <s v="null"/>
    <s v="null"/>
    <s v="null"/>
    <s v="null"/>
    <n v="545"/>
    <n v="44.7"/>
    <x v="14"/>
    <x v="3"/>
    <s v="Cash"/>
  </r>
  <r>
    <x v="49"/>
    <x v="9"/>
    <x v="53"/>
    <s v="&quot;CNR6125653&quot;"/>
    <x v="2"/>
    <s v="&quot;CID2808212&quot;"/>
    <x v="5"/>
    <x v="18"/>
    <s v="RK Puram"/>
    <x v="43"/>
    <n v="35.4"/>
    <s v="null"/>
    <s v="null"/>
    <s v="null"/>
    <s v="null"/>
    <s v="null"/>
    <s v="null"/>
    <n v="479"/>
    <n v="7.38"/>
    <x v="6"/>
    <x v="4"/>
    <s v="UPI"/>
  </r>
  <r>
    <x v="50"/>
    <x v="0"/>
    <x v="54"/>
    <s v="&quot;CNR6092529&quot;"/>
    <x v="3"/>
    <s v="&quot;CID5040634&quot;"/>
    <x v="1"/>
    <x v="49"/>
    <s v="Basai Dhankot"/>
    <x v="42"/>
    <s v="null"/>
    <s v="null"/>
    <s v="null"/>
    <n v="1"/>
    <s v="More than permitted people in there"/>
    <s v="null"/>
    <s v="null"/>
    <s v="null"/>
    <s v="null"/>
    <x v="0"/>
    <x v="0"/>
    <s v="null"/>
  </r>
  <r>
    <x v="51"/>
    <x v="1"/>
    <x v="55"/>
    <s v="&quot;CNR6339107&quot;"/>
    <x v="2"/>
    <s v="&quot;CID7358763&quot;"/>
    <x v="5"/>
    <x v="20"/>
    <s v="Madipur"/>
    <x v="44"/>
    <n v="23.2"/>
    <s v="null"/>
    <s v="null"/>
    <s v="null"/>
    <s v="null"/>
    <s v="null"/>
    <s v="null"/>
    <n v="647"/>
    <n v="24.93"/>
    <x v="14"/>
    <x v="7"/>
    <s v="Uber Wallet"/>
  </r>
  <r>
    <x v="13"/>
    <x v="4"/>
    <x v="56"/>
    <s v="&quot;CNR1349015&quot;"/>
    <x v="3"/>
    <s v="&quot;CID9386278&quot;"/>
    <x v="2"/>
    <x v="50"/>
    <s v="Badarpur"/>
    <x v="45"/>
    <s v="null"/>
    <s v="null"/>
    <s v="null"/>
    <n v="1"/>
    <s v="More than permitted people in there"/>
    <s v="null"/>
    <s v="null"/>
    <s v="null"/>
    <s v="null"/>
    <x v="0"/>
    <x v="0"/>
    <s v="null"/>
  </r>
  <r>
    <x v="52"/>
    <x v="11"/>
    <x v="57"/>
    <s v="&quot;CNR9773309&quot;"/>
    <x v="0"/>
    <s v="&quot;CID9965847&quot;"/>
    <x v="6"/>
    <x v="51"/>
    <s v="Dwarka Sector 21"/>
    <x v="0"/>
    <s v="null"/>
    <s v="null"/>
    <s v="null"/>
    <s v="null"/>
    <s v="null"/>
    <s v="null"/>
    <s v="null"/>
    <s v="null"/>
    <s v="null"/>
    <x v="0"/>
    <x v="0"/>
    <s v="null"/>
  </r>
  <r>
    <x v="53"/>
    <x v="6"/>
    <x v="58"/>
    <s v="&quot;CNR2107544&quot;"/>
    <x v="2"/>
    <s v="&quot;CID1266188&quot;"/>
    <x v="3"/>
    <x v="7"/>
    <s v="Palam Vihar"/>
    <x v="46"/>
    <n v="42.1"/>
    <s v="null"/>
    <s v="null"/>
    <s v="null"/>
    <s v="null"/>
    <s v="null"/>
    <s v="null"/>
    <n v="125"/>
    <n v="25.16"/>
    <x v="14"/>
    <x v="2"/>
    <s v="Credit Card"/>
  </r>
  <r>
    <x v="54"/>
    <x v="9"/>
    <x v="59"/>
    <s v="&quot;CNR4171959&quot;"/>
    <x v="3"/>
    <s v="&quot;CID8470723&quot;"/>
    <x v="3"/>
    <x v="52"/>
    <s v="Ramesh Nagar"/>
    <x v="47"/>
    <s v="null"/>
    <s v="null"/>
    <s v="null"/>
    <n v="1"/>
    <s v="Customer related issue"/>
    <s v="null"/>
    <s v="null"/>
    <s v="null"/>
    <s v="null"/>
    <x v="0"/>
    <x v="0"/>
    <s v="null"/>
  </r>
  <r>
    <x v="55"/>
    <x v="8"/>
    <x v="60"/>
    <s v="&quot;CNR5316307&quot;"/>
    <x v="2"/>
    <s v="&quot;CID1816553&quot;"/>
    <x v="3"/>
    <x v="53"/>
    <s v="Akshardham"/>
    <x v="16"/>
    <n v="21.5"/>
    <s v="null"/>
    <s v="null"/>
    <s v="null"/>
    <s v="null"/>
    <s v="null"/>
    <s v="null"/>
    <n v="375"/>
    <n v="48.85"/>
    <x v="15"/>
    <x v="11"/>
    <s v="Cash"/>
  </r>
  <r>
    <x v="56"/>
    <x v="5"/>
    <x v="61"/>
    <s v="&quot;CNR3635865&quot;"/>
    <x v="2"/>
    <s v="&quot;CID6477355&quot;"/>
    <x v="2"/>
    <x v="26"/>
    <s v="Yamuna Bank"/>
    <x v="48"/>
    <n v="33"/>
    <s v="null"/>
    <s v="null"/>
    <s v="null"/>
    <s v="null"/>
    <s v="null"/>
    <s v="null"/>
    <n v="310"/>
    <n v="24.41"/>
    <x v="2"/>
    <x v="12"/>
    <s v="Debit Card"/>
  </r>
  <r>
    <x v="57"/>
    <x v="5"/>
    <x v="62"/>
    <s v="&quot;CNR2497989&quot;"/>
    <x v="4"/>
    <s v="&quot;CID5007066&quot;"/>
    <x v="2"/>
    <x v="54"/>
    <s v="IGI Airport"/>
    <x v="49"/>
    <s v="null"/>
    <n v="1"/>
    <s v="Driver is not moving towards pickup location"/>
    <s v="null"/>
    <s v="null"/>
    <s v="null"/>
    <s v="null"/>
    <s v="null"/>
    <s v="null"/>
    <x v="0"/>
    <x v="0"/>
    <s v="null"/>
  </r>
  <r>
    <x v="58"/>
    <x v="0"/>
    <x v="63"/>
    <s v="&quot;CNR8946337&quot;"/>
    <x v="3"/>
    <s v="&quot;CID6438326&quot;"/>
    <x v="1"/>
    <x v="1"/>
    <s v="New Colony"/>
    <x v="27"/>
    <s v="null"/>
    <s v="null"/>
    <s v="null"/>
    <n v="1"/>
    <s v="Customer related issue"/>
    <s v="null"/>
    <s v="null"/>
    <s v="null"/>
    <s v="null"/>
    <x v="0"/>
    <x v="0"/>
    <s v="null"/>
  </r>
  <r>
    <x v="59"/>
    <x v="2"/>
    <x v="64"/>
    <s v="&quot;CNR3740694&quot;"/>
    <x v="1"/>
    <s v="&quot;CID5885514&quot;"/>
    <x v="2"/>
    <x v="45"/>
    <s v="Green Park"/>
    <x v="37"/>
    <n v="10.1"/>
    <s v="null"/>
    <s v="null"/>
    <s v="null"/>
    <s v="null"/>
    <n v="1"/>
    <s v="Vehicle Breakdown"/>
    <n v="370"/>
    <n v="13.85"/>
    <x v="0"/>
    <x v="0"/>
    <s v="Cash"/>
  </r>
  <r>
    <x v="60"/>
    <x v="0"/>
    <x v="65"/>
    <s v="&quot;CNR4660896&quot;"/>
    <x v="3"/>
    <s v="&quot;CID5486947&quot;"/>
    <x v="3"/>
    <x v="55"/>
    <s v="ITO"/>
    <x v="50"/>
    <s v="null"/>
    <s v="null"/>
    <s v="null"/>
    <n v="1"/>
    <s v="More than permitted people in there"/>
    <s v="null"/>
    <s v="null"/>
    <s v="null"/>
    <s v="null"/>
    <x v="0"/>
    <x v="0"/>
    <s v="null"/>
  </r>
  <r>
    <x v="61"/>
    <x v="0"/>
    <x v="66"/>
    <s v="&quot;CNR2513330&quot;"/>
    <x v="3"/>
    <s v="&quot;CID7805280&quot;"/>
    <x v="3"/>
    <x v="39"/>
    <s v="Noida Extension"/>
    <x v="29"/>
    <s v="null"/>
    <s v="null"/>
    <s v="null"/>
    <n v="1"/>
    <s v="Customer related issue"/>
    <s v="null"/>
    <s v="null"/>
    <s v="null"/>
    <s v="null"/>
    <x v="0"/>
    <x v="0"/>
    <s v="null"/>
  </r>
  <r>
    <x v="62"/>
    <x v="10"/>
    <x v="67"/>
    <s v="&quot;CNR9252424&quot;"/>
    <x v="2"/>
    <s v="&quot;CID9413620&quot;"/>
    <x v="0"/>
    <x v="11"/>
    <s v="Mehrauli"/>
    <x v="7"/>
    <n v="18.100000000000001"/>
    <s v="null"/>
    <s v="null"/>
    <s v="null"/>
    <s v="null"/>
    <s v="null"/>
    <s v="null"/>
    <n v="291"/>
    <n v="3.71"/>
    <x v="16"/>
    <x v="3"/>
    <s v="UPI"/>
  </r>
  <r>
    <x v="52"/>
    <x v="11"/>
    <x v="68"/>
    <s v="&quot;CNR3096031&quot;"/>
    <x v="2"/>
    <s v="&quot;CID3101926&quot;"/>
    <x v="2"/>
    <x v="56"/>
    <s v="Saket"/>
    <x v="50"/>
    <n v="24.3"/>
    <s v="null"/>
    <s v="null"/>
    <s v="null"/>
    <s v="null"/>
    <s v="null"/>
    <s v="null"/>
    <n v="114"/>
    <n v="32.979999999999997"/>
    <x v="14"/>
    <x v="10"/>
    <s v="Uber Wallet"/>
  </r>
  <r>
    <x v="6"/>
    <x v="6"/>
    <x v="69"/>
    <s v="&quot;CNR4141159&quot;"/>
    <x v="2"/>
    <s v="&quot;CID6810411&quot;"/>
    <x v="5"/>
    <x v="57"/>
    <s v="New Delhi Railway Station"/>
    <x v="51"/>
    <n v="44.5"/>
    <s v="null"/>
    <s v="null"/>
    <s v="null"/>
    <s v="null"/>
    <s v="null"/>
    <s v="null"/>
    <n v="464"/>
    <n v="11.2"/>
    <x v="12"/>
    <x v="6"/>
    <s v="Cash"/>
  </r>
  <r>
    <x v="21"/>
    <x v="8"/>
    <x v="70"/>
    <s v="&quot;CNR6757829&quot;"/>
    <x v="2"/>
    <s v="&quot;CID8433663&quot;"/>
    <x v="1"/>
    <x v="58"/>
    <s v="Mundka"/>
    <x v="52"/>
    <n v="27.1"/>
    <s v="null"/>
    <s v="null"/>
    <s v="null"/>
    <s v="null"/>
    <s v="null"/>
    <s v="null"/>
    <n v="160"/>
    <n v="45.4"/>
    <x v="4"/>
    <x v="2"/>
    <s v="Cash"/>
  </r>
  <r>
    <x v="63"/>
    <x v="7"/>
    <x v="71"/>
    <s v="&quot;CNR6204326&quot;"/>
    <x v="3"/>
    <s v="&quot;CID9419495&quot;"/>
    <x v="2"/>
    <x v="59"/>
    <s v="India Gate"/>
    <x v="53"/>
    <s v="null"/>
    <s v="null"/>
    <s v="null"/>
    <n v="1"/>
    <s v="Personal &amp; Car related issues"/>
    <s v="null"/>
    <s v="null"/>
    <s v="null"/>
    <s v="null"/>
    <x v="0"/>
    <x v="0"/>
    <s v="null"/>
  </r>
  <r>
    <x v="64"/>
    <x v="7"/>
    <x v="72"/>
    <s v="&quot;CNR3347993&quot;"/>
    <x v="2"/>
    <s v="&quot;CID4871438&quot;"/>
    <x v="0"/>
    <x v="60"/>
    <s v="Pitampura"/>
    <x v="40"/>
    <n v="38.5"/>
    <s v="null"/>
    <s v="null"/>
    <s v="null"/>
    <s v="null"/>
    <s v="null"/>
    <s v="null"/>
    <n v="206"/>
    <n v="28.78"/>
    <x v="3"/>
    <x v="13"/>
    <s v="Cash"/>
  </r>
  <r>
    <x v="22"/>
    <x v="5"/>
    <x v="73"/>
    <s v="&quot;CNR6796311&quot;"/>
    <x v="1"/>
    <s v="&quot;CID1880505&quot;"/>
    <x v="5"/>
    <x v="4"/>
    <s v="Palam Vihar"/>
    <x v="54"/>
    <n v="17.2"/>
    <s v="null"/>
    <s v="null"/>
    <s v="null"/>
    <s v="null"/>
    <n v="1"/>
    <s v="Customer Demand"/>
    <n v="217"/>
    <n v="2.81"/>
    <x v="0"/>
    <x v="0"/>
    <s v="Credit Card"/>
  </r>
  <r>
    <x v="65"/>
    <x v="9"/>
    <x v="74"/>
    <s v="&quot;CNR3908312&quot;"/>
    <x v="2"/>
    <s v="&quot;CID8787746&quot;"/>
    <x v="4"/>
    <x v="25"/>
    <s v="Netaji Subhash Place"/>
    <x v="55"/>
    <n v="37.299999999999997"/>
    <s v="null"/>
    <s v="null"/>
    <s v="null"/>
    <s v="null"/>
    <s v="null"/>
    <s v="null"/>
    <n v="633"/>
    <n v="17.34"/>
    <x v="12"/>
    <x v="1"/>
    <s v="Credit Card"/>
  </r>
  <r>
    <x v="66"/>
    <x v="1"/>
    <x v="75"/>
    <s v="&quot;CNR9416323&quot;"/>
    <x v="2"/>
    <s v="&quot;CID1025742&quot;"/>
    <x v="2"/>
    <x v="32"/>
    <s v="Udyog Vihar Phase 4"/>
    <x v="8"/>
    <n v="28.2"/>
    <s v="null"/>
    <s v="null"/>
    <s v="null"/>
    <s v="null"/>
    <s v="null"/>
    <s v="null"/>
    <n v="717"/>
    <n v="9.3800000000000008"/>
    <x v="6"/>
    <x v="10"/>
    <s v="UPI"/>
  </r>
  <r>
    <x v="67"/>
    <x v="7"/>
    <x v="76"/>
    <s v="&quot;CNR2912296&quot;"/>
    <x v="2"/>
    <s v="&quot;CID8094609&quot;"/>
    <x v="1"/>
    <x v="61"/>
    <s v="Ramesh Nagar"/>
    <x v="15"/>
    <n v="26.7"/>
    <s v="null"/>
    <s v="null"/>
    <s v="null"/>
    <s v="null"/>
    <s v="null"/>
    <s v="null"/>
    <n v="151"/>
    <n v="11.9"/>
    <x v="1"/>
    <x v="10"/>
    <s v="UPI"/>
  </r>
  <r>
    <x v="68"/>
    <x v="4"/>
    <x v="77"/>
    <s v="&quot;CNR4611314&quot;"/>
    <x v="2"/>
    <s v="&quot;CID6968311&quot;"/>
    <x v="3"/>
    <x v="62"/>
    <s v="New Delhi Railway Station"/>
    <x v="56"/>
    <n v="34.700000000000003"/>
    <s v="null"/>
    <s v="null"/>
    <s v="null"/>
    <s v="null"/>
    <s v="null"/>
    <s v="null"/>
    <n v="512"/>
    <n v="35.659999999999997"/>
    <x v="10"/>
    <x v="1"/>
    <s v="UPI"/>
  </r>
  <r>
    <x v="69"/>
    <x v="1"/>
    <x v="78"/>
    <s v="&quot;CNR2601752&quot;"/>
    <x v="4"/>
    <s v="&quot;CID9283370&quot;"/>
    <x v="1"/>
    <x v="27"/>
    <s v="Indraprastha"/>
    <x v="57"/>
    <s v="null"/>
    <n v="1"/>
    <s v="Driver asked to cancel"/>
    <s v="null"/>
    <s v="null"/>
    <s v="null"/>
    <s v="null"/>
    <s v="null"/>
    <s v="null"/>
    <x v="0"/>
    <x v="0"/>
    <s v="null"/>
  </r>
  <r>
    <x v="70"/>
    <x v="2"/>
    <x v="79"/>
    <s v="&quot;CNR5793527&quot;"/>
    <x v="3"/>
    <s v="&quot;CID5705499&quot;"/>
    <x v="3"/>
    <x v="51"/>
    <s v="Rohini"/>
    <x v="58"/>
    <s v="null"/>
    <s v="null"/>
    <s v="null"/>
    <n v="1"/>
    <s v="Personal &amp; Car related issues"/>
    <s v="null"/>
    <s v="null"/>
    <s v="null"/>
    <s v="null"/>
    <x v="0"/>
    <x v="0"/>
    <s v="null"/>
  </r>
  <r>
    <x v="71"/>
    <x v="5"/>
    <x v="80"/>
    <s v="&quot;CNR4487090&quot;"/>
    <x v="2"/>
    <s v="&quot;CID1210782&quot;"/>
    <x v="3"/>
    <x v="52"/>
    <s v="Chirag Delhi"/>
    <x v="59"/>
    <n v="39.1"/>
    <s v="null"/>
    <s v="null"/>
    <s v="null"/>
    <s v="null"/>
    <s v="null"/>
    <s v="null"/>
    <n v="1390"/>
    <n v="21.79"/>
    <x v="9"/>
    <x v="1"/>
    <s v="UPI"/>
  </r>
  <r>
    <x v="72"/>
    <x v="4"/>
    <x v="81"/>
    <s v="&quot;CNR5266935&quot;"/>
    <x v="3"/>
    <s v="&quot;CID2831708&quot;"/>
    <x v="3"/>
    <x v="63"/>
    <s v="Pataudi Chowk"/>
    <x v="60"/>
    <s v="null"/>
    <s v="null"/>
    <s v="null"/>
    <n v="1"/>
    <s v="More than permitted people in there"/>
    <s v="null"/>
    <s v="null"/>
    <s v="null"/>
    <s v="null"/>
    <x v="0"/>
    <x v="0"/>
    <s v="null"/>
  </r>
  <r>
    <x v="16"/>
    <x v="8"/>
    <x v="82"/>
    <s v="&quot;CNR1487489&quot;"/>
    <x v="2"/>
    <s v="&quot;CID3403699&quot;"/>
    <x v="4"/>
    <x v="64"/>
    <s v="Karol Bagh"/>
    <x v="60"/>
    <n v="23"/>
    <s v="null"/>
    <s v="null"/>
    <s v="null"/>
    <s v="null"/>
    <s v="null"/>
    <s v="null"/>
    <n v="224"/>
    <n v="7.86"/>
    <x v="3"/>
    <x v="6"/>
    <s v="Cash"/>
  </r>
  <r>
    <x v="73"/>
    <x v="3"/>
    <x v="83"/>
    <s v="&quot;CNR6351034&quot;"/>
    <x v="2"/>
    <s v="&quot;CID2038230&quot;"/>
    <x v="2"/>
    <x v="57"/>
    <s v="Vaishali"/>
    <x v="61"/>
    <n v="31.3"/>
    <s v="null"/>
    <s v="null"/>
    <s v="null"/>
    <s v="null"/>
    <s v="null"/>
    <s v="null"/>
    <n v="708"/>
    <n v="18.04"/>
    <x v="2"/>
    <x v="14"/>
    <s v="UPI"/>
  </r>
  <r>
    <x v="57"/>
    <x v="5"/>
    <x v="84"/>
    <s v="&quot;CNR7600870&quot;"/>
    <x v="2"/>
    <s v="&quot;CID7289498&quot;"/>
    <x v="2"/>
    <x v="65"/>
    <s v="IFFCO Chowk"/>
    <x v="9"/>
    <n v="43.7"/>
    <s v="null"/>
    <s v="null"/>
    <s v="null"/>
    <s v="null"/>
    <s v="null"/>
    <s v="null"/>
    <n v="153"/>
    <n v="15.18"/>
    <x v="6"/>
    <x v="9"/>
    <s v="Uber Wallet"/>
  </r>
  <r>
    <x v="74"/>
    <x v="0"/>
    <x v="85"/>
    <s v="&quot;CNR5444321&quot;"/>
    <x v="3"/>
    <s v="&quot;CID3326946&quot;"/>
    <x v="4"/>
    <x v="66"/>
    <s v="Noida Sector 62"/>
    <x v="47"/>
    <s v="null"/>
    <s v="null"/>
    <s v="null"/>
    <n v="1"/>
    <s v="The customer was coughing/sick"/>
    <s v="null"/>
    <s v="null"/>
    <s v="null"/>
    <s v="null"/>
    <x v="0"/>
    <x v="0"/>
    <s v="null"/>
  </r>
  <r>
    <x v="75"/>
    <x v="7"/>
    <x v="86"/>
    <s v="&quot;CNR8509610&quot;"/>
    <x v="2"/>
    <s v="&quot;CID8227993&quot;"/>
    <x v="4"/>
    <x v="67"/>
    <s v="Mansarovar Park"/>
    <x v="56"/>
    <n v="35"/>
    <s v="null"/>
    <s v="null"/>
    <s v="null"/>
    <s v="null"/>
    <s v="null"/>
    <s v="null"/>
    <n v="72"/>
    <n v="13.38"/>
    <x v="7"/>
    <x v="6"/>
    <s v="Cash"/>
  </r>
  <r>
    <x v="76"/>
    <x v="6"/>
    <x v="87"/>
    <s v="&quot;CNR6851549&quot;"/>
    <x v="1"/>
    <s v="&quot;CID9560489&quot;"/>
    <x v="1"/>
    <x v="68"/>
    <s v="Punjabi Bagh"/>
    <x v="24"/>
    <n v="15.6"/>
    <s v="null"/>
    <s v="null"/>
    <s v="null"/>
    <s v="null"/>
    <n v="1"/>
    <s v="Customer Demand"/>
    <n v="282"/>
    <n v="11.81"/>
    <x v="0"/>
    <x v="0"/>
    <s v="UPI"/>
  </r>
  <r>
    <x v="77"/>
    <x v="6"/>
    <x v="88"/>
    <s v="&quot;CNR3318044&quot;"/>
    <x v="0"/>
    <s v="&quot;CID4051792&quot;"/>
    <x v="5"/>
    <x v="39"/>
    <s v="Gwal Pahari"/>
    <x v="0"/>
    <s v="null"/>
    <s v="null"/>
    <s v="null"/>
    <s v="null"/>
    <s v="null"/>
    <s v="null"/>
    <s v="null"/>
    <s v="null"/>
    <s v="null"/>
    <x v="0"/>
    <x v="0"/>
    <s v="null"/>
  </r>
  <r>
    <x v="78"/>
    <x v="8"/>
    <x v="89"/>
    <s v="&quot;CNR3126177&quot;"/>
    <x v="2"/>
    <s v="&quot;CID1851430&quot;"/>
    <x v="3"/>
    <x v="69"/>
    <s v="Saidulajab"/>
    <x v="62"/>
    <n v="43.6"/>
    <s v="null"/>
    <s v="null"/>
    <s v="null"/>
    <s v="null"/>
    <s v="null"/>
    <s v="null"/>
    <n v="696"/>
    <n v="30.9"/>
    <x v="7"/>
    <x v="13"/>
    <s v="UPI"/>
  </r>
  <r>
    <x v="5"/>
    <x v="5"/>
    <x v="90"/>
    <s v="&quot;CNR6453539&quot;"/>
    <x v="1"/>
    <s v="&quot;CID6999817&quot;"/>
    <x v="0"/>
    <x v="33"/>
    <s v="Jasola"/>
    <x v="63"/>
    <n v="18"/>
    <s v="null"/>
    <s v="null"/>
    <s v="null"/>
    <s v="null"/>
    <n v="1"/>
    <s v="Vehicle Breakdown"/>
    <n v="936"/>
    <n v="14.91"/>
    <x v="0"/>
    <x v="0"/>
    <s v="Uber Wallet"/>
  </r>
  <r>
    <x v="44"/>
    <x v="4"/>
    <x v="91"/>
    <s v="&quot;CNR7449144&quot;"/>
    <x v="2"/>
    <s v="&quot;CID8609350&quot;"/>
    <x v="2"/>
    <x v="70"/>
    <s v="Tis Hazari"/>
    <x v="64"/>
    <n v="32.700000000000003"/>
    <s v="null"/>
    <s v="null"/>
    <s v="null"/>
    <s v="null"/>
    <s v="null"/>
    <s v="null"/>
    <n v="2169"/>
    <n v="44.25"/>
    <x v="5"/>
    <x v="3"/>
    <s v="Uber Wallet"/>
  </r>
  <r>
    <x v="79"/>
    <x v="4"/>
    <x v="92"/>
    <s v="&quot;CNR1970319&quot;"/>
    <x v="2"/>
    <s v="&quot;CID6085619&quot;"/>
    <x v="0"/>
    <x v="50"/>
    <s v="Udyog Bhawan"/>
    <x v="65"/>
    <n v="24.6"/>
    <s v="null"/>
    <s v="null"/>
    <s v="null"/>
    <s v="null"/>
    <s v="null"/>
    <s v="null"/>
    <n v="136"/>
    <n v="45.46"/>
    <x v="16"/>
    <x v="12"/>
    <s v="Uber Wallet"/>
  </r>
  <r>
    <x v="80"/>
    <x v="11"/>
    <x v="93"/>
    <s v="&quot;CNR4415815&quot;"/>
    <x v="2"/>
    <s v="&quot;CID8351180&quot;"/>
    <x v="5"/>
    <x v="20"/>
    <s v="Saket A Block"/>
    <x v="10"/>
    <n v="38.9"/>
    <s v="null"/>
    <s v="null"/>
    <s v="null"/>
    <s v="null"/>
    <s v="null"/>
    <s v="null"/>
    <n v="214"/>
    <n v="2.91"/>
    <x v="3"/>
    <x v="7"/>
    <s v="UPI"/>
  </r>
  <r>
    <x v="81"/>
    <x v="6"/>
    <x v="94"/>
    <s v="&quot;CNR3899082&quot;"/>
    <x v="2"/>
    <s v="&quot;CID5467225&quot;"/>
    <x v="5"/>
    <x v="71"/>
    <s v="Mayur Vihar"/>
    <x v="17"/>
    <n v="16.399999999999999"/>
    <s v="null"/>
    <s v="null"/>
    <s v="null"/>
    <s v="null"/>
    <s v="null"/>
    <s v="null"/>
    <n v="835"/>
    <n v="37.57"/>
    <x v="6"/>
    <x v="14"/>
    <s v="UPI"/>
  </r>
  <r>
    <x v="82"/>
    <x v="3"/>
    <x v="95"/>
    <s v="&quot;CNR3274519&quot;"/>
    <x v="3"/>
    <s v="&quot;CID3829804&quot;"/>
    <x v="0"/>
    <x v="72"/>
    <s v="Gurgaon Sector 29"/>
    <x v="15"/>
    <s v="null"/>
    <s v="null"/>
    <s v="null"/>
    <n v="1"/>
    <s v="More than permitted people in there"/>
    <s v="null"/>
    <s v="null"/>
    <s v="null"/>
    <s v="null"/>
    <x v="0"/>
    <x v="0"/>
    <s v="null"/>
  </r>
  <r>
    <x v="83"/>
    <x v="2"/>
    <x v="96"/>
    <s v="&quot;CNR3263958&quot;"/>
    <x v="2"/>
    <s v="&quot;CID3231090&quot;"/>
    <x v="1"/>
    <x v="73"/>
    <s v="Ashram"/>
    <x v="66"/>
    <n v="36.200000000000003"/>
    <s v="null"/>
    <s v="null"/>
    <s v="null"/>
    <s v="null"/>
    <s v="null"/>
    <s v="null"/>
    <n v="705"/>
    <n v="40.18"/>
    <x v="13"/>
    <x v="14"/>
    <s v="UPI"/>
  </r>
  <r>
    <x v="84"/>
    <x v="9"/>
    <x v="97"/>
    <s v="&quot;CNR5822542&quot;"/>
    <x v="0"/>
    <s v="&quot;CID1628370&quot;"/>
    <x v="6"/>
    <x v="14"/>
    <s v="DLF City Court"/>
    <x v="0"/>
    <s v="null"/>
    <s v="null"/>
    <s v="null"/>
    <s v="null"/>
    <s v="null"/>
    <s v="null"/>
    <s v="null"/>
    <s v="null"/>
    <s v="null"/>
    <x v="0"/>
    <x v="0"/>
    <s v="null"/>
  </r>
  <r>
    <x v="85"/>
    <x v="3"/>
    <x v="98"/>
    <s v="&quot;CNR9652983&quot;"/>
    <x v="2"/>
    <s v="&quot;CID4773175&quot;"/>
    <x v="1"/>
    <x v="74"/>
    <s v="Khan Market"/>
    <x v="67"/>
    <n v="35.5"/>
    <s v="null"/>
    <s v="null"/>
    <s v="null"/>
    <s v="null"/>
    <s v="null"/>
    <s v="null"/>
    <n v="480"/>
    <n v="20.22"/>
    <x v="14"/>
    <x v="14"/>
    <s v="Debit Card"/>
  </r>
  <r>
    <x v="86"/>
    <x v="0"/>
    <x v="99"/>
    <s v="&quot;CNR2598306&quot;"/>
    <x v="4"/>
    <s v="&quot;CID5704025&quot;"/>
    <x v="3"/>
    <x v="72"/>
    <s v="Badshahpur"/>
    <x v="68"/>
    <s v="null"/>
    <n v="1"/>
    <s v="AC is not working"/>
    <s v="null"/>
    <s v="null"/>
    <s v="null"/>
    <s v="null"/>
    <s v="null"/>
    <s v="null"/>
    <x v="0"/>
    <x v="0"/>
    <s v="null"/>
  </r>
  <r>
    <x v="87"/>
    <x v="6"/>
    <x v="100"/>
    <s v="&quot;CNR3274827&quot;"/>
    <x v="2"/>
    <s v="&quot;CID3134967&quot;"/>
    <x v="5"/>
    <x v="26"/>
    <s v="Old Gurgaon"/>
    <x v="69"/>
    <n v="41.7"/>
    <s v="null"/>
    <s v="null"/>
    <s v="null"/>
    <s v="null"/>
    <s v="null"/>
    <s v="null"/>
    <n v="707"/>
    <n v="44.76"/>
    <x v="17"/>
    <x v="8"/>
    <s v="UPI"/>
  </r>
  <r>
    <x v="88"/>
    <x v="0"/>
    <x v="101"/>
    <s v="&quot;CNR9139265&quot;"/>
    <x v="3"/>
    <s v="&quot;CID4003339&quot;"/>
    <x v="4"/>
    <x v="75"/>
    <s v="DLF Phase 3"/>
    <x v="40"/>
    <s v="null"/>
    <s v="null"/>
    <s v="null"/>
    <n v="1"/>
    <s v="Personal &amp; Car related issues"/>
    <s v="null"/>
    <s v="null"/>
    <s v="null"/>
    <s v="null"/>
    <x v="0"/>
    <x v="0"/>
    <s v="null"/>
  </r>
  <r>
    <x v="89"/>
    <x v="4"/>
    <x v="102"/>
    <s v="&quot;CNR8036415&quot;"/>
    <x v="2"/>
    <s v="&quot;CID9244184&quot;"/>
    <x v="0"/>
    <x v="76"/>
    <s v="Greater Noida"/>
    <x v="31"/>
    <n v="38"/>
    <s v="null"/>
    <s v="null"/>
    <s v="null"/>
    <s v="null"/>
    <s v="null"/>
    <s v="null"/>
    <n v="865"/>
    <n v="43.34"/>
    <x v="16"/>
    <x v="12"/>
    <s v="Cash"/>
  </r>
  <r>
    <x v="90"/>
    <x v="11"/>
    <x v="103"/>
    <s v="&quot;CNR8433849&quot;"/>
    <x v="2"/>
    <s v="&quot;CID7659765&quot;"/>
    <x v="4"/>
    <x v="7"/>
    <s v="IGNOU Road"/>
    <x v="70"/>
    <n v="40"/>
    <s v="null"/>
    <s v="null"/>
    <s v="null"/>
    <s v="null"/>
    <s v="null"/>
    <s v="null"/>
    <n v="768"/>
    <n v="5.97"/>
    <x v="14"/>
    <x v="14"/>
    <s v="Cash"/>
  </r>
  <r>
    <x v="91"/>
    <x v="9"/>
    <x v="104"/>
    <s v="&quot;CNR2948784&quot;"/>
    <x v="2"/>
    <s v="&quot;CID7747807&quot;"/>
    <x v="4"/>
    <x v="77"/>
    <s v="Yamuna Bank"/>
    <x v="18"/>
    <n v="37"/>
    <s v="null"/>
    <s v="null"/>
    <s v="null"/>
    <s v="null"/>
    <s v="null"/>
    <s v="null"/>
    <n v="626"/>
    <n v="27.96"/>
    <x v="13"/>
    <x v="3"/>
    <s v="Uber Wallet"/>
  </r>
  <r>
    <x v="92"/>
    <x v="6"/>
    <x v="105"/>
    <s v="&quot;CNR1996806&quot;"/>
    <x v="2"/>
    <s v="&quot;CID2293483&quot;"/>
    <x v="5"/>
    <x v="59"/>
    <s v="Bahadurgarh"/>
    <x v="25"/>
    <n v="40.4"/>
    <s v="null"/>
    <s v="null"/>
    <s v="null"/>
    <s v="null"/>
    <s v="null"/>
    <s v="null"/>
    <n v="443"/>
    <n v="21.19"/>
    <x v="6"/>
    <x v="2"/>
    <s v="UPI"/>
  </r>
  <r>
    <x v="93"/>
    <x v="10"/>
    <x v="106"/>
    <s v="&quot;CNR6241612&quot;"/>
    <x v="4"/>
    <s v="&quot;CID5715130&quot;"/>
    <x v="2"/>
    <x v="74"/>
    <s v="Hauz Rani"/>
    <x v="20"/>
    <s v="null"/>
    <n v="1"/>
    <s v="Driver asked to cancel"/>
    <s v="null"/>
    <s v="null"/>
    <s v="null"/>
    <s v="null"/>
    <s v="null"/>
    <s v="null"/>
    <x v="0"/>
    <x v="0"/>
    <s v="null"/>
  </r>
  <r>
    <x v="94"/>
    <x v="11"/>
    <x v="107"/>
    <s v="&quot;CNR5222120&quot;"/>
    <x v="2"/>
    <s v="&quot;CID2370613&quot;"/>
    <x v="1"/>
    <x v="45"/>
    <s v="Chandni Chowk"/>
    <x v="40"/>
    <n v="28.7"/>
    <s v="null"/>
    <s v="null"/>
    <s v="null"/>
    <s v="null"/>
    <s v="null"/>
    <s v="null"/>
    <n v="226"/>
    <n v="47.63"/>
    <x v="18"/>
    <x v="5"/>
    <s v="UPI"/>
  </r>
  <r>
    <x v="74"/>
    <x v="0"/>
    <x v="108"/>
    <s v="&quot;CNR6596872&quot;"/>
    <x v="2"/>
    <s v="&quot;CID2589193&quot;"/>
    <x v="2"/>
    <x v="1"/>
    <s v="Saket A Block"/>
    <x v="34"/>
    <n v="30.6"/>
    <s v="null"/>
    <s v="null"/>
    <s v="null"/>
    <s v="null"/>
    <s v="null"/>
    <s v="null"/>
    <n v="449"/>
    <n v="24.4"/>
    <x v="15"/>
    <x v="5"/>
    <s v="UPI"/>
  </r>
  <r>
    <x v="86"/>
    <x v="0"/>
    <x v="109"/>
    <s v="&quot;CNR7149058&quot;"/>
    <x v="2"/>
    <s v="&quot;CID7341591&quot;"/>
    <x v="5"/>
    <x v="17"/>
    <s v="Shastri Park"/>
    <x v="54"/>
    <n v="21.1"/>
    <s v="null"/>
    <s v="null"/>
    <s v="null"/>
    <s v="null"/>
    <s v="null"/>
    <s v="null"/>
    <n v="778"/>
    <n v="7.49"/>
    <x v="14"/>
    <x v="1"/>
    <s v="UPI"/>
  </r>
  <r>
    <x v="95"/>
    <x v="6"/>
    <x v="110"/>
    <s v="&quot;CNR5726463&quot;"/>
    <x v="2"/>
    <s v="&quot;CID3407189&quot;"/>
    <x v="4"/>
    <x v="77"/>
    <s v="Yamuna Bank"/>
    <x v="71"/>
    <n v="18.8"/>
    <s v="null"/>
    <s v="null"/>
    <s v="null"/>
    <s v="null"/>
    <s v="null"/>
    <s v="null"/>
    <n v="361"/>
    <n v="24.44"/>
    <x v="14"/>
    <x v="14"/>
    <s v="UPI"/>
  </r>
  <r>
    <x v="96"/>
    <x v="2"/>
    <x v="111"/>
    <s v="&quot;CNR3975551&quot;"/>
    <x v="2"/>
    <s v="&quot;CID2944423&quot;"/>
    <x v="2"/>
    <x v="78"/>
    <s v="New Colony"/>
    <x v="72"/>
    <n v="30.4"/>
    <s v="null"/>
    <s v="null"/>
    <s v="null"/>
    <s v="null"/>
    <s v="null"/>
    <s v="null"/>
    <n v="235"/>
    <n v="9.1999999999999993"/>
    <x v="14"/>
    <x v="15"/>
    <s v="UPI"/>
  </r>
  <r>
    <x v="32"/>
    <x v="5"/>
    <x v="112"/>
    <s v="&quot;CNR8637930&quot;"/>
    <x v="2"/>
    <s v="&quot;CID8137475&quot;"/>
    <x v="1"/>
    <x v="9"/>
    <s v="Botanical Garden"/>
    <x v="64"/>
    <n v="15.9"/>
    <s v="null"/>
    <s v="null"/>
    <s v="null"/>
    <s v="null"/>
    <s v="null"/>
    <s v="null"/>
    <n v="186"/>
    <n v="28.09"/>
    <x v="6"/>
    <x v="8"/>
    <s v="Cash"/>
  </r>
  <r>
    <x v="87"/>
    <x v="6"/>
    <x v="113"/>
    <s v="&quot;CNR9935095&quot;"/>
    <x v="1"/>
    <s v="&quot;CID7359331&quot;"/>
    <x v="6"/>
    <x v="79"/>
    <s v="Nawada"/>
    <x v="58"/>
    <n v="21.9"/>
    <s v="null"/>
    <s v="null"/>
    <s v="null"/>
    <s v="null"/>
    <n v="1"/>
    <s v="Other Issue"/>
    <n v="544"/>
    <n v="3.37"/>
    <x v="0"/>
    <x v="0"/>
    <s v="Cash"/>
  </r>
  <r>
    <x v="0"/>
    <x v="0"/>
    <x v="114"/>
    <s v="&quot;CNR8893726&quot;"/>
    <x v="0"/>
    <s v="&quot;CID8335294&quot;"/>
    <x v="4"/>
    <x v="80"/>
    <s v="Dilshad Garden"/>
    <x v="0"/>
    <s v="null"/>
    <s v="null"/>
    <s v="null"/>
    <s v="null"/>
    <s v="null"/>
    <s v="null"/>
    <s v="null"/>
    <s v="null"/>
    <s v="null"/>
    <x v="0"/>
    <x v="0"/>
    <s v="null"/>
  </r>
  <r>
    <x v="97"/>
    <x v="8"/>
    <x v="115"/>
    <s v="&quot;CNR3975051&quot;"/>
    <x v="4"/>
    <s v="&quot;CID5797043&quot;"/>
    <x v="5"/>
    <x v="81"/>
    <s v="Kaushambi"/>
    <x v="3"/>
    <s v="null"/>
    <n v="1"/>
    <s v="Driver asked to cancel"/>
    <s v="null"/>
    <s v="null"/>
    <s v="null"/>
    <s v="null"/>
    <s v="null"/>
    <s v="null"/>
    <x v="0"/>
    <x v="0"/>
    <s v="null"/>
  </r>
  <r>
    <x v="98"/>
    <x v="4"/>
    <x v="116"/>
    <s v="&quot;CNR1984811&quot;"/>
    <x v="4"/>
    <s v="&quot;CID6701334&quot;"/>
    <x v="2"/>
    <x v="44"/>
    <s v="Qutub Minar"/>
    <x v="55"/>
    <s v="null"/>
    <n v="1"/>
    <s v="Change of plans"/>
    <s v="null"/>
    <s v="null"/>
    <s v="null"/>
    <s v="null"/>
    <s v="null"/>
    <s v="null"/>
    <x v="0"/>
    <x v="0"/>
    <s v="null"/>
  </r>
  <r>
    <x v="99"/>
    <x v="9"/>
    <x v="117"/>
    <s v="&quot;CNR7036055&quot;"/>
    <x v="2"/>
    <s v="&quot;CID7359512&quot;"/>
    <x v="4"/>
    <x v="29"/>
    <s v="Vinobapuri"/>
    <x v="9"/>
    <n v="25"/>
    <s v="null"/>
    <s v="null"/>
    <s v="null"/>
    <s v="null"/>
    <s v="null"/>
    <s v="null"/>
    <n v="86"/>
    <n v="40.1"/>
    <x v="18"/>
    <x v="8"/>
    <s v="Cash"/>
  </r>
  <r>
    <x v="100"/>
    <x v="0"/>
    <x v="118"/>
    <s v="&quot;CNR3449107&quot;"/>
    <x v="3"/>
    <s v="&quot;CID8684841&quot;"/>
    <x v="2"/>
    <x v="82"/>
    <s v="Central Secretariat"/>
    <x v="55"/>
    <s v="null"/>
    <s v="null"/>
    <s v="null"/>
    <n v="1"/>
    <s v="Personal &amp; Car related issues"/>
    <s v="null"/>
    <s v="null"/>
    <s v="null"/>
    <s v="null"/>
    <x v="0"/>
    <x v="0"/>
    <s v="null"/>
  </r>
  <r>
    <x v="101"/>
    <x v="4"/>
    <x v="119"/>
    <s v="&quot;CNR6919653&quot;"/>
    <x v="0"/>
    <s v="&quot;CID5736754&quot;"/>
    <x v="5"/>
    <x v="83"/>
    <s v="MG Road"/>
    <x v="0"/>
    <s v="null"/>
    <s v="null"/>
    <s v="null"/>
    <s v="null"/>
    <s v="null"/>
    <s v="null"/>
    <s v="null"/>
    <s v="null"/>
    <s v="null"/>
    <x v="0"/>
    <x v="0"/>
    <s v="null"/>
  </r>
  <r>
    <x v="67"/>
    <x v="7"/>
    <x v="120"/>
    <s v="&quot;CNR8504461&quot;"/>
    <x v="2"/>
    <s v="&quot;CID3984123&quot;"/>
    <x v="3"/>
    <x v="13"/>
    <s v="Chanakyapuri"/>
    <x v="73"/>
    <n v="43.7"/>
    <s v="null"/>
    <s v="null"/>
    <s v="null"/>
    <s v="null"/>
    <s v="null"/>
    <s v="null"/>
    <n v="234"/>
    <n v="42.5"/>
    <x v="10"/>
    <x v="1"/>
    <s v="Cash"/>
  </r>
  <r>
    <x v="102"/>
    <x v="6"/>
    <x v="121"/>
    <s v="&quot;CNR3712671&quot;"/>
    <x v="3"/>
    <s v="&quot;CID5160108&quot;"/>
    <x v="0"/>
    <x v="7"/>
    <s v="Vidhan Sabha"/>
    <x v="74"/>
    <s v="null"/>
    <s v="null"/>
    <s v="null"/>
    <n v="1"/>
    <s v="The customer was coughing/sick"/>
    <s v="null"/>
    <s v="null"/>
    <s v="null"/>
    <s v="null"/>
    <x v="0"/>
    <x v="0"/>
    <s v="null"/>
  </r>
  <r>
    <x v="103"/>
    <x v="1"/>
    <x v="122"/>
    <s v="&quot;CNR8819329&quot;"/>
    <x v="2"/>
    <s v="&quot;CID6695773&quot;"/>
    <x v="1"/>
    <x v="6"/>
    <s v="Tilak Nagar"/>
    <x v="15"/>
    <n v="44.4"/>
    <s v="null"/>
    <s v="null"/>
    <s v="null"/>
    <s v="null"/>
    <s v="null"/>
    <s v="null"/>
    <n v="758"/>
    <n v="41.42"/>
    <x v="1"/>
    <x v="9"/>
    <s v="Cash"/>
  </r>
  <r>
    <x v="104"/>
    <x v="1"/>
    <x v="123"/>
    <s v="&quot;CNR3734278&quot;"/>
    <x v="1"/>
    <s v="&quot;CID6462328&quot;"/>
    <x v="2"/>
    <x v="78"/>
    <s v="Laxmi Nagar"/>
    <x v="20"/>
    <n v="16.7"/>
    <s v="null"/>
    <s v="null"/>
    <s v="null"/>
    <s v="null"/>
    <n v="1"/>
    <s v="Other Issue"/>
    <n v="629"/>
    <n v="17.52"/>
    <x v="0"/>
    <x v="0"/>
    <s v="UPI"/>
  </r>
  <r>
    <x v="105"/>
    <x v="11"/>
    <x v="124"/>
    <s v="&quot;CNR2472864&quot;"/>
    <x v="2"/>
    <s v="&quot;CID7156852&quot;"/>
    <x v="2"/>
    <x v="84"/>
    <s v="Panchsheel Park"/>
    <x v="75"/>
    <n v="26.3"/>
    <s v="null"/>
    <s v="null"/>
    <s v="null"/>
    <s v="null"/>
    <s v="null"/>
    <s v="null"/>
    <n v="273"/>
    <n v="31.69"/>
    <x v="5"/>
    <x v="14"/>
    <s v="UPI"/>
  </r>
  <r>
    <x v="39"/>
    <x v="4"/>
    <x v="125"/>
    <s v="&quot;CNR3239651&quot;"/>
    <x v="2"/>
    <s v="&quot;CID9573465&quot;"/>
    <x v="2"/>
    <x v="85"/>
    <s v="Nirman Vihar"/>
    <x v="53"/>
    <n v="19.600000000000001"/>
    <s v="null"/>
    <s v="null"/>
    <s v="null"/>
    <s v="null"/>
    <s v="null"/>
    <s v="null"/>
    <n v="117"/>
    <n v="33.74"/>
    <x v="12"/>
    <x v="13"/>
    <s v="Debit Card"/>
  </r>
  <r>
    <x v="15"/>
    <x v="6"/>
    <x v="126"/>
    <s v="&quot;CNR2646387&quot;"/>
    <x v="2"/>
    <s v="&quot;CID8652330&quot;"/>
    <x v="1"/>
    <x v="86"/>
    <s v="Central Secretariat"/>
    <x v="76"/>
    <n v="15.8"/>
    <s v="null"/>
    <s v="null"/>
    <s v="null"/>
    <s v="null"/>
    <s v="null"/>
    <s v="null"/>
    <n v="955"/>
    <n v="36.82"/>
    <x v="10"/>
    <x v="13"/>
    <s v="UPI"/>
  </r>
  <r>
    <x v="53"/>
    <x v="6"/>
    <x v="127"/>
    <s v="&quot;CNR4724814&quot;"/>
    <x v="2"/>
    <s v="&quot;CID1251463&quot;"/>
    <x v="1"/>
    <x v="87"/>
    <s v="Jama Masjid"/>
    <x v="77"/>
    <n v="31.5"/>
    <s v="null"/>
    <s v="null"/>
    <s v="null"/>
    <s v="null"/>
    <s v="null"/>
    <s v="null"/>
    <n v="139"/>
    <n v="38.75"/>
    <x v="5"/>
    <x v="3"/>
    <s v="UPI"/>
  </r>
  <r>
    <x v="65"/>
    <x v="9"/>
    <x v="128"/>
    <s v="&quot;CNR2200152&quot;"/>
    <x v="2"/>
    <s v="&quot;CID6635464&quot;"/>
    <x v="5"/>
    <x v="88"/>
    <s v="Rohini"/>
    <x v="76"/>
    <n v="30.7"/>
    <s v="null"/>
    <s v="null"/>
    <s v="null"/>
    <s v="null"/>
    <s v="null"/>
    <s v="null"/>
    <n v="255"/>
    <n v="17.07"/>
    <x v="14"/>
    <x v="8"/>
    <s v="Cash"/>
  </r>
  <r>
    <x v="106"/>
    <x v="10"/>
    <x v="129"/>
    <s v="&quot;CNR5060137&quot;"/>
    <x v="2"/>
    <s v="&quot;CID2961093&quot;"/>
    <x v="2"/>
    <x v="89"/>
    <s v="Aya Nagar"/>
    <x v="65"/>
    <n v="18"/>
    <s v="null"/>
    <s v="null"/>
    <s v="null"/>
    <s v="null"/>
    <s v="null"/>
    <s v="null"/>
    <n v="1212"/>
    <n v="19.18"/>
    <x v="14"/>
    <x v="3"/>
    <s v="UPI"/>
  </r>
  <r>
    <x v="107"/>
    <x v="8"/>
    <x v="130"/>
    <s v="&quot;CNR9291876&quot;"/>
    <x v="2"/>
    <s v="&quot;CID9026677&quot;"/>
    <x v="1"/>
    <x v="28"/>
    <s v="Indraprastha"/>
    <x v="31"/>
    <n v="23.6"/>
    <s v="null"/>
    <s v="null"/>
    <s v="null"/>
    <s v="null"/>
    <s v="null"/>
    <s v="null"/>
    <n v="81"/>
    <n v="23.93"/>
    <x v="7"/>
    <x v="15"/>
    <s v="Debit Card"/>
  </r>
  <r>
    <x v="108"/>
    <x v="2"/>
    <x v="131"/>
    <s v="&quot;CNR4212658&quot;"/>
    <x v="2"/>
    <s v="&quot;CID5774800&quot;"/>
    <x v="2"/>
    <x v="26"/>
    <s v="Udyog Bhawan"/>
    <x v="78"/>
    <n v="24.2"/>
    <s v="null"/>
    <s v="null"/>
    <s v="null"/>
    <s v="null"/>
    <s v="null"/>
    <s v="null"/>
    <n v="940"/>
    <n v="29.09"/>
    <x v="6"/>
    <x v="4"/>
    <s v="UPI"/>
  </r>
  <r>
    <x v="109"/>
    <x v="8"/>
    <x v="132"/>
    <s v="&quot;CNR7677229&quot;"/>
    <x v="3"/>
    <s v="&quot;CID8986725&quot;"/>
    <x v="2"/>
    <x v="75"/>
    <s v="Vidhan Sabha"/>
    <x v="13"/>
    <s v="null"/>
    <s v="null"/>
    <s v="null"/>
    <n v="1"/>
    <s v="The customer was coughing/sick"/>
    <s v="null"/>
    <s v="null"/>
    <s v="null"/>
    <s v="null"/>
    <x v="0"/>
    <x v="0"/>
    <s v="null"/>
  </r>
  <r>
    <x v="110"/>
    <x v="9"/>
    <x v="133"/>
    <s v="&quot;CNR4415643&quot;"/>
    <x v="2"/>
    <s v="&quot;CID4718297&quot;"/>
    <x v="0"/>
    <x v="90"/>
    <s v="Hauz Khas"/>
    <x v="31"/>
    <n v="17.899999999999999"/>
    <s v="null"/>
    <s v="null"/>
    <s v="null"/>
    <s v="null"/>
    <s v="null"/>
    <s v="null"/>
    <n v="98"/>
    <n v="27.55"/>
    <x v="6"/>
    <x v="5"/>
    <s v="Cash"/>
  </r>
  <r>
    <x v="21"/>
    <x v="8"/>
    <x v="134"/>
    <s v="&quot;CNR4092218&quot;"/>
    <x v="2"/>
    <s v="&quot;CID5726360&quot;"/>
    <x v="3"/>
    <x v="53"/>
    <s v="Meerut"/>
    <x v="54"/>
    <n v="15.5"/>
    <s v="null"/>
    <s v="null"/>
    <s v="null"/>
    <s v="null"/>
    <s v="null"/>
    <s v="null"/>
    <n v="724"/>
    <n v="14"/>
    <x v="3"/>
    <x v="6"/>
    <s v="Cash"/>
  </r>
  <r>
    <x v="111"/>
    <x v="2"/>
    <x v="135"/>
    <s v="&quot;CNR8034979&quot;"/>
    <x v="2"/>
    <s v="&quot;CID1915443&quot;"/>
    <x v="0"/>
    <x v="18"/>
    <s v="Karkarduma"/>
    <x v="33"/>
    <n v="25.3"/>
    <s v="null"/>
    <s v="null"/>
    <s v="null"/>
    <s v="null"/>
    <s v="null"/>
    <s v="null"/>
    <n v="749"/>
    <n v="47.3"/>
    <x v="5"/>
    <x v="3"/>
    <s v="UPI"/>
  </r>
  <r>
    <x v="70"/>
    <x v="2"/>
    <x v="136"/>
    <s v="&quot;CNR7228014&quot;"/>
    <x v="0"/>
    <s v="&quot;CID3515824&quot;"/>
    <x v="0"/>
    <x v="14"/>
    <s v="Saket"/>
    <x v="0"/>
    <s v="null"/>
    <s v="null"/>
    <s v="null"/>
    <s v="null"/>
    <s v="null"/>
    <s v="null"/>
    <s v="null"/>
    <s v="null"/>
    <s v="null"/>
    <x v="0"/>
    <x v="0"/>
    <s v="null"/>
  </r>
  <r>
    <x v="36"/>
    <x v="3"/>
    <x v="137"/>
    <s v="&quot;CNR1435581&quot;"/>
    <x v="2"/>
    <s v="&quot;CID1856576&quot;"/>
    <x v="2"/>
    <x v="28"/>
    <s v="Barakhamba Road"/>
    <x v="22"/>
    <n v="37.4"/>
    <s v="null"/>
    <s v="null"/>
    <s v="null"/>
    <s v="null"/>
    <s v="null"/>
    <s v="null"/>
    <n v="244"/>
    <n v="14.59"/>
    <x v="3"/>
    <x v="14"/>
    <s v="UPI"/>
  </r>
  <r>
    <x v="112"/>
    <x v="9"/>
    <x v="138"/>
    <s v="&quot;CNR5373942&quot;"/>
    <x v="0"/>
    <s v="&quot;CID7792143&quot;"/>
    <x v="2"/>
    <x v="91"/>
    <s v="Jahangirpuri"/>
    <x v="0"/>
    <s v="null"/>
    <s v="null"/>
    <s v="null"/>
    <s v="null"/>
    <s v="null"/>
    <s v="null"/>
    <s v="null"/>
    <s v="null"/>
    <s v="null"/>
    <x v="0"/>
    <x v="0"/>
    <s v="null"/>
  </r>
  <r>
    <x v="113"/>
    <x v="5"/>
    <x v="139"/>
    <s v="&quot;CNR3434703&quot;"/>
    <x v="1"/>
    <s v="&quot;CID3333217&quot;"/>
    <x v="2"/>
    <x v="92"/>
    <s v="Bhiwadi"/>
    <x v="66"/>
    <n v="22.8"/>
    <s v="null"/>
    <s v="null"/>
    <s v="null"/>
    <s v="null"/>
    <n v="1"/>
    <s v="Vehicle Breakdown"/>
    <n v="351"/>
    <n v="8.68"/>
    <x v="0"/>
    <x v="0"/>
    <s v="UPI"/>
  </r>
  <r>
    <x v="99"/>
    <x v="9"/>
    <x v="140"/>
    <s v="&quot;CNR6987620&quot;"/>
    <x v="2"/>
    <s v="&quot;CID3121337&quot;"/>
    <x v="2"/>
    <x v="93"/>
    <s v="Azadpur"/>
    <x v="27"/>
    <n v="28.9"/>
    <s v="null"/>
    <s v="null"/>
    <s v="null"/>
    <s v="null"/>
    <s v="null"/>
    <s v="null"/>
    <n v="585"/>
    <n v="34.14"/>
    <x v="2"/>
    <x v="5"/>
    <s v="Debit Card"/>
  </r>
  <r>
    <x v="114"/>
    <x v="7"/>
    <x v="141"/>
    <s v="&quot;CNR4132145&quot;"/>
    <x v="2"/>
    <s v="&quot;CID5140786&quot;"/>
    <x v="2"/>
    <x v="94"/>
    <s v="Udyog Vihar Phase 4"/>
    <x v="35"/>
    <n v="44.7"/>
    <s v="null"/>
    <s v="null"/>
    <s v="null"/>
    <s v="null"/>
    <s v="null"/>
    <s v="null"/>
    <n v="554"/>
    <n v="31.79"/>
    <x v="14"/>
    <x v="4"/>
    <s v="Cash"/>
  </r>
  <r>
    <x v="15"/>
    <x v="6"/>
    <x v="142"/>
    <s v="&quot;CNR8207805&quot;"/>
    <x v="2"/>
    <s v="&quot;CID6685791&quot;"/>
    <x v="4"/>
    <x v="95"/>
    <s v="Sohna Road"/>
    <x v="70"/>
    <n v="28.5"/>
    <s v="null"/>
    <s v="null"/>
    <s v="null"/>
    <s v="null"/>
    <s v="null"/>
    <s v="null"/>
    <n v="803"/>
    <n v="25.01"/>
    <x v="3"/>
    <x v="10"/>
    <s v="Credit Card"/>
  </r>
  <r>
    <x v="115"/>
    <x v="11"/>
    <x v="143"/>
    <s v="&quot;CNR1438443&quot;"/>
    <x v="2"/>
    <s v="&quot;CID5468663&quot;"/>
    <x v="5"/>
    <x v="96"/>
    <s v="Akshardham"/>
    <x v="79"/>
    <n v="24.8"/>
    <s v="null"/>
    <s v="null"/>
    <s v="null"/>
    <s v="null"/>
    <s v="null"/>
    <s v="null"/>
    <n v="388"/>
    <n v="17.559999999999999"/>
    <x v="6"/>
    <x v="7"/>
    <s v="UPI"/>
  </r>
  <r>
    <x v="26"/>
    <x v="10"/>
    <x v="144"/>
    <s v="&quot;CNR6129081&quot;"/>
    <x v="4"/>
    <s v="&quot;CID2998238&quot;"/>
    <x v="4"/>
    <x v="1"/>
    <s v="Shivaji Park"/>
    <x v="18"/>
    <s v="null"/>
    <n v="1"/>
    <s v="Wrong Address"/>
    <s v="null"/>
    <s v="null"/>
    <s v="null"/>
    <s v="null"/>
    <s v="null"/>
    <s v="null"/>
    <x v="0"/>
    <x v="0"/>
    <s v="null"/>
  </r>
  <r>
    <x v="116"/>
    <x v="10"/>
    <x v="145"/>
    <s v="&quot;CNR1361929&quot;"/>
    <x v="2"/>
    <s v="&quot;CID9052724&quot;"/>
    <x v="5"/>
    <x v="57"/>
    <s v="Greater Kailash"/>
    <x v="42"/>
    <n v="38.5"/>
    <s v="null"/>
    <s v="null"/>
    <s v="null"/>
    <s v="null"/>
    <s v="null"/>
    <s v="null"/>
    <n v="192"/>
    <n v="48.96"/>
    <x v="11"/>
    <x v="4"/>
    <s v="UPI"/>
  </r>
  <r>
    <x v="117"/>
    <x v="11"/>
    <x v="146"/>
    <s v="&quot;CNR2687237&quot;"/>
    <x v="2"/>
    <s v="&quot;CID4887972&quot;"/>
    <x v="5"/>
    <x v="97"/>
    <s v="Nawada"/>
    <x v="80"/>
    <n v="39.1"/>
    <s v="null"/>
    <s v="null"/>
    <s v="null"/>
    <s v="null"/>
    <s v="null"/>
    <s v="null"/>
    <n v="79"/>
    <n v="32.909999999999997"/>
    <x v="5"/>
    <x v="12"/>
    <s v="Uber Wallet"/>
  </r>
  <r>
    <x v="118"/>
    <x v="7"/>
    <x v="147"/>
    <s v="&quot;CNR7486337&quot;"/>
    <x v="0"/>
    <s v="&quot;CID8581638&quot;"/>
    <x v="5"/>
    <x v="88"/>
    <s v="Manesar"/>
    <x v="0"/>
    <s v="null"/>
    <s v="null"/>
    <s v="null"/>
    <s v="null"/>
    <s v="null"/>
    <s v="null"/>
    <s v="null"/>
    <s v="null"/>
    <s v="null"/>
    <x v="0"/>
    <x v="0"/>
    <s v="null"/>
  </r>
  <r>
    <x v="119"/>
    <x v="10"/>
    <x v="148"/>
    <s v="&quot;CNR4269906&quot;"/>
    <x v="2"/>
    <s v="&quot;CID9683944&quot;"/>
    <x v="4"/>
    <x v="52"/>
    <s v="Okhla"/>
    <x v="81"/>
    <n v="26.6"/>
    <s v="null"/>
    <s v="null"/>
    <s v="null"/>
    <s v="null"/>
    <s v="null"/>
    <s v="null"/>
    <n v="242"/>
    <n v="45.7"/>
    <x v="4"/>
    <x v="1"/>
    <s v="UPI"/>
  </r>
  <r>
    <x v="25"/>
    <x v="2"/>
    <x v="149"/>
    <s v="&quot;CNR1224347&quot;"/>
    <x v="4"/>
    <s v="&quot;CID5493342&quot;"/>
    <x v="1"/>
    <x v="12"/>
    <s v="Nirman Vihar"/>
    <x v="2"/>
    <s v="null"/>
    <n v="1"/>
    <s v="Driver asked to cancel"/>
    <s v="null"/>
    <s v="null"/>
    <s v="null"/>
    <s v="null"/>
    <s v="null"/>
    <s v="null"/>
    <x v="0"/>
    <x v="0"/>
    <s v="null"/>
  </r>
  <r>
    <x v="84"/>
    <x v="9"/>
    <x v="150"/>
    <s v="&quot;CNR1401386&quot;"/>
    <x v="2"/>
    <s v="&quot;CID2154950&quot;"/>
    <x v="5"/>
    <x v="98"/>
    <s v="Azadpur"/>
    <x v="27"/>
    <n v="32.6"/>
    <s v="null"/>
    <s v="null"/>
    <s v="null"/>
    <s v="null"/>
    <s v="null"/>
    <s v="null"/>
    <n v="323"/>
    <n v="38.32"/>
    <x v="5"/>
    <x v="13"/>
    <s v="Uber Wallet"/>
  </r>
  <r>
    <x v="120"/>
    <x v="2"/>
    <x v="151"/>
    <s v="&quot;CNR2013487&quot;"/>
    <x v="3"/>
    <s v="&quot;CID4175153&quot;"/>
    <x v="2"/>
    <x v="63"/>
    <s v="Pragati Maidan"/>
    <x v="9"/>
    <s v="null"/>
    <s v="null"/>
    <s v="null"/>
    <n v="1"/>
    <s v="Customer related issue"/>
    <s v="null"/>
    <s v="null"/>
    <s v="null"/>
    <s v="null"/>
    <x v="0"/>
    <x v="0"/>
    <s v="null"/>
  </r>
  <r>
    <x v="121"/>
    <x v="6"/>
    <x v="152"/>
    <s v="&quot;CNR7409512&quot;"/>
    <x v="2"/>
    <s v="&quot;CID5474366&quot;"/>
    <x v="2"/>
    <x v="41"/>
    <s v="Palam Vihar"/>
    <x v="27"/>
    <n v="24.4"/>
    <s v="null"/>
    <s v="null"/>
    <s v="null"/>
    <s v="null"/>
    <s v="null"/>
    <s v="null"/>
    <n v="799"/>
    <n v="9.1"/>
    <x v="6"/>
    <x v="4"/>
    <s v="UPI"/>
  </r>
  <r>
    <x v="122"/>
    <x v="0"/>
    <x v="153"/>
    <s v="&quot;CNR7658099&quot;"/>
    <x v="4"/>
    <s v="&quot;CID8951576&quot;"/>
    <x v="0"/>
    <x v="74"/>
    <s v="Raj Nagar Extension"/>
    <x v="82"/>
    <s v="null"/>
    <n v="1"/>
    <s v="Change of plans"/>
    <s v="null"/>
    <s v="null"/>
    <s v="null"/>
    <s v="null"/>
    <s v="null"/>
    <s v="null"/>
    <x v="0"/>
    <x v="0"/>
    <s v="null"/>
  </r>
  <r>
    <x v="123"/>
    <x v="1"/>
    <x v="154"/>
    <s v="&quot;CNR1980045&quot;"/>
    <x v="2"/>
    <s v="&quot;CID9418411&quot;"/>
    <x v="3"/>
    <x v="99"/>
    <s v="Greater Kailash"/>
    <x v="83"/>
    <n v="39.299999999999997"/>
    <s v="null"/>
    <s v="null"/>
    <s v="null"/>
    <s v="null"/>
    <s v="null"/>
    <s v="null"/>
    <n v="134"/>
    <n v="49.26"/>
    <x v="3"/>
    <x v="1"/>
    <s v="UPI"/>
  </r>
  <r>
    <x v="124"/>
    <x v="3"/>
    <x v="155"/>
    <s v="&quot;CNR8584951&quot;"/>
    <x v="3"/>
    <s v="&quot;CID2820460&quot;"/>
    <x v="5"/>
    <x v="13"/>
    <s v="Lajpat Nagar"/>
    <x v="60"/>
    <s v="null"/>
    <s v="null"/>
    <s v="null"/>
    <n v="1"/>
    <s v="More than permitted people in there"/>
    <s v="null"/>
    <s v="null"/>
    <s v="null"/>
    <s v="null"/>
    <x v="0"/>
    <x v="0"/>
    <s v="null"/>
  </r>
  <r>
    <x v="125"/>
    <x v="2"/>
    <x v="156"/>
    <s v="&quot;CNR2607733&quot;"/>
    <x v="4"/>
    <s v="&quot;CID5637874&quot;"/>
    <x v="4"/>
    <x v="100"/>
    <s v="Malviya Nagar"/>
    <x v="84"/>
    <s v="null"/>
    <n v="1"/>
    <s v="Change of plans"/>
    <s v="null"/>
    <s v="null"/>
    <s v="null"/>
    <s v="null"/>
    <s v="null"/>
    <s v="null"/>
    <x v="0"/>
    <x v="0"/>
    <s v="null"/>
  </r>
  <r>
    <x v="126"/>
    <x v="9"/>
    <x v="157"/>
    <s v="&quot;CNR6693847&quot;"/>
    <x v="4"/>
    <s v="&quot;CID6386344&quot;"/>
    <x v="4"/>
    <x v="101"/>
    <s v="Keshav Puram"/>
    <x v="85"/>
    <s v="null"/>
    <n v="1"/>
    <s v="Driver asked to cancel"/>
    <s v="null"/>
    <s v="null"/>
    <s v="null"/>
    <s v="null"/>
    <s v="null"/>
    <s v="null"/>
    <x v="0"/>
    <x v="0"/>
    <s v="null"/>
  </r>
  <r>
    <x v="127"/>
    <x v="1"/>
    <x v="158"/>
    <s v="&quot;CNR9749627&quot;"/>
    <x v="2"/>
    <s v="&quot;CID3065827&quot;"/>
    <x v="1"/>
    <x v="34"/>
    <s v="Satguru Ram Singh Marg"/>
    <x v="86"/>
    <n v="40.700000000000003"/>
    <s v="null"/>
    <s v="null"/>
    <s v="null"/>
    <s v="null"/>
    <s v="null"/>
    <s v="null"/>
    <n v="113"/>
    <n v="8.2100000000000009"/>
    <x v="14"/>
    <x v="2"/>
    <s v="UPI"/>
  </r>
  <r>
    <x v="4"/>
    <x v="4"/>
    <x v="159"/>
    <s v="&quot;CNR1706908&quot;"/>
    <x v="1"/>
    <s v="&quot;CID1807270&quot;"/>
    <x v="5"/>
    <x v="87"/>
    <s v="Faridabad Sector 15"/>
    <x v="37"/>
    <n v="19.600000000000001"/>
    <s v="null"/>
    <s v="null"/>
    <s v="null"/>
    <s v="null"/>
    <n v="1"/>
    <s v="Vehicle Breakdown"/>
    <n v="84"/>
    <n v="16.09"/>
    <x v="0"/>
    <x v="0"/>
    <s v="Uber Wallet"/>
  </r>
  <r>
    <x v="35"/>
    <x v="9"/>
    <x v="160"/>
    <s v="&quot;CNR6236514&quot;"/>
    <x v="2"/>
    <s v="&quot;CID3761463&quot;"/>
    <x v="2"/>
    <x v="53"/>
    <s v="Ramesh Nagar"/>
    <x v="7"/>
    <n v="32.5"/>
    <s v="null"/>
    <s v="null"/>
    <s v="null"/>
    <s v="null"/>
    <s v="null"/>
    <s v="null"/>
    <n v="81"/>
    <n v="11.94"/>
    <x v="4"/>
    <x v="10"/>
    <s v="UPI"/>
  </r>
  <r>
    <x v="128"/>
    <x v="5"/>
    <x v="161"/>
    <s v="&quot;CNR9048385&quot;"/>
    <x v="2"/>
    <s v="&quot;CID5242973&quot;"/>
    <x v="1"/>
    <x v="102"/>
    <s v="Kashmere Gate"/>
    <x v="87"/>
    <n v="43.1"/>
    <s v="null"/>
    <s v="null"/>
    <s v="null"/>
    <s v="null"/>
    <s v="null"/>
    <s v="null"/>
    <n v="992"/>
    <n v="8.23"/>
    <x v="9"/>
    <x v="4"/>
    <s v="UPI"/>
  </r>
  <r>
    <x v="129"/>
    <x v="2"/>
    <x v="162"/>
    <s v="&quot;CNR1903168&quot;"/>
    <x v="2"/>
    <s v="&quot;CID1051794&quot;"/>
    <x v="3"/>
    <x v="84"/>
    <s v="Samaypur Badli"/>
    <x v="78"/>
    <n v="26.5"/>
    <s v="null"/>
    <s v="null"/>
    <s v="null"/>
    <s v="null"/>
    <s v="null"/>
    <s v="null"/>
    <n v="513"/>
    <n v="49.5"/>
    <x v="14"/>
    <x v="1"/>
    <s v="UPI"/>
  </r>
  <r>
    <x v="130"/>
    <x v="9"/>
    <x v="163"/>
    <s v="&quot;CNR2922907&quot;"/>
    <x v="2"/>
    <s v="&quot;CID4507250&quot;"/>
    <x v="3"/>
    <x v="103"/>
    <s v="Noida Film City"/>
    <x v="50"/>
    <n v="38.9"/>
    <s v="null"/>
    <s v="null"/>
    <s v="null"/>
    <s v="null"/>
    <s v="null"/>
    <s v="null"/>
    <n v="635"/>
    <n v="37.369999999999997"/>
    <x v="14"/>
    <x v="4"/>
    <s v="UPI"/>
  </r>
  <r>
    <x v="59"/>
    <x v="2"/>
    <x v="164"/>
    <s v="&quot;CNR7621341&quot;"/>
    <x v="2"/>
    <s v="&quot;CID1429306&quot;"/>
    <x v="6"/>
    <x v="18"/>
    <s v="Jor Bagh"/>
    <x v="88"/>
    <n v="17"/>
    <s v="null"/>
    <s v="null"/>
    <s v="null"/>
    <s v="null"/>
    <s v="null"/>
    <s v="null"/>
    <n v="242"/>
    <n v="35.380000000000003"/>
    <x v="5"/>
    <x v="1"/>
    <s v="UPI"/>
  </r>
  <r>
    <x v="131"/>
    <x v="3"/>
    <x v="165"/>
    <s v="&quot;CNR5803828&quot;"/>
    <x v="2"/>
    <s v="&quot;CID1039074&quot;"/>
    <x v="4"/>
    <x v="103"/>
    <s v="DLF City Court"/>
    <x v="75"/>
    <n v="20.6"/>
    <s v="null"/>
    <s v="null"/>
    <s v="null"/>
    <s v="null"/>
    <s v="null"/>
    <s v="null"/>
    <n v="1114"/>
    <n v="34.81"/>
    <x v="3"/>
    <x v="6"/>
    <s v="Uber Wallet"/>
  </r>
  <r>
    <x v="12"/>
    <x v="6"/>
    <x v="166"/>
    <s v="&quot;CNR4868713&quot;"/>
    <x v="2"/>
    <s v="&quot;CID2089650&quot;"/>
    <x v="4"/>
    <x v="104"/>
    <s v="Cyber Hub"/>
    <x v="80"/>
    <n v="37.700000000000003"/>
    <s v="null"/>
    <s v="null"/>
    <s v="null"/>
    <s v="null"/>
    <s v="null"/>
    <s v="null"/>
    <n v="372"/>
    <n v="20.92"/>
    <x v="8"/>
    <x v="4"/>
    <s v="UPI"/>
  </r>
  <r>
    <x v="132"/>
    <x v="5"/>
    <x v="167"/>
    <s v="&quot;CNR2575334&quot;"/>
    <x v="3"/>
    <s v="&quot;CID7330180&quot;"/>
    <x v="4"/>
    <x v="4"/>
    <s v="Faridabad Sector 15"/>
    <x v="89"/>
    <s v="null"/>
    <s v="null"/>
    <s v="null"/>
    <n v="1"/>
    <s v="The customer was coughing/sick"/>
    <s v="null"/>
    <s v="null"/>
    <s v="null"/>
    <s v="null"/>
    <x v="0"/>
    <x v="0"/>
    <s v="null"/>
  </r>
  <r>
    <x v="78"/>
    <x v="8"/>
    <x v="168"/>
    <s v="&quot;CNR3841045&quot;"/>
    <x v="2"/>
    <s v="&quot;CID1210899&quot;"/>
    <x v="5"/>
    <x v="105"/>
    <s v="Yamuna Bank"/>
    <x v="72"/>
    <n v="40.200000000000003"/>
    <s v="null"/>
    <s v="null"/>
    <s v="null"/>
    <s v="null"/>
    <s v="null"/>
    <s v="null"/>
    <n v="387"/>
    <n v="23.39"/>
    <x v="14"/>
    <x v="7"/>
    <s v="Uber Wallet"/>
  </r>
  <r>
    <x v="95"/>
    <x v="6"/>
    <x v="169"/>
    <s v="&quot;CNR5265040&quot;"/>
    <x v="2"/>
    <s v="&quot;CID3076700&quot;"/>
    <x v="1"/>
    <x v="106"/>
    <s v="Mansarovar Park"/>
    <x v="6"/>
    <n v="31.6"/>
    <s v="null"/>
    <s v="null"/>
    <s v="null"/>
    <s v="null"/>
    <s v="null"/>
    <s v="null"/>
    <n v="767"/>
    <n v="30.82"/>
    <x v="2"/>
    <x v="1"/>
    <s v="UPI"/>
  </r>
  <r>
    <x v="133"/>
    <x v="8"/>
    <x v="170"/>
    <s v="&quot;CNR8112878&quot;"/>
    <x v="2"/>
    <s v="&quot;CID4809063&quot;"/>
    <x v="2"/>
    <x v="92"/>
    <s v="Paharganj"/>
    <x v="6"/>
    <n v="24.4"/>
    <s v="null"/>
    <s v="null"/>
    <s v="null"/>
    <s v="null"/>
    <s v="null"/>
    <s v="null"/>
    <n v="447"/>
    <n v="21.31"/>
    <x v="12"/>
    <x v="5"/>
    <s v="UPI"/>
  </r>
  <r>
    <x v="77"/>
    <x v="6"/>
    <x v="171"/>
    <s v="&quot;CNR4617937&quot;"/>
    <x v="2"/>
    <s v="&quot;CID7348314&quot;"/>
    <x v="3"/>
    <x v="42"/>
    <s v="Delhi Gate"/>
    <x v="29"/>
    <n v="33.5"/>
    <s v="null"/>
    <s v="null"/>
    <s v="null"/>
    <s v="null"/>
    <s v="null"/>
    <s v="null"/>
    <n v="500"/>
    <n v="20.41"/>
    <x v="14"/>
    <x v="7"/>
    <s v="Credit Card"/>
  </r>
  <r>
    <x v="134"/>
    <x v="1"/>
    <x v="172"/>
    <s v="&quot;CNR7311169&quot;"/>
    <x v="3"/>
    <s v="&quot;CID2529885&quot;"/>
    <x v="0"/>
    <x v="101"/>
    <s v="Vasant Kunj"/>
    <x v="90"/>
    <s v="null"/>
    <s v="null"/>
    <s v="null"/>
    <n v="1"/>
    <s v="Personal &amp; Car related issues"/>
    <s v="null"/>
    <s v="null"/>
    <s v="null"/>
    <s v="null"/>
    <x v="0"/>
    <x v="0"/>
    <s v="null"/>
  </r>
  <r>
    <x v="135"/>
    <x v="0"/>
    <x v="173"/>
    <s v="&quot;CNR7340396&quot;"/>
    <x v="2"/>
    <s v="&quot;CID7334750&quot;"/>
    <x v="5"/>
    <x v="106"/>
    <s v="Dilshad Garden"/>
    <x v="91"/>
    <n v="38.9"/>
    <s v="null"/>
    <s v="null"/>
    <s v="null"/>
    <s v="null"/>
    <s v="null"/>
    <s v="null"/>
    <n v="446"/>
    <n v="25.94"/>
    <x v="1"/>
    <x v="3"/>
    <s v="Debit Card"/>
  </r>
  <r>
    <x v="136"/>
    <x v="10"/>
    <x v="174"/>
    <s v="&quot;CNR4259279&quot;"/>
    <x v="3"/>
    <s v="&quot;CID7993999&quot;"/>
    <x v="0"/>
    <x v="107"/>
    <s v="Golf Course Road"/>
    <x v="92"/>
    <s v="null"/>
    <s v="null"/>
    <s v="null"/>
    <n v="1"/>
    <s v="The customer was coughing/sick"/>
    <s v="null"/>
    <s v="null"/>
    <s v="null"/>
    <s v="null"/>
    <x v="0"/>
    <x v="0"/>
    <s v="null"/>
  </r>
  <r>
    <x v="137"/>
    <x v="9"/>
    <x v="175"/>
    <s v="&quot;CNR7554746&quot;"/>
    <x v="2"/>
    <s v="&quot;CID3234126&quot;"/>
    <x v="0"/>
    <x v="96"/>
    <s v="Aya Nagar"/>
    <x v="66"/>
    <n v="32.9"/>
    <s v="null"/>
    <s v="null"/>
    <s v="null"/>
    <s v="null"/>
    <s v="null"/>
    <s v="null"/>
    <n v="125"/>
    <n v="39.159999999999997"/>
    <x v="3"/>
    <x v="1"/>
    <s v="UPI"/>
  </r>
  <r>
    <x v="138"/>
    <x v="9"/>
    <x v="176"/>
    <s v="&quot;CNR9430550&quot;"/>
    <x v="2"/>
    <s v="&quot;CID3901448&quot;"/>
    <x v="1"/>
    <x v="44"/>
    <s v="Subhash Nagar"/>
    <x v="46"/>
    <n v="17.2"/>
    <s v="null"/>
    <s v="null"/>
    <s v="null"/>
    <s v="null"/>
    <s v="null"/>
    <s v="null"/>
    <n v="419"/>
    <n v="23.79"/>
    <x v="14"/>
    <x v="7"/>
    <s v="Uber Wallet"/>
  </r>
  <r>
    <x v="139"/>
    <x v="10"/>
    <x v="177"/>
    <s v="&quot;CNR9984761&quot;"/>
    <x v="3"/>
    <s v="&quot;CID1201304&quot;"/>
    <x v="1"/>
    <x v="108"/>
    <s v="Old Gurgaon"/>
    <x v="93"/>
    <s v="null"/>
    <s v="null"/>
    <s v="null"/>
    <n v="1"/>
    <s v="More than permitted people in there"/>
    <s v="null"/>
    <s v="null"/>
    <s v="null"/>
    <s v="null"/>
    <x v="0"/>
    <x v="0"/>
    <s v="null"/>
  </r>
  <r>
    <x v="76"/>
    <x v="6"/>
    <x v="178"/>
    <s v="&quot;CNR4112922&quot;"/>
    <x v="2"/>
    <s v="&quot;CID8248967&quot;"/>
    <x v="1"/>
    <x v="109"/>
    <s v="Qutub Minar"/>
    <x v="94"/>
    <n v="17.7"/>
    <s v="null"/>
    <s v="null"/>
    <s v="null"/>
    <s v="null"/>
    <s v="null"/>
    <s v="null"/>
    <n v="477"/>
    <n v="41.93"/>
    <x v="2"/>
    <x v="1"/>
    <s v="Cash"/>
  </r>
  <r>
    <x v="16"/>
    <x v="8"/>
    <x v="179"/>
    <s v="&quot;CNR5939223&quot;"/>
    <x v="3"/>
    <s v="&quot;CID1109267&quot;"/>
    <x v="1"/>
    <x v="109"/>
    <s v="Mandi House"/>
    <x v="50"/>
    <s v="null"/>
    <s v="null"/>
    <s v="null"/>
    <n v="1"/>
    <s v="The customer was coughing/sick"/>
    <s v="null"/>
    <s v="null"/>
    <s v="null"/>
    <s v="null"/>
    <x v="0"/>
    <x v="0"/>
    <s v="null"/>
  </r>
  <r>
    <x v="140"/>
    <x v="1"/>
    <x v="180"/>
    <s v="&quot;CNR7645307&quot;"/>
    <x v="3"/>
    <s v="&quot;CID6238168&quot;"/>
    <x v="1"/>
    <x v="107"/>
    <s v="Sadar Bazar Gurgaon"/>
    <x v="33"/>
    <s v="null"/>
    <s v="null"/>
    <s v="null"/>
    <n v="1"/>
    <s v="Customer related issue"/>
    <s v="null"/>
    <s v="null"/>
    <s v="null"/>
    <s v="null"/>
    <x v="0"/>
    <x v="0"/>
    <s v="null"/>
  </r>
  <r>
    <x v="90"/>
    <x v="11"/>
    <x v="181"/>
    <s v="&quot;CNR4722464&quot;"/>
    <x v="2"/>
    <s v="&quot;CID7557487&quot;"/>
    <x v="2"/>
    <x v="56"/>
    <s v="IMT Manesar"/>
    <x v="36"/>
    <n v="33"/>
    <s v="null"/>
    <s v="null"/>
    <s v="null"/>
    <s v="null"/>
    <s v="null"/>
    <s v="null"/>
    <n v="352"/>
    <n v="6.71"/>
    <x v="6"/>
    <x v="7"/>
    <s v="UPI"/>
  </r>
  <r>
    <x v="141"/>
    <x v="5"/>
    <x v="182"/>
    <s v="&quot;CNR3191144&quot;"/>
    <x v="3"/>
    <s v="&quot;CID5636263&quot;"/>
    <x v="4"/>
    <x v="105"/>
    <s v="Bhiwadi"/>
    <x v="53"/>
    <s v="null"/>
    <s v="null"/>
    <s v="null"/>
    <n v="1"/>
    <s v="Customer related issue"/>
    <s v="null"/>
    <s v="null"/>
    <s v="null"/>
    <s v="null"/>
    <x v="0"/>
    <x v="0"/>
    <s v="null"/>
  </r>
  <r>
    <x v="142"/>
    <x v="7"/>
    <x v="183"/>
    <s v="&quot;CNR4720063&quot;"/>
    <x v="2"/>
    <s v="&quot;CID1461597&quot;"/>
    <x v="1"/>
    <x v="69"/>
    <s v="Sushant Lok"/>
    <x v="95"/>
    <n v="39"/>
    <s v="null"/>
    <s v="null"/>
    <s v="null"/>
    <s v="null"/>
    <s v="null"/>
    <s v="null"/>
    <n v="117"/>
    <n v="15.63"/>
    <x v="2"/>
    <x v="10"/>
    <s v="UPI"/>
  </r>
  <r>
    <x v="51"/>
    <x v="1"/>
    <x v="184"/>
    <s v="&quot;CNR6216825&quot;"/>
    <x v="3"/>
    <s v="&quot;CID3685295&quot;"/>
    <x v="1"/>
    <x v="83"/>
    <s v="Bhikaji Cama Place"/>
    <x v="79"/>
    <s v="null"/>
    <s v="null"/>
    <s v="null"/>
    <n v="1"/>
    <s v="More than permitted people in there"/>
    <s v="null"/>
    <s v="null"/>
    <s v="null"/>
    <s v="null"/>
    <x v="0"/>
    <x v="0"/>
    <s v="null"/>
  </r>
  <r>
    <x v="143"/>
    <x v="7"/>
    <x v="185"/>
    <s v="&quot;CNR5314934&quot;"/>
    <x v="2"/>
    <s v="&quot;CID1026547&quot;"/>
    <x v="1"/>
    <x v="22"/>
    <s v="Arjangarh"/>
    <x v="96"/>
    <n v="28.5"/>
    <s v="null"/>
    <s v="null"/>
    <s v="null"/>
    <s v="null"/>
    <s v="null"/>
    <s v="null"/>
    <n v="51"/>
    <n v="29.8"/>
    <x v="2"/>
    <x v="15"/>
    <s v="UPI"/>
  </r>
  <r>
    <x v="58"/>
    <x v="0"/>
    <x v="186"/>
    <s v="&quot;CNR5517193&quot;"/>
    <x v="2"/>
    <s v="&quot;CID9143442&quot;"/>
    <x v="6"/>
    <x v="13"/>
    <s v="Sohna Road"/>
    <x v="15"/>
    <n v="26.6"/>
    <s v="null"/>
    <s v="null"/>
    <s v="null"/>
    <s v="null"/>
    <s v="null"/>
    <s v="null"/>
    <n v="81"/>
    <n v="5.59"/>
    <x v="1"/>
    <x v="6"/>
    <s v="Cash"/>
  </r>
  <r>
    <x v="144"/>
    <x v="8"/>
    <x v="187"/>
    <s v="&quot;CNR8412946&quot;"/>
    <x v="3"/>
    <s v="&quot;CID7723858&quot;"/>
    <x v="5"/>
    <x v="91"/>
    <s v="Hero Honda Chowk"/>
    <x v="97"/>
    <s v="null"/>
    <s v="null"/>
    <s v="null"/>
    <n v="1"/>
    <s v="The customer was coughing/sick"/>
    <s v="null"/>
    <s v="null"/>
    <s v="null"/>
    <s v="null"/>
    <x v="0"/>
    <x v="0"/>
    <s v="null"/>
  </r>
  <r>
    <x v="145"/>
    <x v="7"/>
    <x v="188"/>
    <s v="&quot;CNR1867567&quot;"/>
    <x v="1"/>
    <s v="&quot;CID6010303&quot;"/>
    <x v="3"/>
    <x v="30"/>
    <s v="Ghitorni"/>
    <x v="90"/>
    <n v="18.399999999999999"/>
    <s v="null"/>
    <s v="null"/>
    <s v="null"/>
    <s v="null"/>
    <n v="1"/>
    <s v="Customer Demand"/>
    <n v="635"/>
    <n v="6.57"/>
    <x v="0"/>
    <x v="0"/>
    <s v="UPI"/>
  </r>
  <r>
    <x v="146"/>
    <x v="2"/>
    <x v="189"/>
    <s v="&quot;CNR3455701&quot;"/>
    <x v="2"/>
    <s v="&quot;CID9643714&quot;"/>
    <x v="4"/>
    <x v="69"/>
    <s v="Tis Hazari"/>
    <x v="98"/>
    <n v="41.8"/>
    <s v="null"/>
    <s v="null"/>
    <s v="null"/>
    <s v="null"/>
    <s v="null"/>
    <s v="null"/>
    <n v="51"/>
    <n v="4.4400000000000004"/>
    <x v="5"/>
    <x v="7"/>
    <s v="Uber Wallet"/>
  </r>
  <r>
    <x v="147"/>
    <x v="0"/>
    <x v="190"/>
    <s v="&quot;CNR5149854&quot;"/>
    <x v="2"/>
    <s v="&quot;CID9975388&quot;"/>
    <x v="1"/>
    <x v="71"/>
    <s v="IGNOU Road"/>
    <x v="1"/>
    <n v="33"/>
    <s v="null"/>
    <s v="null"/>
    <s v="null"/>
    <s v="null"/>
    <s v="null"/>
    <s v="null"/>
    <n v="469"/>
    <n v="26.93"/>
    <x v="14"/>
    <x v="1"/>
    <s v="UPI"/>
  </r>
  <r>
    <x v="148"/>
    <x v="6"/>
    <x v="191"/>
    <s v="&quot;CNR6027511&quot;"/>
    <x v="2"/>
    <s v="&quot;CID6080643&quot;"/>
    <x v="4"/>
    <x v="110"/>
    <s v="Greater Kailash"/>
    <x v="40"/>
    <n v="22"/>
    <s v="null"/>
    <s v="null"/>
    <s v="null"/>
    <s v="null"/>
    <s v="null"/>
    <s v="null"/>
    <n v="320"/>
    <n v="28.78"/>
    <x v="6"/>
    <x v="10"/>
    <s v="UPI"/>
  </r>
  <r>
    <x v="149"/>
    <x v="8"/>
    <x v="192"/>
    <s v="&quot;CNR4569804&quot;"/>
    <x v="2"/>
    <s v="&quot;CID8474448&quot;"/>
    <x v="5"/>
    <x v="111"/>
    <s v="IMT Manesar"/>
    <x v="76"/>
    <n v="24.6"/>
    <s v="null"/>
    <s v="null"/>
    <s v="null"/>
    <s v="null"/>
    <s v="null"/>
    <s v="null"/>
    <n v="726"/>
    <n v="12.98"/>
    <x v="6"/>
    <x v="3"/>
    <s v="Debit Card"/>
  </r>
  <r>
    <x v="150"/>
    <x v="0"/>
    <x v="193"/>
    <s v="&quot;CNR7585582&quot;"/>
    <x v="1"/>
    <s v="&quot;CID1607386&quot;"/>
    <x v="2"/>
    <x v="60"/>
    <s v="Noida Film City"/>
    <x v="26"/>
    <n v="10.3"/>
    <s v="null"/>
    <s v="null"/>
    <s v="null"/>
    <s v="null"/>
    <n v="1"/>
    <s v="Customer Demand"/>
    <n v="68"/>
    <n v="19.059999999999999"/>
    <x v="0"/>
    <x v="0"/>
    <s v="Cash"/>
  </r>
  <r>
    <x v="72"/>
    <x v="4"/>
    <x v="194"/>
    <s v="&quot;CNR5534901&quot;"/>
    <x v="1"/>
    <s v="&quot;CID9231793&quot;"/>
    <x v="0"/>
    <x v="71"/>
    <s v="Keshav Puram"/>
    <x v="99"/>
    <n v="15.7"/>
    <s v="null"/>
    <s v="null"/>
    <s v="null"/>
    <s v="null"/>
    <n v="1"/>
    <s v="Vehicle Breakdown"/>
    <n v="136"/>
    <n v="14"/>
    <x v="0"/>
    <x v="0"/>
    <s v="Debit Card"/>
  </r>
  <r>
    <x v="151"/>
    <x v="4"/>
    <x v="195"/>
    <s v="&quot;CNR5784218&quot;"/>
    <x v="2"/>
    <s v="&quot;CID1814194&quot;"/>
    <x v="1"/>
    <x v="91"/>
    <s v="New Delhi Railway Station"/>
    <x v="39"/>
    <n v="16.8"/>
    <s v="null"/>
    <s v="null"/>
    <s v="null"/>
    <s v="null"/>
    <s v="null"/>
    <s v="null"/>
    <n v="455"/>
    <n v="43.06"/>
    <x v="8"/>
    <x v="3"/>
    <s v="UPI"/>
  </r>
  <r>
    <x v="112"/>
    <x v="9"/>
    <x v="196"/>
    <s v="&quot;CNR6349771&quot;"/>
    <x v="2"/>
    <s v="&quot;CID5577961&quot;"/>
    <x v="2"/>
    <x v="52"/>
    <s v="Shivaji Park"/>
    <x v="66"/>
    <n v="22.2"/>
    <s v="null"/>
    <s v="null"/>
    <s v="null"/>
    <s v="null"/>
    <s v="null"/>
    <s v="null"/>
    <n v="995"/>
    <n v="38.96"/>
    <x v="7"/>
    <x v="1"/>
    <s v="Debit Card"/>
  </r>
  <r>
    <x v="152"/>
    <x v="1"/>
    <x v="197"/>
    <s v="&quot;CNR3708287&quot;"/>
    <x v="2"/>
    <s v="&quot;CID2958217&quot;"/>
    <x v="6"/>
    <x v="45"/>
    <s v="Meerut"/>
    <x v="100"/>
    <n v="25.8"/>
    <s v="null"/>
    <s v="null"/>
    <s v="null"/>
    <s v="null"/>
    <s v="null"/>
    <s v="null"/>
    <n v="1179"/>
    <n v="18.87"/>
    <x v="1"/>
    <x v="4"/>
    <s v="Uber Wallet"/>
  </r>
  <r>
    <x v="153"/>
    <x v="8"/>
    <x v="198"/>
    <s v="&quot;CNR8365625&quot;"/>
    <x v="2"/>
    <s v="&quot;CID4463605&quot;"/>
    <x v="4"/>
    <x v="112"/>
    <s v="Maidan Garhi"/>
    <x v="32"/>
    <n v="33.1"/>
    <s v="null"/>
    <s v="null"/>
    <s v="null"/>
    <s v="null"/>
    <s v="null"/>
    <s v="null"/>
    <n v="525"/>
    <n v="47.88"/>
    <x v="6"/>
    <x v="4"/>
    <s v="Uber Wallet"/>
  </r>
  <r>
    <x v="154"/>
    <x v="7"/>
    <x v="199"/>
    <s v="&quot;CNR7435840&quot;"/>
    <x v="3"/>
    <s v="&quot;CID9084957&quot;"/>
    <x v="2"/>
    <x v="91"/>
    <s v="Pulbangash"/>
    <x v="36"/>
    <s v="null"/>
    <s v="null"/>
    <s v="null"/>
    <n v="1"/>
    <s v="Personal &amp; Car related issues"/>
    <s v="null"/>
    <s v="null"/>
    <s v="null"/>
    <s v="null"/>
    <x v="0"/>
    <x v="0"/>
    <s v="null"/>
  </r>
  <r>
    <x v="25"/>
    <x v="2"/>
    <x v="200"/>
    <s v="&quot;CNR8577529&quot;"/>
    <x v="3"/>
    <s v="&quot;CID8121948&quot;"/>
    <x v="2"/>
    <x v="20"/>
    <s v="Badshahpur"/>
    <x v="88"/>
    <s v="null"/>
    <s v="null"/>
    <s v="null"/>
    <n v="1"/>
    <s v="More than permitted people in there"/>
    <s v="null"/>
    <s v="null"/>
    <s v="null"/>
    <s v="null"/>
    <x v="0"/>
    <x v="0"/>
    <s v="null"/>
  </r>
  <r>
    <x v="151"/>
    <x v="4"/>
    <x v="201"/>
    <s v="&quot;CNR6158921&quot;"/>
    <x v="2"/>
    <s v="&quot;CID4203688&quot;"/>
    <x v="1"/>
    <x v="99"/>
    <s v="Keshav Puram"/>
    <x v="5"/>
    <n v="27.9"/>
    <s v="null"/>
    <s v="null"/>
    <s v="null"/>
    <s v="null"/>
    <s v="null"/>
    <s v="null"/>
    <n v="300"/>
    <n v="5.7"/>
    <x v="6"/>
    <x v="4"/>
    <s v="UPI"/>
  </r>
  <r>
    <x v="155"/>
    <x v="9"/>
    <x v="202"/>
    <s v="&quot;CNR7484371&quot;"/>
    <x v="2"/>
    <s v="&quot;CID7265108&quot;"/>
    <x v="1"/>
    <x v="84"/>
    <s v="Sarai Kale Khan"/>
    <x v="53"/>
    <n v="18.399999999999999"/>
    <s v="null"/>
    <s v="null"/>
    <s v="null"/>
    <s v="null"/>
    <s v="null"/>
    <s v="null"/>
    <n v="202"/>
    <n v="4.62"/>
    <x v="16"/>
    <x v="5"/>
    <s v="UPI"/>
  </r>
  <r>
    <x v="156"/>
    <x v="7"/>
    <x v="203"/>
    <s v="&quot;CNR9301716&quot;"/>
    <x v="2"/>
    <s v="&quot;CID4647277&quot;"/>
    <x v="3"/>
    <x v="113"/>
    <s v="Green Park"/>
    <x v="47"/>
    <n v="34.1"/>
    <s v="null"/>
    <s v="null"/>
    <s v="null"/>
    <s v="null"/>
    <s v="null"/>
    <s v="null"/>
    <n v="475"/>
    <n v="42.26"/>
    <x v="14"/>
    <x v="6"/>
    <s v="Cash"/>
  </r>
  <r>
    <x v="157"/>
    <x v="8"/>
    <x v="204"/>
    <s v="&quot;CNR6511558&quot;"/>
    <x v="2"/>
    <s v="&quot;CID5808222&quot;"/>
    <x v="1"/>
    <x v="114"/>
    <s v="Saidulajab"/>
    <x v="8"/>
    <n v="17"/>
    <s v="null"/>
    <s v="null"/>
    <s v="null"/>
    <s v="null"/>
    <s v="null"/>
    <s v="null"/>
    <n v="833"/>
    <n v="19.489999999999998"/>
    <x v="4"/>
    <x v="16"/>
    <s v="Debit Card"/>
  </r>
  <r>
    <x v="10"/>
    <x v="6"/>
    <x v="205"/>
    <s v="&quot;CNR1801249&quot;"/>
    <x v="3"/>
    <s v="&quot;CID2012161&quot;"/>
    <x v="1"/>
    <x v="68"/>
    <s v="Kashmere Gate"/>
    <x v="60"/>
    <s v="null"/>
    <s v="null"/>
    <s v="null"/>
    <n v="1"/>
    <s v="Customer related issue"/>
    <s v="null"/>
    <s v="null"/>
    <s v="null"/>
    <s v="null"/>
    <x v="0"/>
    <x v="0"/>
    <s v="null"/>
  </r>
  <r>
    <x v="158"/>
    <x v="10"/>
    <x v="206"/>
    <s v="&quot;CNR5712520&quot;"/>
    <x v="2"/>
    <s v="&quot;CID8152575&quot;"/>
    <x v="5"/>
    <x v="0"/>
    <s v="Shahdara"/>
    <x v="101"/>
    <n v="33.1"/>
    <s v="null"/>
    <s v="null"/>
    <s v="null"/>
    <s v="null"/>
    <s v="null"/>
    <s v="null"/>
    <n v="158"/>
    <n v="40.36"/>
    <x v="10"/>
    <x v="1"/>
    <s v="UPI"/>
  </r>
  <r>
    <x v="159"/>
    <x v="5"/>
    <x v="207"/>
    <s v="&quot;CNR1038498&quot;"/>
    <x v="2"/>
    <s v="&quot;CID6242930&quot;"/>
    <x v="4"/>
    <x v="115"/>
    <s v="Palam Vihar"/>
    <x v="31"/>
    <n v="36.9"/>
    <s v="null"/>
    <s v="null"/>
    <s v="null"/>
    <s v="null"/>
    <s v="null"/>
    <s v="null"/>
    <n v="155"/>
    <n v="42.59"/>
    <x v="7"/>
    <x v="17"/>
    <s v="Cash"/>
  </r>
  <r>
    <x v="90"/>
    <x v="11"/>
    <x v="208"/>
    <s v="&quot;CNR2395349&quot;"/>
    <x v="3"/>
    <s v="&quot;CID3389825&quot;"/>
    <x v="2"/>
    <x v="116"/>
    <s v="Pulbangash"/>
    <x v="96"/>
    <s v="null"/>
    <s v="null"/>
    <s v="null"/>
    <n v="1"/>
    <s v="More than permitted people in there"/>
    <s v="null"/>
    <s v="null"/>
    <s v="null"/>
    <s v="null"/>
    <x v="0"/>
    <x v="0"/>
    <s v="null"/>
  </r>
  <r>
    <x v="74"/>
    <x v="0"/>
    <x v="209"/>
    <s v="&quot;CNR4896767&quot;"/>
    <x v="2"/>
    <s v="&quot;CID6418422&quot;"/>
    <x v="2"/>
    <x v="26"/>
    <s v="Mundka"/>
    <x v="102"/>
    <n v="33.9"/>
    <s v="null"/>
    <s v="null"/>
    <s v="null"/>
    <s v="null"/>
    <s v="null"/>
    <s v="null"/>
    <n v="107"/>
    <n v="21.68"/>
    <x v="14"/>
    <x v="1"/>
    <s v="UPI"/>
  </r>
  <r>
    <x v="160"/>
    <x v="11"/>
    <x v="210"/>
    <s v="&quot;CNR5047025&quot;"/>
    <x v="2"/>
    <s v="&quot;CID6365387&quot;"/>
    <x v="5"/>
    <x v="39"/>
    <s v="Rohini West"/>
    <x v="103"/>
    <n v="22.4"/>
    <s v="null"/>
    <s v="null"/>
    <s v="null"/>
    <s v="null"/>
    <s v="null"/>
    <s v="null"/>
    <n v="151"/>
    <n v="29.9"/>
    <x v="2"/>
    <x v="4"/>
    <s v="UPI"/>
  </r>
  <r>
    <x v="161"/>
    <x v="9"/>
    <x v="211"/>
    <s v="&quot;CNR7514462&quot;"/>
    <x v="2"/>
    <s v="&quot;CID5973257&quot;"/>
    <x v="5"/>
    <x v="117"/>
    <s v="Bhikaji Cama Place"/>
    <x v="104"/>
    <n v="30.4"/>
    <s v="null"/>
    <s v="null"/>
    <s v="null"/>
    <s v="null"/>
    <s v="null"/>
    <s v="null"/>
    <n v="187"/>
    <n v="42.27"/>
    <x v="14"/>
    <x v="14"/>
    <s v="Cash"/>
  </r>
  <r>
    <x v="162"/>
    <x v="6"/>
    <x v="212"/>
    <s v="&quot;CNR5269641&quot;"/>
    <x v="2"/>
    <s v="&quot;CID8225890&quot;"/>
    <x v="5"/>
    <x v="67"/>
    <s v="Basai Dhankot"/>
    <x v="105"/>
    <n v="34.6"/>
    <s v="null"/>
    <s v="null"/>
    <s v="null"/>
    <s v="null"/>
    <s v="null"/>
    <s v="null"/>
    <n v="1543"/>
    <n v="49.71"/>
    <x v="5"/>
    <x v="2"/>
    <s v="Cash"/>
  </r>
  <r>
    <x v="10"/>
    <x v="6"/>
    <x v="213"/>
    <s v="&quot;CNR9927786&quot;"/>
    <x v="2"/>
    <s v="&quot;CID8378909&quot;"/>
    <x v="0"/>
    <x v="20"/>
    <s v="Gurgaon Sector 56"/>
    <x v="106"/>
    <n v="20.2"/>
    <s v="null"/>
    <s v="null"/>
    <s v="null"/>
    <s v="null"/>
    <s v="null"/>
    <s v="null"/>
    <n v="432"/>
    <n v="32.56"/>
    <x v="6"/>
    <x v="2"/>
    <s v="UPI"/>
  </r>
  <r>
    <x v="50"/>
    <x v="0"/>
    <x v="214"/>
    <s v="&quot;CNR9619867&quot;"/>
    <x v="4"/>
    <s v="&quot;CID9032039&quot;"/>
    <x v="1"/>
    <x v="36"/>
    <s v="Moti Nagar"/>
    <x v="107"/>
    <s v="null"/>
    <n v="1"/>
    <s v="Driver is not moving towards pickup location"/>
    <s v="null"/>
    <s v="null"/>
    <s v="null"/>
    <s v="null"/>
    <s v="null"/>
    <s v="null"/>
    <x v="0"/>
    <x v="0"/>
    <s v="null"/>
  </r>
  <r>
    <x v="163"/>
    <x v="10"/>
    <x v="215"/>
    <s v="&quot;CNR7250271&quot;"/>
    <x v="1"/>
    <s v="&quot;CID9448818&quot;"/>
    <x v="1"/>
    <x v="110"/>
    <s v="Anand Vihar ISBT"/>
    <x v="99"/>
    <n v="23.6"/>
    <s v="null"/>
    <s v="null"/>
    <s v="null"/>
    <s v="null"/>
    <n v="1"/>
    <s v="Vehicle Breakdown"/>
    <n v="195"/>
    <n v="14.49"/>
    <x v="0"/>
    <x v="0"/>
    <s v="Uber Wallet"/>
  </r>
  <r>
    <x v="164"/>
    <x v="3"/>
    <x v="216"/>
    <s v="&quot;CNR5629774&quot;"/>
    <x v="2"/>
    <s v="&quot;CID8747096&quot;"/>
    <x v="5"/>
    <x v="118"/>
    <s v="Udyog Vihar"/>
    <x v="58"/>
    <n v="30.8"/>
    <s v="null"/>
    <s v="null"/>
    <s v="null"/>
    <s v="null"/>
    <s v="null"/>
    <s v="null"/>
    <n v="54"/>
    <n v="31.49"/>
    <x v="2"/>
    <x v="1"/>
    <s v="Cash"/>
  </r>
  <r>
    <x v="5"/>
    <x v="5"/>
    <x v="217"/>
    <s v="&quot;CNR4578797&quot;"/>
    <x v="2"/>
    <s v="&quot;CID1104786&quot;"/>
    <x v="2"/>
    <x v="119"/>
    <s v="Maidan Garhi"/>
    <x v="2"/>
    <n v="20"/>
    <s v="null"/>
    <s v="null"/>
    <s v="null"/>
    <s v="null"/>
    <s v="null"/>
    <s v="null"/>
    <n v="939"/>
    <n v="21.28"/>
    <x v="8"/>
    <x v="2"/>
    <s v="UPI"/>
  </r>
  <r>
    <x v="142"/>
    <x v="7"/>
    <x v="218"/>
    <s v="&quot;CNR5277125&quot;"/>
    <x v="2"/>
    <s v="&quot;CID7166980&quot;"/>
    <x v="2"/>
    <x v="47"/>
    <s v="GTB Nagar"/>
    <x v="108"/>
    <n v="43.4"/>
    <s v="null"/>
    <s v="null"/>
    <s v="null"/>
    <s v="null"/>
    <s v="null"/>
    <s v="null"/>
    <n v="829"/>
    <n v="34.14"/>
    <x v="2"/>
    <x v="6"/>
    <s v="UPI"/>
  </r>
  <r>
    <x v="63"/>
    <x v="7"/>
    <x v="219"/>
    <s v="&quot;CNR2343017&quot;"/>
    <x v="2"/>
    <s v="&quot;CID9190683&quot;"/>
    <x v="2"/>
    <x v="120"/>
    <s v="Gwal Pahari"/>
    <x v="109"/>
    <n v="27.2"/>
    <s v="null"/>
    <s v="null"/>
    <s v="null"/>
    <s v="null"/>
    <s v="null"/>
    <s v="null"/>
    <n v="314"/>
    <n v="20.66"/>
    <x v="2"/>
    <x v="3"/>
    <s v="UPI"/>
  </r>
  <r>
    <x v="165"/>
    <x v="2"/>
    <x v="220"/>
    <s v="&quot;CNR4356773&quot;"/>
    <x v="2"/>
    <s v="&quot;CID9031824&quot;"/>
    <x v="1"/>
    <x v="121"/>
    <s v="Tis Hazari"/>
    <x v="48"/>
    <n v="30.5"/>
    <s v="null"/>
    <s v="null"/>
    <s v="null"/>
    <s v="null"/>
    <s v="null"/>
    <s v="null"/>
    <n v="1249"/>
    <n v="24.6"/>
    <x v="3"/>
    <x v="13"/>
    <s v="Cash"/>
  </r>
  <r>
    <x v="11"/>
    <x v="4"/>
    <x v="221"/>
    <s v="&quot;CNR1050716&quot;"/>
    <x v="2"/>
    <s v="&quot;CID3789359&quot;"/>
    <x v="2"/>
    <x v="106"/>
    <s v="South Extension"/>
    <x v="87"/>
    <n v="27.4"/>
    <s v="null"/>
    <s v="null"/>
    <s v="null"/>
    <s v="null"/>
    <s v="null"/>
    <s v="null"/>
    <n v="437"/>
    <n v="27.94"/>
    <x v="13"/>
    <x v="4"/>
    <s v="UPI"/>
  </r>
  <r>
    <x v="166"/>
    <x v="3"/>
    <x v="222"/>
    <s v="&quot;CNR7850961&quot;"/>
    <x v="2"/>
    <s v="&quot;CID5103518&quot;"/>
    <x v="5"/>
    <x v="100"/>
    <s v="Moolchand"/>
    <x v="59"/>
    <n v="28.1"/>
    <s v="null"/>
    <s v="null"/>
    <s v="null"/>
    <s v="null"/>
    <s v="null"/>
    <s v="null"/>
    <n v="83"/>
    <n v="44.57"/>
    <x v="2"/>
    <x v="10"/>
    <s v="UPI"/>
  </r>
  <r>
    <x v="45"/>
    <x v="6"/>
    <x v="223"/>
    <s v="&quot;CNR1254363&quot;"/>
    <x v="2"/>
    <s v="&quot;CID9092173&quot;"/>
    <x v="2"/>
    <x v="113"/>
    <s v="Raj Nagar Extension"/>
    <x v="110"/>
    <n v="15.7"/>
    <s v="null"/>
    <s v="null"/>
    <s v="null"/>
    <s v="null"/>
    <s v="null"/>
    <s v="null"/>
    <n v="1444"/>
    <n v="15.43"/>
    <x v="6"/>
    <x v="18"/>
    <s v="Cash"/>
  </r>
  <r>
    <x v="63"/>
    <x v="7"/>
    <x v="224"/>
    <s v="&quot;CNR6569789&quot;"/>
    <x v="3"/>
    <s v="&quot;CID3372949&quot;"/>
    <x v="5"/>
    <x v="122"/>
    <s v="Meerut"/>
    <x v="111"/>
    <s v="null"/>
    <s v="null"/>
    <s v="null"/>
    <n v="1"/>
    <s v="Customer related issue"/>
    <s v="null"/>
    <s v="null"/>
    <s v="null"/>
    <s v="null"/>
    <x v="0"/>
    <x v="0"/>
    <s v="null"/>
  </r>
  <r>
    <x v="167"/>
    <x v="8"/>
    <x v="225"/>
    <s v="&quot;CNR6092310&quot;"/>
    <x v="0"/>
    <s v="&quot;CID4998701&quot;"/>
    <x v="3"/>
    <x v="63"/>
    <s v="Uttam Nagar"/>
    <x v="0"/>
    <s v="null"/>
    <s v="null"/>
    <s v="null"/>
    <s v="null"/>
    <s v="null"/>
    <s v="null"/>
    <s v="null"/>
    <s v="null"/>
    <s v="null"/>
    <x v="0"/>
    <x v="0"/>
    <s v="null"/>
  </r>
  <r>
    <x v="168"/>
    <x v="4"/>
    <x v="226"/>
    <s v="&quot;CNR2742692&quot;"/>
    <x v="2"/>
    <s v="&quot;CID6825812&quot;"/>
    <x v="4"/>
    <x v="123"/>
    <s v="Golf Course Road"/>
    <x v="50"/>
    <n v="31.4"/>
    <s v="null"/>
    <s v="null"/>
    <s v="null"/>
    <s v="null"/>
    <s v="null"/>
    <s v="null"/>
    <n v="1368"/>
    <n v="42.88"/>
    <x v="14"/>
    <x v="12"/>
    <s v="Cash"/>
  </r>
  <r>
    <x v="169"/>
    <x v="8"/>
    <x v="227"/>
    <s v="&quot;CNR7165550&quot;"/>
    <x v="0"/>
    <s v="&quot;CID7694379&quot;"/>
    <x v="4"/>
    <x v="20"/>
    <s v="Ghitorni Village"/>
    <x v="0"/>
    <s v="null"/>
    <s v="null"/>
    <s v="null"/>
    <s v="null"/>
    <s v="null"/>
    <s v="null"/>
    <s v="null"/>
    <s v="null"/>
    <s v="null"/>
    <x v="0"/>
    <x v="0"/>
    <s v="null"/>
  </r>
  <r>
    <x v="170"/>
    <x v="9"/>
    <x v="228"/>
    <s v="&quot;CNR9101826&quot;"/>
    <x v="2"/>
    <s v="&quot;CID1875498&quot;"/>
    <x v="2"/>
    <x v="124"/>
    <s v="Narsinghpur"/>
    <x v="6"/>
    <n v="18"/>
    <s v="null"/>
    <s v="null"/>
    <s v="null"/>
    <s v="null"/>
    <s v="null"/>
    <s v="null"/>
    <n v="418"/>
    <n v="23.31"/>
    <x v="6"/>
    <x v="4"/>
    <s v="UPI"/>
  </r>
  <r>
    <x v="171"/>
    <x v="11"/>
    <x v="229"/>
    <s v="&quot;CNR7054338&quot;"/>
    <x v="2"/>
    <s v="&quot;CID5302286&quot;"/>
    <x v="3"/>
    <x v="125"/>
    <s v="IGNOU Road"/>
    <x v="32"/>
    <n v="40"/>
    <s v="null"/>
    <s v="null"/>
    <s v="null"/>
    <s v="null"/>
    <s v="null"/>
    <s v="null"/>
    <n v="363"/>
    <n v="31.36"/>
    <x v="6"/>
    <x v="3"/>
    <s v="UPI"/>
  </r>
  <r>
    <x v="5"/>
    <x v="5"/>
    <x v="230"/>
    <s v="&quot;CNR5871454&quot;"/>
    <x v="2"/>
    <s v="&quot;CID8316899&quot;"/>
    <x v="5"/>
    <x v="5"/>
    <s v="Chandni Chowk"/>
    <x v="34"/>
    <n v="15.3"/>
    <s v="null"/>
    <s v="null"/>
    <s v="null"/>
    <s v="null"/>
    <s v="null"/>
    <s v="null"/>
    <n v="279"/>
    <n v="16.68"/>
    <x v="3"/>
    <x v="1"/>
    <s v="Cash"/>
  </r>
  <r>
    <x v="172"/>
    <x v="11"/>
    <x v="231"/>
    <s v="&quot;CNR4399523&quot;"/>
    <x v="2"/>
    <s v="&quot;CID2089022&quot;"/>
    <x v="5"/>
    <x v="126"/>
    <s v="AIIMS"/>
    <x v="5"/>
    <n v="39.9"/>
    <s v="null"/>
    <s v="null"/>
    <s v="null"/>
    <s v="null"/>
    <s v="null"/>
    <s v="null"/>
    <n v="332"/>
    <n v="49.06"/>
    <x v="5"/>
    <x v="4"/>
    <s v="Cash"/>
  </r>
  <r>
    <x v="173"/>
    <x v="4"/>
    <x v="232"/>
    <s v="&quot;CNR9707820&quot;"/>
    <x v="2"/>
    <s v="&quot;CID2183387&quot;"/>
    <x v="2"/>
    <x v="127"/>
    <s v="Gurgaon Sector 29"/>
    <x v="94"/>
    <n v="37.9"/>
    <s v="null"/>
    <s v="null"/>
    <s v="null"/>
    <s v="null"/>
    <s v="null"/>
    <s v="null"/>
    <n v="448"/>
    <n v="28.34"/>
    <x v="14"/>
    <x v="1"/>
    <s v="UPI"/>
  </r>
  <r>
    <x v="107"/>
    <x v="8"/>
    <x v="233"/>
    <s v="&quot;CNR2693001&quot;"/>
    <x v="4"/>
    <s v="&quot;CID1889689&quot;"/>
    <x v="4"/>
    <x v="77"/>
    <s v="Peeragarhi"/>
    <x v="42"/>
    <s v="null"/>
    <n v="1"/>
    <s v="Wrong Address"/>
    <s v="null"/>
    <s v="null"/>
    <s v="null"/>
    <s v="null"/>
    <s v="null"/>
    <s v="null"/>
    <x v="0"/>
    <x v="0"/>
    <s v="null"/>
  </r>
  <r>
    <x v="81"/>
    <x v="6"/>
    <x v="234"/>
    <s v="&quot;CNR3363167&quot;"/>
    <x v="2"/>
    <s v="&quot;CID8741995&quot;"/>
    <x v="1"/>
    <x v="121"/>
    <s v="Ambience Mall"/>
    <x v="112"/>
    <n v="29.7"/>
    <s v="null"/>
    <s v="null"/>
    <s v="null"/>
    <s v="null"/>
    <s v="null"/>
    <s v="null"/>
    <n v="64"/>
    <n v="38.65"/>
    <x v="19"/>
    <x v="2"/>
    <s v="UPI"/>
  </r>
  <r>
    <x v="174"/>
    <x v="7"/>
    <x v="235"/>
    <s v="&quot;CNR9573367&quot;"/>
    <x v="2"/>
    <s v="&quot;CID7080252&quot;"/>
    <x v="1"/>
    <x v="59"/>
    <s v="Rohini"/>
    <x v="113"/>
    <n v="18.899999999999999"/>
    <s v="null"/>
    <s v="null"/>
    <s v="null"/>
    <s v="null"/>
    <s v="null"/>
    <s v="null"/>
    <n v="682"/>
    <n v="3.05"/>
    <x v="7"/>
    <x v="3"/>
    <s v="UPI"/>
  </r>
  <r>
    <x v="175"/>
    <x v="8"/>
    <x v="236"/>
    <s v="&quot;CNR4563554&quot;"/>
    <x v="0"/>
    <s v="&quot;CID3656786&quot;"/>
    <x v="5"/>
    <x v="128"/>
    <s v="Munirka"/>
    <x v="0"/>
    <s v="null"/>
    <s v="null"/>
    <s v="null"/>
    <s v="null"/>
    <s v="null"/>
    <s v="null"/>
    <s v="null"/>
    <s v="null"/>
    <s v="null"/>
    <x v="0"/>
    <x v="0"/>
    <s v="null"/>
  </r>
  <r>
    <x v="34"/>
    <x v="8"/>
    <x v="237"/>
    <s v="&quot;CNR3121090&quot;"/>
    <x v="2"/>
    <s v="&quot;CID1670641&quot;"/>
    <x v="5"/>
    <x v="59"/>
    <s v="India Gate"/>
    <x v="114"/>
    <n v="37.799999999999997"/>
    <s v="null"/>
    <s v="null"/>
    <s v="null"/>
    <s v="null"/>
    <s v="null"/>
    <s v="null"/>
    <n v="488"/>
    <n v="41.81"/>
    <x v="6"/>
    <x v="5"/>
    <s v="UPI"/>
  </r>
  <r>
    <x v="10"/>
    <x v="6"/>
    <x v="238"/>
    <s v="&quot;CNR2969701&quot;"/>
    <x v="4"/>
    <s v="&quot;CID1401223&quot;"/>
    <x v="2"/>
    <x v="127"/>
    <s v="Chandni Chowk"/>
    <x v="115"/>
    <s v="null"/>
    <n v="1"/>
    <s v="Change of plans"/>
    <s v="null"/>
    <s v="null"/>
    <s v="null"/>
    <s v="null"/>
    <s v="null"/>
    <s v="null"/>
    <x v="0"/>
    <x v="0"/>
    <s v="null"/>
  </r>
  <r>
    <x v="176"/>
    <x v="3"/>
    <x v="239"/>
    <s v="&quot;CNR3590282&quot;"/>
    <x v="2"/>
    <s v="&quot;CID7281467&quot;"/>
    <x v="1"/>
    <x v="103"/>
    <s v="Ghaziabad"/>
    <x v="60"/>
    <n v="40.6"/>
    <s v="null"/>
    <s v="null"/>
    <s v="null"/>
    <s v="null"/>
    <s v="null"/>
    <s v="null"/>
    <n v="953"/>
    <n v="31.28"/>
    <x v="1"/>
    <x v="7"/>
    <s v="Cash"/>
  </r>
  <r>
    <x v="65"/>
    <x v="9"/>
    <x v="240"/>
    <s v="&quot;CNR5792733&quot;"/>
    <x v="2"/>
    <s v="&quot;CID2894784&quot;"/>
    <x v="1"/>
    <x v="107"/>
    <s v="Azadpur"/>
    <x v="40"/>
    <n v="15.6"/>
    <s v="null"/>
    <s v="null"/>
    <s v="null"/>
    <s v="null"/>
    <s v="null"/>
    <s v="null"/>
    <n v="965"/>
    <n v="34.5"/>
    <x v="3"/>
    <x v="6"/>
    <s v="UPI"/>
  </r>
  <r>
    <x v="177"/>
    <x v="5"/>
    <x v="241"/>
    <s v="&quot;CNR7417036&quot;"/>
    <x v="2"/>
    <s v="&quot;CID8283589&quot;"/>
    <x v="1"/>
    <x v="86"/>
    <s v="Green Park"/>
    <x v="31"/>
    <n v="40.6"/>
    <s v="null"/>
    <s v="null"/>
    <s v="null"/>
    <s v="null"/>
    <s v="null"/>
    <s v="null"/>
    <n v="405"/>
    <n v="13.1"/>
    <x v="18"/>
    <x v="4"/>
    <s v="Credit Card"/>
  </r>
  <r>
    <x v="108"/>
    <x v="2"/>
    <x v="242"/>
    <s v="&quot;CNR7957879&quot;"/>
    <x v="0"/>
    <s v="&quot;CID3277993&quot;"/>
    <x v="2"/>
    <x v="68"/>
    <s v="Sikanderpur"/>
    <x v="0"/>
    <s v="null"/>
    <s v="null"/>
    <s v="null"/>
    <s v="null"/>
    <s v="null"/>
    <s v="null"/>
    <s v="null"/>
    <s v="null"/>
    <s v="null"/>
    <x v="0"/>
    <x v="0"/>
    <s v="null"/>
  </r>
  <r>
    <x v="178"/>
    <x v="0"/>
    <x v="243"/>
    <s v="&quot;CNR3649243&quot;"/>
    <x v="3"/>
    <s v="&quot;CID2049171&quot;"/>
    <x v="5"/>
    <x v="50"/>
    <s v="Vasant Kunj"/>
    <x v="107"/>
    <s v="null"/>
    <s v="null"/>
    <s v="null"/>
    <n v="1"/>
    <s v="Personal &amp; Car related issues"/>
    <s v="null"/>
    <s v="null"/>
    <s v="null"/>
    <s v="null"/>
    <x v="0"/>
    <x v="0"/>
    <s v="null"/>
  </r>
  <r>
    <x v="146"/>
    <x v="2"/>
    <x v="244"/>
    <s v="&quot;CNR8918353&quot;"/>
    <x v="2"/>
    <s v="&quot;CID4955715&quot;"/>
    <x v="1"/>
    <x v="110"/>
    <s v="Kalkaji"/>
    <x v="56"/>
    <n v="23.7"/>
    <s v="null"/>
    <s v="null"/>
    <s v="null"/>
    <s v="null"/>
    <s v="null"/>
    <s v="null"/>
    <n v="423"/>
    <n v="9.93"/>
    <x v="5"/>
    <x v="1"/>
    <s v="UPI"/>
  </r>
  <r>
    <x v="102"/>
    <x v="6"/>
    <x v="245"/>
    <s v="&quot;CNR1343265&quot;"/>
    <x v="4"/>
    <s v="&quot;CID2749175&quot;"/>
    <x v="1"/>
    <x v="129"/>
    <s v="Panipat"/>
    <x v="74"/>
    <s v="null"/>
    <n v="1"/>
    <s v="Driver asked to cancel"/>
    <s v="null"/>
    <s v="null"/>
    <s v="null"/>
    <s v="null"/>
    <s v="null"/>
    <s v="null"/>
    <x v="0"/>
    <x v="0"/>
    <s v="null"/>
  </r>
  <r>
    <x v="114"/>
    <x v="7"/>
    <x v="246"/>
    <s v="&quot;CNR1390232&quot;"/>
    <x v="0"/>
    <s v="&quot;CID6307524&quot;"/>
    <x v="2"/>
    <x v="115"/>
    <s v="Jasola"/>
    <x v="0"/>
    <s v="null"/>
    <s v="null"/>
    <s v="null"/>
    <s v="null"/>
    <s v="null"/>
    <s v="null"/>
    <s v="null"/>
    <s v="null"/>
    <s v="null"/>
    <x v="0"/>
    <x v="0"/>
    <s v="null"/>
  </r>
  <r>
    <x v="49"/>
    <x v="9"/>
    <x v="247"/>
    <s v="&quot;CNR3047231&quot;"/>
    <x v="2"/>
    <s v="&quot;CID5464558&quot;"/>
    <x v="2"/>
    <x v="71"/>
    <s v="Bahadurgarh"/>
    <x v="53"/>
    <n v="31.9"/>
    <s v="null"/>
    <s v="null"/>
    <s v="null"/>
    <s v="null"/>
    <s v="null"/>
    <s v="null"/>
    <n v="264"/>
    <n v="31.93"/>
    <x v="10"/>
    <x v="6"/>
    <s v="UPI"/>
  </r>
  <r>
    <x v="179"/>
    <x v="5"/>
    <x v="248"/>
    <s v="&quot;CNR5380412&quot;"/>
    <x v="2"/>
    <s v="&quot;CID8125937&quot;"/>
    <x v="5"/>
    <x v="130"/>
    <s v="Hauz Khas"/>
    <x v="42"/>
    <n v="31.3"/>
    <s v="null"/>
    <s v="null"/>
    <s v="null"/>
    <s v="null"/>
    <s v="null"/>
    <s v="null"/>
    <n v="249"/>
    <n v="34.729999999999997"/>
    <x v="6"/>
    <x v="1"/>
    <s v="UPI"/>
  </r>
  <r>
    <x v="180"/>
    <x v="0"/>
    <x v="249"/>
    <s v="&quot;CNR4886117&quot;"/>
    <x v="2"/>
    <s v="&quot;CID2026490&quot;"/>
    <x v="2"/>
    <x v="48"/>
    <s v="Delhi Gate"/>
    <x v="98"/>
    <n v="32.9"/>
    <s v="null"/>
    <s v="null"/>
    <s v="null"/>
    <s v="null"/>
    <s v="null"/>
    <s v="null"/>
    <n v="628"/>
    <n v="31.51"/>
    <x v="1"/>
    <x v="1"/>
    <s v="Cash"/>
  </r>
  <r>
    <x v="181"/>
    <x v="0"/>
    <x v="250"/>
    <s v="&quot;CNR1155206&quot;"/>
    <x v="1"/>
    <s v="&quot;CID3865002&quot;"/>
    <x v="6"/>
    <x v="73"/>
    <s v="Lok Kalyan Marg"/>
    <x v="41"/>
    <n v="19.7"/>
    <s v="null"/>
    <s v="null"/>
    <s v="null"/>
    <s v="null"/>
    <n v="1"/>
    <s v="Other Issue"/>
    <n v="110"/>
    <n v="14.46"/>
    <x v="0"/>
    <x v="0"/>
    <s v="UPI"/>
  </r>
  <r>
    <x v="182"/>
    <x v="3"/>
    <x v="251"/>
    <s v="&quot;CNR7623737&quot;"/>
    <x v="3"/>
    <s v="&quot;CID6954811&quot;"/>
    <x v="0"/>
    <x v="104"/>
    <s v="Pragati Maidan"/>
    <x v="96"/>
    <s v="null"/>
    <s v="null"/>
    <s v="null"/>
    <n v="1"/>
    <s v="Customer related issue"/>
    <s v="null"/>
    <s v="null"/>
    <s v="null"/>
    <s v="null"/>
    <x v="0"/>
    <x v="0"/>
    <s v="null"/>
  </r>
  <r>
    <x v="133"/>
    <x v="8"/>
    <x v="252"/>
    <s v="&quot;CNR5468556&quot;"/>
    <x v="2"/>
    <s v="&quot;CID4533250&quot;"/>
    <x v="4"/>
    <x v="10"/>
    <s v="Mundka"/>
    <x v="9"/>
    <n v="15.9"/>
    <s v="null"/>
    <s v="null"/>
    <s v="null"/>
    <s v="null"/>
    <s v="null"/>
    <s v="null"/>
    <n v="190"/>
    <n v="10.27"/>
    <x v="7"/>
    <x v="14"/>
    <s v="UPI"/>
  </r>
  <r>
    <x v="160"/>
    <x v="11"/>
    <x v="253"/>
    <s v="&quot;CNR8037805&quot;"/>
    <x v="2"/>
    <s v="&quot;CID2099192&quot;"/>
    <x v="3"/>
    <x v="46"/>
    <s v="Okhla"/>
    <x v="114"/>
    <n v="23.1"/>
    <s v="null"/>
    <s v="null"/>
    <s v="null"/>
    <s v="null"/>
    <s v="null"/>
    <s v="null"/>
    <n v="264"/>
    <n v="46.07"/>
    <x v="14"/>
    <x v="18"/>
    <s v="Uber Wallet"/>
  </r>
  <r>
    <x v="183"/>
    <x v="4"/>
    <x v="254"/>
    <s v="&quot;CNR5137585&quot;"/>
    <x v="4"/>
    <s v="&quot;CID3906781&quot;"/>
    <x v="1"/>
    <x v="121"/>
    <s v="Vaishali"/>
    <x v="116"/>
    <s v="null"/>
    <n v="1"/>
    <s v="AC is not working"/>
    <s v="null"/>
    <s v="null"/>
    <s v="null"/>
    <s v="null"/>
    <s v="null"/>
    <s v="null"/>
    <x v="0"/>
    <x v="0"/>
    <s v="null"/>
  </r>
  <r>
    <x v="184"/>
    <x v="7"/>
    <x v="255"/>
    <s v="&quot;CNR5622847&quot;"/>
    <x v="2"/>
    <s v="&quot;CID7679264&quot;"/>
    <x v="4"/>
    <x v="40"/>
    <s v="New Colony"/>
    <x v="31"/>
    <n v="37.299999999999997"/>
    <s v="null"/>
    <s v="null"/>
    <s v="null"/>
    <s v="null"/>
    <s v="null"/>
    <s v="null"/>
    <n v="147"/>
    <n v="45.51"/>
    <x v="14"/>
    <x v="10"/>
    <s v="UPI"/>
  </r>
  <r>
    <x v="185"/>
    <x v="8"/>
    <x v="256"/>
    <s v="&quot;CNR4461457&quot;"/>
    <x v="0"/>
    <s v="&quot;CID8192836&quot;"/>
    <x v="5"/>
    <x v="101"/>
    <s v="Kirti Nagar"/>
    <x v="0"/>
    <s v="null"/>
    <s v="null"/>
    <s v="null"/>
    <s v="null"/>
    <s v="null"/>
    <s v="null"/>
    <s v="null"/>
    <s v="null"/>
    <s v="null"/>
    <x v="0"/>
    <x v="0"/>
    <s v="null"/>
  </r>
  <r>
    <x v="173"/>
    <x v="4"/>
    <x v="257"/>
    <s v="&quot;CNR3788830&quot;"/>
    <x v="2"/>
    <s v="&quot;CID1892630&quot;"/>
    <x v="2"/>
    <x v="11"/>
    <s v="Kaushambi"/>
    <x v="99"/>
    <n v="28.1"/>
    <s v="null"/>
    <s v="null"/>
    <s v="null"/>
    <s v="null"/>
    <s v="null"/>
    <s v="null"/>
    <n v="953"/>
    <n v="34.9"/>
    <x v="5"/>
    <x v="14"/>
    <s v="UPI"/>
  </r>
  <r>
    <x v="186"/>
    <x v="3"/>
    <x v="258"/>
    <s v="&quot;CNR8254837&quot;"/>
    <x v="2"/>
    <s v="&quot;CID5350125&quot;"/>
    <x v="5"/>
    <x v="5"/>
    <s v="Ashok Park Main"/>
    <x v="117"/>
    <n v="20.9"/>
    <s v="null"/>
    <s v="null"/>
    <s v="null"/>
    <s v="null"/>
    <s v="null"/>
    <s v="null"/>
    <n v="654"/>
    <n v="30.87"/>
    <x v="14"/>
    <x v="1"/>
    <s v="Cash"/>
  </r>
  <r>
    <x v="53"/>
    <x v="6"/>
    <x v="259"/>
    <s v="&quot;CNR5483670&quot;"/>
    <x v="2"/>
    <s v="&quot;CID3570152&quot;"/>
    <x v="1"/>
    <x v="120"/>
    <s v="Sarai Kale Khan"/>
    <x v="61"/>
    <n v="19.7"/>
    <s v="null"/>
    <s v="null"/>
    <s v="null"/>
    <s v="null"/>
    <s v="null"/>
    <s v="null"/>
    <n v="427"/>
    <n v="37.07"/>
    <x v="3"/>
    <x v="1"/>
    <s v="Cash"/>
  </r>
  <r>
    <x v="187"/>
    <x v="7"/>
    <x v="260"/>
    <s v="&quot;CNR7372127&quot;"/>
    <x v="3"/>
    <s v="&quot;CID2108992&quot;"/>
    <x v="5"/>
    <x v="10"/>
    <s v="Civil Lines Gurgaon"/>
    <x v="118"/>
    <s v="null"/>
    <s v="null"/>
    <s v="null"/>
    <n v="1"/>
    <s v="Personal &amp; Car related issues"/>
    <s v="null"/>
    <s v="null"/>
    <s v="null"/>
    <s v="null"/>
    <x v="0"/>
    <x v="0"/>
    <s v="null"/>
  </r>
  <r>
    <x v="185"/>
    <x v="8"/>
    <x v="261"/>
    <s v="&quot;CNR5166870&quot;"/>
    <x v="2"/>
    <s v="&quot;CID9712348&quot;"/>
    <x v="2"/>
    <x v="131"/>
    <s v="Mayur Vihar"/>
    <x v="50"/>
    <n v="25.5"/>
    <s v="null"/>
    <s v="null"/>
    <s v="null"/>
    <s v="null"/>
    <s v="null"/>
    <s v="null"/>
    <n v="610"/>
    <n v="35.380000000000003"/>
    <x v="5"/>
    <x v="3"/>
    <s v="Uber Wallet"/>
  </r>
  <r>
    <x v="188"/>
    <x v="11"/>
    <x v="262"/>
    <s v="&quot;CNR1915557&quot;"/>
    <x v="2"/>
    <s v="&quot;CID8572565&quot;"/>
    <x v="4"/>
    <x v="87"/>
    <s v="Raj Nagar Extension"/>
    <x v="6"/>
    <n v="42.5"/>
    <s v="null"/>
    <s v="null"/>
    <s v="null"/>
    <s v="null"/>
    <s v="null"/>
    <s v="null"/>
    <n v="648"/>
    <n v="19.61"/>
    <x v="6"/>
    <x v="2"/>
    <s v="UPI"/>
  </r>
  <r>
    <x v="189"/>
    <x v="5"/>
    <x v="263"/>
    <s v="&quot;CNR3460247&quot;"/>
    <x v="2"/>
    <s v="&quot;CID7449191&quot;"/>
    <x v="4"/>
    <x v="20"/>
    <s v="Green Park"/>
    <x v="39"/>
    <n v="40.4"/>
    <s v="null"/>
    <s v="null"/>
    <s v="null"/>
    <s v="null"/>
    <s v="null"/>
    <s v="null"/>
    <n v="792"/>
    <n v="23.82"/>
    <x v="16"/>
    <x v="3"/>
    <s v="Cash"/>
  </r>
  <r>
    <x v="115"/>
    <x v="11"/>
    <x v="264"/>
    <s v="&quot;CNR8192412&quot;"/>
    <x v="2"/>
    <s v="&quot;CID3617414&quot;"/>
    <x v="5"/>
    <x v="131"/>
    <s v="Tughlakabad"/>
    <x v="21"/>
    <n v="29.8"/>
    <s v="null"/>
    <s v="null"/>
    <s v="null"/>
    <s v="null"/>
    <s v="null"/>
    <s v="null"/>
    <n v="676"/>
    <n v="39.979999999999997"/>
    <x v="18"/>
    <x v="7"/>
    <s v="UPI"/>
  </r>
  <r>
    <x v="190"/>
    <x v="0"/>
    <x v="265"/>
    <s v="&quot;CNR7439127&quot;"/>
    <x v="2"/>
    <s v="&quot;CID2424398&quot;"/>
    <x v="4"/>
    <x v="111"/>
    <s v="Moolchand"/>
    <x v="5"/>
    <n v="22.4"/>
    <s v="null"/>
    <s v="null"/>
    <s v="null"/>
    <s v="null"/>
    <s v="null"/>
    <s v="null"/>
    <n v="389"/>
    <n v="27.16"/>
    <x v="18"/>
    <x v="15"/>
    <s v="Uber Wallet"/>
  </r>
  <r>
    <x v="115"/>
    <x v="11"/>
    <x v="266"/>
    <s v="&quot;CNR3712135&quot;"/>
    <x v="2"/>
    <s v="&quot;CID7174383&quot;"/>
    <x v="3"/>
    <x v="75"/>
    <s v="Malviya Nagar"/>
    <x v="46"/>
    <n v="42.6"/>
    <s v="null"/>
    <s v="null"/>
    <s v="null"/>
    <s v="null"/>
    <s v="null"/>
    <s v="null"/>
    <n v="74"/>
    <n v="48.45"/>
    <x v="3"/>
    <x v="15"/>
    <s v="Uber Wallet"/>
  </r>
  <r>
    <x v="191"/>
    <x v="9"/>
    <x v="267"/>
    <s v="&quot;CNR1675599&quot;"/>
    <x v="3"/>
    <s v="&quot;CID9232923&quot;"/>
    <x v="2"/>
    <x v="132"/>
    <s v="Old Gurgaon"/>
    <x v="97"/>
    <s v="null"/>
    <s v="null"/>
    <s v="null"/>
    <n v="1"/>
    <s v="Personal &amp; Car related issues"/>
    <s v="null"/>
    <s v="null"/>
    <s v="null"/>
    <s v="null"/>
    <x v="0"/>
    <x v="0"/>
    <s v="null"/>
  </r>
  <r>
    <x v="136"/>
    <x v="10"/>
    <x v="268"/>
    <s v="&quot;CNR1935772&quot;"/>
    <x v="3"/>
    <s v="&quot;CID2909332&quot;"/>
    <x v="1"/>
    <x v="3"/>
    <s v="Janakpuri"/>
    <x v="70"/>
    <s v="null"/>
    <s v="null"/>
    <s v="null"/>
    <n v="1"/>
    <s v="The customer was coughing/sick"/>
    <s v="null"/>
    <s v="null"/>
    <s v="null"/>
    <s v="null"/>
    <x v="0"/>
    <x v="0"/>
    <s v="null"/>
  </r>
  <r>
    <x v="161"/>
    <x v="9"/>
    <x v="269"/>
    <s v="&quot;CNR4730676&quot;"/>
    <x v="2"/>
    <s v="&quot;CID5429248&quot;"/>
    <x v="2"/>
    <x v="23"/>
    <s v="Malviya Nagar"/>
    <x v="79"/>
    <n v="41.6"/>
    <s v="null"/>
    <s v="null"/>
    <s v="null"/>
    <s v="null"/>
    <s v="null"/>
    <s v="null"/>
    <n v="465"/>
    <n v="25.05"/>
    <x v="5"/>
    <x v="1"/>
    <s v="Credit Card"/>
  </r>
  <r>
    <x v="59"/>
    <x v="2"/>
    <x v="270"/>
    <s v="&quot;CNR6139544&quot;"/>
    <x v="2"/>
    <s v="&quot;CID9812979&quot;"/>
    <x v="2"/>
    <x v="86"/>
    <s v="New Delhi Railway Station"/>
    <x v="4"/>
    <n v="43.6"/>
    <s v="null"/>
    <s v="null"/>
    <s v="null"/>
    <s v="null"/>
    <s v="null"/>
    <s v="null"/>
    <n v="932"/>
    <n v="40.21"/>
    <x v="3"/>
    <x v="5"/>
    <s v="UPI"/>
  </r>
  <r>
    <x v="192"/>
    <x v="11"/>
    <x v="271"/>
    <s v="&quot;CNR3805926&quot;"/>
    <x v="2"/>
    <s v="&quot;CID1837528&quot;"/>
    <x v="3"/>
    <x v="133"/>
    <s v="Noida Film City"/>
    <x v="70"/>
    <n v="33.700000000000003"/>
    <s v="null"/>
    <s v="null"/>
    <s v="null"/>
    <s v="null"/>
    <s v="null"/>
    <s v="null"/>
    <n v="191"/>
    <n v="44.48"/>
    <x v="8"/>
    <x v="1"/>
    <s v="Cash"/>
  </r>
  <r>
    <x v="193"/>
    <x v="11"/>
    <x v="272"/>
    <s v="&quot;CNR5129655&quot;"/>
    <x v="2"/>
    <s v="&quot;CID6449078&quot;"/>
    <x v="4"/>
    <x v="102"/>
    <s v="Shastri Nagar"/>
    <x v="114"/>
    <n v="34.9"/>
    <s v="null"/>
    <s v="null"/>
    <s v="null"/>
    <s v="null"/>
    <s v="null"/>
    <s v="null"/>
    <n v="770"/>
    <n v="6.82"/>
    <x v="14"/>
    <x v="14"/>
    <s v="UPI"/>
  </r>
  <r>
    <x v="151"/>
    <x v="4"/>
    <x v="273"/>
    <s v="&quot;CNR8725828&quot;"/>
    <x v="2"/>
    <s v="&quot;CID5970413&quot;"/>
    <x v="5"/>
    <x v="134"/>
    <s v="IGI Airport"/>
    <x v="119"/>
    <n v="23.4"/>
    <s v="null"/>
    <s v="null"/>
    <s v="null"/>
    <s v="null"/>
    <s v="null"/>
    <s v="null"/>
    <n v="514"/>
    <n v="16.21"/>
    <x v="14"/>
    <x v="12"/>
    <s v="UPI"/>
  </r>
  <r>
    <x v="194"/>
    <x v="9"/>
    <x v="274"/>
    <s v="&quot;CNR6557966&quot;"/>
    <x v="3"/>
    <s v="&quot;CID9646686&quot;"/>
    <x v="5"/>
    <x v="48"/>
    <s v="Rohini"/>
    <x v="48"/>
    <s v="null"/>
    <s v="null"/>
    <s v="null"/>
    <n v="1"/>
    <s v="More than permitted people in there"/>
    <s v="null"/>
    <s v="null"/>
    <s v="null"/>
    <s v="null"/>
    <x v="0"/>
    <x v="0"/>
    <s v="null"/>
  </r>
  <r>
    <x v="11"/>
    <x v="4"/>
    <x v="275"/>
    <s v="&quot;CNR5403690&quot;"/>
    <x v="2"/>
    <s v="&quot;CID2856626&quot;"/>
    <x v="1"/>
    <x v="98"/>
    <s v="Mansarovar Park"/>
    <x v="48"/>
    <n v="17.3"/>
    <s v="null"/>
    <s v="null"/>
    <s v="null"/>
    <s v="null"/>
    <s v="null"/>
    <s v="null"/>
    <n v="349"/>
    <n v="12.9"/>
    <x v="6"/>
    <x v="2"/>
    <s v="UPI"/>
  </r>
  <r>
    <x v="175"/>
    <x v="8"/>
    <x v="276"/>
    <s v="&quot;CNR4969264&quot;"/>
    <x v="3"/>
    <s v="&quot;CID8159457&quot;"/>
    <x v="5"/>
    <x v="119"/>
    <s v="Inderlok"/>
    <x v="120"/>
    <s v="null"/>
    <s v="null"/>
    <s v="null"/>
    <n v="1"/>
    <s v="Customer related issue"/>
    <s v="null"/>
    <s v="null"/>
    <s v="null"/>
    <s v="null"/>
    <x v="0"/>
    <x v="0"/>
    <s v="null"/>
  </r>
  <r>
    <x v="195"/>
    <x v="3"/>
    <x v="277"/>
    <s v="&quot;CNR6028710&quot;"/>
    <x v="2"/>
    <s v="&quot;CID1715075&quot;"/>
    <x v="0"/>
    <x v="135"/>
    <s v="Golf Course Road"/>
    <x v="25"/>
    <n v="41.2"/>
    <s v="null"/>
    <s v="null"/>
    <s v="null"/>
    <s v="null"/>
    <s v="null"/>
    <s v="null"/>
    <n v="267"/>
    <n v="12.22"/>
    <x v="14"/>
    <x v="5"/>
    <s v="Cash"/>
  </r>
  <r>
    <x v="196"/>
    <x v="1"/>
    <x v="278"/>
    <s v="&quot;CNR3761377&quot;"/>
    <x v="0"/>
    <s v="&quot;CID2461173&quot;"/>
    <x v="0"/>
    <x v="136"/>
    <s v="Lok Kalyan Marg"/>
    <x v="0"/>
    <s v="null"/>
    <s v="null"/>
    <s v="null"/>
    <s v="null"/>
    <s v="null"/>
    <s v="null"/>
    <s v="null"/>
    <s v="null"/>
    <s v="null"/>
    <x v="0"/>
    <x v="0"/>
    <s v="null"/>
  </r>
  <r>
    <x v="197"/>
    <x v="6"/>
    <x v="279"/>
    <s v="&quot;CNR2650074&quot;"/>
    <x v="2"/>
    <s v="&quot;CID5603156&quot;"/>
    <x v="5"/>
    <x v="125"/>
    <s v="Ghitorni"/>
    <x v="99"/>
    <n v="37"/>
    <s v="null"/>
    <s v="null"/>
    <s v="null"/>
    <s v="null"/>
    <s v="null"/>
    <s v="null"/>
    <n v="325"/>
    <n v="3.95"/>
    <x v="8"/>
    <x v="14"/>
    <s v="UPI"/>
  </r>
  <r>
    <x v="198"/>
    <x v="0"/>
    <x v="280"/>
    <s v="&quot;CNR7381283&quot;"/>
    <x v="2"/>
    <s v="&quot;CID8868738&quot;"/>
    <x v="1"/>
    <x v="95"/>
    <s v="Pragati Maidan"/>
    <x v="45"/>
    <n v="15.6"/>
    <s v="null"/>
    <s v="null"/>
    <s v="null"/>
    <s v="null"/>
    <s v="null"/>
    <s v="null"/>
    <n v="156"/>
    <n v="42.87"/>
    <x v="13"/>
    <x v="6"/>
    <s v="Cash"/>
  </r>
  <r>
    <x v="45"/>
    <x v="6"/>
    <x v="281"/>
    <s v="&quot;CNR2531495&quot;"/>
    <x v="2"/>
    <s v="&quot;CID7656183&quot;"/>
    <x v="4"/>
    <x v="112"/>
    <s v="IGNOU Road"/>
    <x v="114"/>
    <n v="27.3"/>
    <s v="null"/>
    <s v="null"/>
    <s v="null"/>
    <s v="null"/>
    <s v="null"/>
    <s v="null"/>
    <n v="689"/>
    <n v="39.840000000000003"/>
    <x v="14"/>
    <x v="1"/>
    <s v="UPI"/>
  </r>
  <r>
    <x v="199"/>
    <x v="11"/>
    <x v="282"/>
    <s v="&quot;CNR1939605&quot;"/>
    <x v="2"/>
    <s v="&quot;CID1229469&quot;"/>
    <x v="2"/>
    <x v="69"/>
    <s v="Pulbangash"/>
    <x v="21"/>
    <n v="40.4"/>
    <s v="null"/>
    <s v="null"/>
    <s v="null"/>
    <s v="null"/>
    <s v="null"/>
    <s v="null"/>
    <n v="491"/>
    <n v="4.1900000000000004"/>
    <x v="8"/>
    <x v="15"/>
    <s v="Credit Card"/>
  </r>
  <r>
    <x v="111"/>
    <x v="2"/>
    <x v="283"/>
    <s v="&quot;CNR5149041&quot;"/>
    <x v="2"/>
    <s v="&quot;CID6951861&quot;"/>
    <x v="1"/>
    <x v="23"/>
    <s v="Tilak Nagar"/>
    <x v="120"/>
    <n v="32.5"/>
    <s v="null"/>
    <s v="null"/>
    <s v="null"/>
    <s v="null"/>
    <s v="null"/>
    <s v="null"/>
    <n v="304"/>
    <n v="6.18"/>
    <x v="6"/>
    <x v="3"/>
    <s v="Credit Card"/>
  </r>
  <r>
    <x v="200"/>
    <x v="1"/>
    <x v="284"/>
    <s v="&quot;CNR7041241&quot;"/>
    <x v="3"/>
    <s v="&quot;CID1368334&quot;"/>
    <x v="5"/>
    <x v="123"/>
    <s v="Rohini East"/>
    <x v="57"/>
    <s v="null"/>
    <s v="null"/>
    <s v="null"/>
    <n v="1"/>
    <s v="More than permitted people in there"/>
    <s v="null"/>
    <s v="null"/>
    <s v="null"/>
    <s v="null"/>
    <x v="0"/>
    <x v="0"/>
    <s v="null"/>
  </r>
  <r>
    <x v="201"/>
    <x v="2"/>
    <x v="285"/>
    <s v="&quot;CNR8035160&quot;"/>
    <x v="4"/>
    <s v="&quot;CID5283020&quot;"/>
    <x v="2"/>
    <x v="137"/>
    <s v="Uttam Nagar"/>
    <x v="121"/>
    <s v="null"/>
    <n v="1"/>
    <s v="Driver asked to cancel"/>
    <s v="null"/>
    <s v="null"/>
    <s v="null"/>
    <s v="null"/>
    <s v="null"/>
    <s v="null"/>
    <x v="0"/>
    <x v="0"/>
    <s v="null"/>
  </r>
  <r>
    <x v="133"/>
    <x v="8"/>
    <x v="286"/>
    <s v="&quot;CNR1918341&quot;"/>
    <x v="2"/>
    <s v="&quot;CID7417050&quot;"/>
    <x v="2"/>
    <x v="19"/>
    <s v="Paschim Vihar"/>
    <x v="122"/>
    <n v="44.4"/>
    <s v="null"/>
    <s v="null"/>
    <s v="null"/>
    <s v="null"/>
    <s v="null"/>
    <s v="null"/>
    <n v="697"/>
    <n v="4.5599999999999996"/>
    <x v="12"/>
    <x v="4"/>
    <s v="UPI"/>
  </r>
  <r>
    <x v="202"/>
    <x v="8"/>
    <x v="287"/>
    <s v="&quot;CNR9600846&quot;"/>
    <x v="2"/>
    <s v="&quot;CID8949589&quot;"/>
    <x v="2"/>
    <x v="10"/>
    <s v="Janakpuri"/>
    <x v="106"/>
    <n v="20.100000000000001"/>
    <s v="null"/>
    <s v="null"/>
    <s v="null"/>
    <s v="null"/>
    <s v="null"/>
    <s v="null"/>
    <n v="679"/>
    <n v="47.56"/>
    <x v="6"/>
    <x v="1"/>
    <s v="UPI"/>
  </r>
  <r>
    <x v="120"/>
    <x v="2"/>
    <x v="288"/>
    <s v="&quot;CNR2775291&quot;"/>
    <x v="1"/>
    <s v="&quot;CID9116623&quot;"/>
    <x v="3"/>
    <x v="138"/>
    <s v="Indirapuram"/>
    <x v="83"/>
    <n v="18"/>
    <s v="null"/>
    <s v="null"/>
    <s v="null"/>
    <s v="null"/>
    <n v="1"/>
    <s v="Other Issue"/>
    <n v="713"/>
    <n v="14.65"/>
    <x v="0"/>
    <x v="0"/>
    <s v="Cash"/>
  </r>
  <r>
    <x v="177"/>
    <x v="5"/>
    <x v="28"/>
    <s v="&quot;CNR4263854&quot;"/>
    <x v="3"/>
    <s v="&quot;CID3967495&quot;"/>
    <x v="1"/>
    <x v="53"/>
    <s v="Vidhan Sabha"/>
    <x v="64"/>
    <s v="null"/>
    <s v="null"/>
    <s v="null"/>
    <n v="1"/>
    <s v="Customer related issue"/>
    <s v="null"/>
    <s v="null"/>
    <s v="null"/>
    <s v="null"/>
    <x v="0"/>
    <x v="0"/>
    <s v="null"/>
  </r>
  <r>
    <x v="45"/>
    <x v="6"/>
    <x v="289"/>
    <s v="&quot;CNR4635401&quot;"/>
    <x v="2"/>
    <s v="&quot;CID3741723&quot;"/>
    <x v="5"/>
    <x v="56"/>
    <s v="Gurgaon Sector 56"/>
    <x v="31"/>
    <n v="18.5"/>
    <s v="null"/>
    <s v="null"/>
    <s v="null"/>
    <s v="null"/>
    <s v="null"/>
    <s v="null"/>
    <n v="683"/>
    <n v="32.15"/>
    <x v="2"/>
    <x v="19"/>
    <s v="UPI"/>
  </r>
  <r>
    <x v="107"/>
    <x v="8"/>
    <x v="290"/>
    <s v="&quot;CNR2135475&quot;"/>
    <x v="2"/>
    <s v="&quot;CID8123696&quot;"/>
    <x v="1"/>
    <x v="116"/>
    <s v="Paharganj"/>
    <x v="38"/>
    <n v="36.4"/>
    <s v="null"/>
    <s v="null"/>
    <s v="null"/>
    <s v="null"/>
    <s v="null"/>
    <s v="null"/>
    <n v="91"/>
    <n v="23.5"/>
    <x v="4"/>
    <x v="3"/>
    <s v="UPI"/>
  </r>
  <r>
    <x v="37"/>
    <x v="5"/>
    <x v="291"/>
    <s v="&quot;CNR2438435&quot;"/>
    <x v="1"/>
    <s v="&quot;CID7928240&quot;"/>
    <x v="0"/>
    <x v="3"/>
    <s v="Sikanderpur"/>
    <x v="23"/>
    <n v="12.4"/>
    <s v="null"/>
    <s v="null"/>
    <s v="null"/>
    <s v="null"/>
    <n v="1"/>
    <s v="Other Issue"/>
    <n v="396"/>
    <n v="16.61"/>
    <x v="0"/>
    <x v="0"/>
    <s v="UPI"/>
  </r>
  <r>
    <x v="159"/>
    <x v="5"/>
    <x v="292"/>
    <s v="&quot;CNR2068345&quot;"/>
    <x v="2"/>
    <s v="&quot;CID1975343&quot;"/>
    <x v="1"/>
    <x v="139"/>
    <s v="Kalkaji"/>
    <x v="13"/>
    <n v="35.700000000000003"/>
    <s v="null"/>
    <s v="null"/>
    <s v="null"/>
    <s v="null"/>
    <s v="null"/>
    <s v="null"/>
    <n v="769"/>
    <n v="18.14"/>
    <x v="5"/>
    <x v="5"/>
    <s v="Cash"/>
  </r>
  <r>
    <x v="203"/>
    <x v="7"/>
    <x v="293"/>
    <s v="&quot;CNR6107939&quot;"/>
    <x v="2"/>
    <s v="&quot;CID3244272&quot;"/>
    <x v="4"/>
    <x v="140"/>
    <s v="DLF Phase 3"/>
    <x v="37"/>
    <n v="16.399999999999999"/>
    <s v="null"/>
    <s v="null"/>
    <s v="null"/>
    <s v="null"/>
    <s v="null"/>
    <s v="null"/>
    <n v="323"/>
    <n v="31.1"/>
    <x v="18"/>
    <x v="4"/>
    <s v="Uber Wallet"/>
  </r>
  <r>
    <x v="204"/>
    <x v="7"/>
    <x v="294"/>
    <s v="&quot;CNR6577172&quot;"/>
    <x v="1"/>
    <s v="&quot;CID5963264&quot;"/>
    <x v="3"/>
    <x v="141"/>
    <s v="Mehrauli"/>
    <x v="78"/>
    <n v="27.7"/>
    <s v="null"/>
    <s v="null"/>
    <s v="null"/>
    <s v="null"/>
    <n v="1"/>
    <s v="Other Issue"/>
    <n v="627"/>
    <n v="3.74"/>
    <x v="0"/>
    <x v="0"/>
    <s v="Uber Wallet"/>
  </r>
  <r>
    <x v="138"/>
    <x v="9"/>
    <x v="295"/>
    <s v="&quot;CNR1957129&quot;"/>
    <x v="2"/>
    <s v="&quot;CID5761924&quot;"/>
    <x v="2"/>
    <x v="38"/>
    <s v="Old Gurgaon"/>
    <x v="112"/>
    <n v="26"/>
    <s v="null"/>
    <s v="null"/>
    <s v="null"/>
    <s v="null"/>
    <s v="null"/>
    <s v="null"/>
    <n v="134"/>
    <n v="13.99"/>
    <x v="17"/>
    <x v="5"/>
    <s v="Cash"/>
  </r>
  <r>
    <x v="54"/>
    <x v="9"/>
    <x v="296"/>
    <s v="&quot;CNR1531092&quot;"/>
    <x v="2"/>
    <s v="&quot;CID7911273&quot;"/>
    <x v="5"/>
    <x v="24"/>
    <s v="Satguru Ram Singh Marg"/>
    <x v="7"/>
    <n v="33.6"/>
    <s v="null"/>
    <s v="null"/>
    <s v="null"/>
    <s v="null"/>
    <s v="null"/>
    <s v="null"/>
    <n v="940"/>
    <n v="5.04"/>
    <x v="2"/>
    <x v="4"/>
    <s v="Credit Card"/>
  </r>
  <r>
    <x v="196"/>
    <x v="1"/>
    <x v="297"/>
    <s v="&quot;CNR6891932&quot;"/>
    <x v="0"/>
    <s v="&quot;CID1466189&quot;"/>
    <x v="0"/>
    <x v="37"/>
    <s v="Udyog Bhawan"/>
    <x v="0"/>
    <s v="null"/>
    <s v="null"/>
    <s v="null"/>
    <s v="null"/>
    <s v="null"/>
    <s v="null"/>
    <s v="null"/>
    <s v="null"/>
    <s v="null"/>
    <x v="0"/>
    <x v="0"/>
    <s v="null"/>
  </r>
  <r>
    <x v="160"/>
    <x v="11"/>
    <x v="298"/>
    <s v="&quot;CNR2192659&quot;"/>
    <x v="2"/>
    <s v="&quot;CID5227340&quot;"/>
    <x v="2"/>
    <x v="56"/>
    <s v="Chirag Delhi"/>
    <x v="59"/>
    <n v="26.2"/>
    <s v="null"/>
    <s v="null"/>
    <s v="null"/>
    <s v="null"/>
    <s v="null"/>
    <s v="null"/>
    <n v="266"/>
    <n v="36.18"/>
    <x v="3"/>
    <x v="6"/>
    <s v="Uber Wallet"/>
  </r>
  <r>
    <x v="196"/>
    <x v="1"/>
    <x v="299"/>
    <s v="&quot;CNR6262174&quot;"/>
    <x v="2"/>
    <s v="&quot;CID4943288&quot;"/>
    <x v="2"/>
    <x v="97"/>
    <s v="Karol Bagh"/>
    <x v="55"/>
    <n v="26.4"/>
    <s v="null"/>
    <s v="null"/>
    <s v="null"/>
    <s v="null"/>
    <s v="null"/>
    <s v="null"/>
    <n v="484"/>
    <n v="13.21"/>
    <x v="12"/>
    <x v="3"/>
    <s v="Uber Wallet"/>
  </r>
  <r>
    <x v="81"/>
    <x v="6"/>
    <x v="300"/>
    <s v="&quot;CNR7791863&quot;"/>
    <x v="2"/>
    <s v="&quot;CID1873624&quot;"/>
    <x v="1"/>
    <x v="142"/>
    <s v="Noida Sector 62"/>
    <x v="14"/>
    <n v="19.2"/>
    <s v="null"/>
    <s v="null"/>
    <s v="null"/>
    <s v="null"/>
    <s v="null"/>
    <s v="null"/>
    <n v="250"/>
    <n v="6.06"/>
    <x v="14"/>
    <x v="7"/>
    <s v="Cash"/>
  </r>
  <r>
    <x v="205"/>
    <x v="2"/>
    <x v="301"/>
    <s v="&quot;CNR8243301&quot;"/>
    <x v="3"/>
    <s v="&quot;CID7666967&quot;"/>
    <x v="2"/>
    <x v="16"/>
    <s v="Civil Lines Gurgaon"/>
    <x v="96"/>
    <s v="null"/>
    <s v="null"/>
    <s v="null"/>
    <n v="1"/>
    <s v="The customer was coughing/sick"/>
    <s v="null"/>
    <s v="null"/>
    <s v="null"/>
    <s v="null"/>
    <x v="0"/>
    <x v="0"/>
    <s v="null"/>
  </r>
  <r>
    <x v="187"/>
    <x v="7"/>
    <x v="302"/>
    <s v="&quot;CNR9897424&quot;"/>
    <x v="1"/>
    <s v="&quot;CID8433669&quot;"/>
    <x v="4"/>
    <x v="108"/>
    <s v="Noida Extension"/>
    <x v="39"/>
    <n v="20"/>
    <s v="null"/>
    <s v="null"/>
    <s v="null"/>
    <s v="null"/>
    <n v="1"/>
    <s v="Customer Demand"/>
    <n v="361"/>
    <n v="14.61"/>
    <x v="0"/>
    <x v="0"/>
    <s v="UPI"/>
  </r>
  <r>
    <x v="148"/>
    <x v="6"/>
    <x v="303"/>
    <s v="&quot;CNR5745004&quot;"/>
    <x v="2"/>
    <s v="&quot;CID8137475&quot;"/>
    <x v="5"/>
    <x v="109"/>
    <s v="Shivaji Park"/>
    <x v="66"/>
    <n v="21"/>
    <s v="null"/>
    <s v="null"/>
    <s v="null"/>
    <s v="null"/>
    <s v="null"/>
    <s v="null"/>
    <n v="224"/>
    <n v="48.08"/>
    <x v="9"/>
    <x v="4"/>
    <s v="Cash"/>
  </r>
  <r>
    <x v="206"/>
    <x v="10"/>
    <x v="304"/>
    <s v="&quot;CNR9659819&quot;"/>
    <x v="4"/>
    <s v="&quot;CID5653812&quot;"/>
    <x v="5"/>
    <x v="96"/>
    <s v="Hauz Rani"/>
    <x v="13"/>
    <s v="null"/>
    <n v="1"/>
    <s v="Driver asked to cancel"/>
    <s v="null"/>
    <s v="null"/>
    <s v="null"/>
    <s v="null"/>
    <s v="null"/>
    <s v="null"/>
    <x v="0"/>
    <x v="0"/>
    <s v="null"/>
  </r>
  <r>
    <x v="171"/>
    <x v="11"/>
    <x v="305"/>
    <s v="&quot;CNR8084453&quot;"/>
    <x v="2"/>
    <s v="&quot;CID5057901&quot;"/>
    <x v="3"/>
    <x v="116"/>
    <s v="Saidulajab"/>
    <x v="34"/>
    <n v="36.799999999999997"/>
    <s v="null"/>
    <s v="null"/>
    <s v="null"/>
    <s v="null"/>
    <s v="null"/>
    <s v="null"/>
    <n v="669"/>
    <n v="39.51"/>
    <x v="18"/>
    <x v="6"/>
    <s v="Cash"/>
  </r>
  <r>
    <x v="207"/>
    <x v="8"/>
    <x v="306"/>
    <s v="&quot;CNR6574173&quot;"/>
    <x v="4"/>
    <s v="&quot;CID6454968&quot;"/>
    <x v="1"/>
    <x v="106"/>
    <s v="Kherki Daula Toll"/>
    <x v="109"/>
    <s v="null"/>
    <n v="1"/>
    <s v="Driver asked to cancel"/>
    <s v="null"/>
    <s v="null"/>
    <s v="null"/>
    <s v="null"/>
    <s v="null"/>
    <s v="null"/>
    <x v="0"/>
    <x v="0"/>
    <s v="null"/>
  </r>
  <r>
    <x v="208"/>
    <x v="2"/>
    <x v="307"/>
    <s v="&quot;CNR4467044&quot;"/>
    <x v="3"/>
    <s v="&quot;CID9935423&quot;"/>
    <x v="2"/>
    <x v="143"/>
    <s v="INA Market"/>
    <x v="39"/>
    <s v="null"/>
    <s v="null"/>
    <s v="null"/>
    <n v="1"/>
    <s v="Customer related issue"/>
    <s v="null"/>
    <s v="null"/>
    <s v="null"/>
    <s v="null"/>
    <x v="0"/>
    <x v="0"/>
    <s v="null"/>
  </r>
  <r>
    <x v="209"/>
    <x v="2"/>
    <x v="308"/>
    <s v="&quot;CNR3334608&quot;"/>
    <x v="2"/>
    <s v="&quot;CID2336782&quot;"/>
    <x v="5"/>
    <x v="115"/>
    <s v="Kalkaji"/>
    <x v="114"/>
    <n v="31.7"/>
    <s v="null"/>
    <s v="null"/>
    <s v="null"/>
    <s v="null"/>
    <s v="null"/>
    <s v="null"/>
    <n v="207"/>
    <n v="7.83"/>
    <x v="5"/>
    <x v="15"/>
    <s v="Uber Wallet"/>
  </r>
  <r>
    <x v="96"/>
    <x v="2"/>
    <x v="309"/>
    <s v="&quot;CNR3901250&quot;"/>
    <x v="2"/>
    <s v="&quot;CID4369282&quot;"/>
    <x v="1"/>
    <x v="61"/>
    <s v="Meerut"/>
    <x v="123"/>
    <n v="35.799999999999997"/>
    <s v="null"/>
    <s v="null"/>
    <s v="null"/>
    <s v="null"/>
    <s v="null"/>
    <s v="null"/>
    <n v="227"/>
    <n v="12.34"/>
    <x v="3"/>
    <x v="18"/>
    <s v="Cash"/>
  </r>
  <r>
    <x v="210"/>
    <x v="0"/>
    <x v="310"/>
    <s v="&quot;CNR3899180&quot;"/>
    <x v="2"/>
    <s v="&quot;CID3915373&quot;"/>
    <x v="3"/>
    <x v="120"/>
    <s v="Yamuna Bank"/>
    <x v="37"/>
    <n v="33.799999999999997"/>
    <s v="null"/>
    <s v="null"/>
    <s v="null"/>
    <s v="null"/>
    <s v="null"/>
    <s v="null"/>
    <n v="771"/>
    <n v="36.700000000000003"/>
    <x v="19"/>
    <x v="4"/>
    <s v="UPI"/>
  </r>
  <r>
    <x v="211"/>
    <x v="11"/>
    <x v="311"/>
    <s v="&quot;CNR7686844&quot;"/>
    <x v="3"/>
    <s v="&quot;CID4485200&quot;"/>
    <x v="2"/>
    <x v="144"/>
    <s v="GTB Nagar"/>
    <x v="44"/>
    <s v="null"/>
    <s v="null"/>
    <s v="null"/>
    <n v="1"/>
    <s v="Personal &amp; Car related issues"/>
    <s v="null"/>
    <s v="null"/>
    <s v="null"/>
    <s v="null"/>
    <x v="0"/>
    <x v="0"/>
    <s v="null"/>
  </r>
  <r>
    <x v="126"/>
    <x v="9"/>
    <x v="312"/>
    <s v="&quot;CNR7619619&quot;"/>
    <x v="2"/>
    <s v="&quot;CID9964707&quot;"/>
    <x v="2"/>
    <x v="27"/>
    <s v="Chanakyapuri"/>
    <x v="110"/>
    <n v="26.4"/>
    <s v="null"/>
    <s v="null"/>
    <s v="null"/>
    <s v="null"/>
    <s v="null"/>
    <s v="null"/>
    <n v="441"/>
    <n v="31.5"/>
    <x v="7"/>
    <x v="18"/>
    <s v="Uber Wallet"/>
  </r>
  <r>
    <x v="212"/>
    <x v="4"/>
    <x v="313"/>
    <s v="&quot;CNR3128056&quot;"/>
    <x v="3"/>
    <s v="&quot;CID1669827&quot;"/>
    <x v="1"/>
    <x v="145"/>
    <s v="Kashmere Gate ISBT"/>
    <x v="42"/>
    <s v="null"/>
    <s v="null"/>
    <s v="null"/>
    <n v="1"/>
    <s v="Customer related issue"/>
    <s v="null"/>
    <s v="null"/>
    <s v="null"/>
    <s v="null"/>
    <x v="0"/>
    <x v="0"/>
    <s v="null"/>
  </r>
  <r>
    <x v="30"/>
    <x v="9"/>
    <x v="314"/>
    <s v="&quot;CNR2415257&quot;"/>
    <x v="2"/>
    <s v="&quot;CID6909825&quot;"/>
    <x v="3"/>
    <x v="52"/>
    <s v="Rohini"/>
    <x v="16"/>
    <n v="21.6"/>
    <s v="null"/>
    <s v="null"/>
    <s v="null"/>
    <s v="null"/>
    <s v="null"/>
    <s v="null"/>
    <n v="788"/>
    <n v="4.26"/>
    <x v="6"/>
    <x v="10"/>
    <s v="UPI"/>
  </r>
  <r>
    <x v="213"/>
    <x v="3"/>
    <x v="315"/>
    <s v="&quot;CNR9756448&quot;"/>
    <x v="2"/>
    <s v="&quot;CID6952097&quot;"/>
    <x v="2"/>
    <x v="134"/>
    <s v="Panipat"/>
    <x v="76"/>
    <n v="41.6"/>
    <s v="null"/>
    <s v="null"/>
    <s v="null"/>
    <s v="null"/>
    <s v="null"/>
    <s v="null"/>
    <n v="459"/>
    <n v="46.74"/>
    <x v="9"/>
    <x v="1"/>
    <s v="UPI"/>
  </r>
  <r>
    <x v="214"/>
    <x v="3"/>
    <x v="316"/>
    <s v="&quot;CNR5071968&quot;"/>
    <x v="2"/>
    <s v="&quot;CID7384045&quot;"/>
    <x v="1"/>
    <x v="120"/>
    <s v="Yamuna Bank"/>
    <x v="94"/>
    <n v="42.5"/>
    <s v="null"/>
    <s v="null"/>
    <s v="null"/>
    <s v="null"/>
    <s v="null"/>
    <s v="null"/>
    <n v="473"/>
    <n v="48.35"/>
    <x v="7"/>
    <x v="12"/>
    <s v="Cash"/>
  </r>
  <r>
    <x v="194"/>
    <x v="9"/>
    <x v="317"/>
    <s v="&quot;CNR9262105&quot;"/>
    <x v="2"/>
    <s v="&quot;CID3597216&quot;"/>
    <x v="4"/>
    <x v="8"/>
    <s v="DLF City Court"/>
    <x v="124"/>
    <n v="19.8"/>
    <s v="null"/>
    <s v="null"/>
    <s v="null"/>
    <s v="null"/>
    <s v="null"/>
    <s v="null"/>
    <n v="503"/>
    <n v="49.87"/>
    <x v="14"/>
    <x v="7"/>
    <s v="Cash"/>
  </r>
  <r>
    <x v="215"/>
    <x v="7"/>
    <x v="318"/>
    <s v="&quot;CNR6026973&quot;"/>
    <x v="2"/>
    <s v="&quot;CID7000290&quot;"/>
    <x v="5"/>
    <x v="121"/>
    <s v="Botanical Garden"/>
    <x v="27"/>
    <n v="18.2"/>
    <s v="null"/>
    <s v="null"/>
    <s v="null"/>
    <s v="null"/>
    <s v="null"/>
    <s v="null"/>
    <n v="586"/>
    <n v="22.67"/>
    <x v="6"/>
    <x v="6"/>
    <s v="UPI"/>
  </r>
  <r>
    <x v="216"/>
    <x v="1"/>
    <x v="319"/>
    <s v="&quot;CNR6798581&quot;"/>
    <x v="3"/>
    <s v="&quot;CID4412829&quot;"/>
    <x v="2"/>
    <x v="146"/>
    <s v="Hauz Rani"/>
    <x v="55"/>
    <s v="null"/>
    <s v="null"/>
    <s v="null"/>
    <n v="1"/>
    <s v="Customer related issue"/>
    <s v="null"/>
    <s v="null"/>
    <s v="null"/>
    <s v="null"/>
    <x v="0"/>
    <x v="0"/>
    <s v="null"/>
  </r>
  <r>
    <x v="217"/>
    <x v="2"/>
    <x v="320"/>
    <s v="&quot;CNR1511311&quot;"/>
    <x v="3"/>
    <s v="&quot;CID3430917&quot;"/>
    <x v="4"/>
    <x v="76"/>
    <s v="INA Market"/>
    <x v="95"/>
    <s v="null"/>
    <s v="null"/>
    <s v="null"/>
    <n v="1"/>
    <s v="The customer was coughing/sick"/>
    <s v="null"/>
    <s v="null"/>
    <s v="null"/>
    <s v="null"/>
    <x v="0"/>
    <x v="0"/>
    <s v="null"/>
  </r>
  <r>
    <x v="33"/>
    <x v="9"/>
    <x v="321"/>
    <s v="&quot;CNR1690974&quot;"/>
    <x v="2"/>
    <s v="&quot;CID5614686&quot;"/>
    <x v="5"/>
    <x v="141"/>
    <s v="Cyber Hub"/>
    <x v="22"/>
    <n v="25.4"/>
    <s v="null"/>
    <s v="null"/>
    <s v="null"/>
    <s v="null"/>
    <s v="null"/>
    <s v="null"/>
    <n v="236"/>
    <n v="45.17"/>
    <x v="2"/>
    <x v="20"/>
    <s v="UPI"/>
  </r>
  <r>
    <x v="196"/>
    <x v="1"/>
    <x v="322"/>
    <s v="&quot;CNR2405566&quot;"/>
    <x v="2"/>
    <s v="&quot;CID2765782&quot;"/>
    <x v="5"/>
    <x v="147"/>
    <s v="Maidan Garhi"/>
    <x v="92"/>
    <n v="28.4"/>
    <s v="null"/>
    <s v="null"/>
    <s v="null"/>
    <s v="null"/>
    <s v="null"/>
    <s v="null"/>
    <n v="73"/>
    <n v="23.07"/>
    <x v="2"/>
    <x v="6"/>
    <s v="UPI"/>
  </r>
  <r>
    <x v="218"/>
    <x v="1"/>
    <x v="323"/>
    <s v="&quot;CNR5503992&quot;"/>
    <x v="2"/>
    <s v="&quot;CID3215242&quot;"/>
    <x v="3"/>
    <x v="13"/>
    <s v="Nehru Place"/>
    <x v="23"/>
    <n v="44.8"/>
    <s v="null"/>
    <s v="null"/>
    <s v="null"/>
    <s v="null"/>
    <s v="null"/>
    <s v="null"/>
    <n v="355"/>
    <n v="4.08"/>
    <x v="7"/>
    <x v="18"/>
    <s v="Cash"/>
  </r>
  <r>
    <x v="36"/>
    <x v="3"/>
    <x v="324"/>
    <s v="&quot;CNR5487256&quot;"/>
    <x v="2"/>
    <s v="&quot;CID2154074&quot;"/>
    <x v="2"/>
    <x v="19"/>
    <s v="Yamuna Bank"/>
    <x v="53"/>
    <n v="23.6"/>
    <s v="null"/>
    <s v="null"/>
    <s v="null"/>
    <s v="null"/>
    <s v="null"/>
    <s v="null"/>
    <n v="663"/>
    <n v="41.97"/>
    <x v="13"/>
    <x v="5"/>
    <s v="UPI"/>
  </r>
  <r>
    <x v="199"/>
    <x v="11"/>
    <x v="325"/>
    <s v="&quot;CNR9280980&quot;"/>
    <x v="2"/>
    <s v="&quot;CID4697642&quot;"/>
    <x v="2"/>
    <x v="143"/>
    <s v="Sultanpur"/>
    <x v="66"/>
    <n v="39.6"/>
    <s v="null"/>
    <s v="null"/>
    <s v="null"/>
    <s v="null"/>
    <s v="null"/>
    <s v="null"/>
    <n v="886"/>
    <n v="38.82"/>
    <x v="6"/>
    <x v="3"/>
    <s v="UPI"/>
  </r>
  <r>
    <x v="219"/>
    <x v="7"/>
    <x v="326"/>
    <s v="&quot;CNR5735365&quot;"/>
    <x v="2"/>
    <s v="&quot;CID4330019&quot;"/>
    <x v="2"/>
    <x v="51"/>
    <s v="Hauz Khas"/>
    <x v="90"/>
    <n v="37.700000000000003"/>
    <s v="null"/>
    <s v="null"/>
    <s v="null"/>
    <s v="null"/>
    <s v="null"/>
    <s v="null"/>
    <n v="292"/>
    <n v="30.4"/>
    <x v="6"/>
    <x v="13"/>
    <s v="Cash"/>
  </r>
  <r>
    <x v="92"/>
    <x v="6"/>
    <x v="327"/>
    <s v="&quot;CNR7094496&quot;"/>
    <x v="2"/>
    <s v="&quot;CID1193764&quot;"/>
    <x v="2"/>
    <x v="106"/>
    <s v="Rajouri Garden"/>
    <x v="26"/>
    <n v="37.299999999999997"/>
    <s v="null"/>
    <s v="null"/>
    <s v="null"/>
    <s v="null"/>
    <s v="null"/>
    <s v="null"/>
    <n v="564"/>
    <n v="19.78"/>
    <x v="5"/>
    <x v="6"/>
    <s v="UPI"/>
  </r>
  <r>
    <x v="220"/>
    <x v="11"/>
    <x v="328"/>
    <s v="&quot;CNR8674052&quot;"/>
    <x v="3"/>
    <s v="&quot;CID9232244&quot;"/>
    <x v="4"/>
    <x v="101"/>
    <s v="Jama Masjid"/>
    <x v="109"/>
    <s v="null"/>
    <s v="null"/>
    <s v="null"/>
    <n v="1"/>
    <s v="More than permitted people in there"/>
    <s v="null"/>
    <s v="null"/>
    <s v="null"/>
    <s v="null"/>
    <x v="0"/>
    <x v="0"/>
    <s v="null"/>
  </r>
  <r>
    <x v="99"/>
    <x v="9"/>
    <x v="329"/>
    <s v="&quot;CNR3317899&quot;"/>
    <x v="2"/>
    <s v="&quot;CID7292132&quot;"/>
    <x v="5"/>
    <x v="126"/>
    <s v="Satguru Ram Singh Marg"/>
    <x v="36"/>
    <n v="39.799999999999997"/>
    <s v="null"/>
    <s v="null"/>
    <s v="null"/>
    <s v="null"/>
    <s v="null"/>
    <s v="null"/>
    <n v="619"/>
    <n v="47.2"/>
    <x v="6"/>
    <x v="3"/>
    <s v="Cash"/>
  </r>
  <r>
    <x v="48"/>
    <x v="3"/>
    <x v="330"/>
    <s v="&quot;CNR7648257&quot;"/>
    <x v="2"/>
    <s v="&quot;CID6260946&quot;"/>
    <x v="5"/>
    <x v="86"/>
    <s v="AIIMS"/>
    <x v="100"/>
    <n v="28.4"/>
    <s v="null"/>
    <s v="null"/>
    <s v="null"/>
    <s v="null"/>
    <s v="null"/>
    <s v="null"/>
    <n v="963"/>
    <n v="17.43"/>
    <x v="17"/>
    <x v="12"/>
    <s v="Uber Wallet"/>
  </r>
  <r>
    <x v="221"/>
    <x v="8"/>
    <x v="331"/>
    <s v="&quot;CNR9887499&quot;"/>
    <x v="2"/>
    <s v="&quot;CID4896073&quot;"/>
    <x v="2"/>
    <x v="138"/>
    <s v="Rajiv Nagar"/>
    <x v="125"/>
    <n v="33.6"/>
    <s v="null"/>
    <s v="null"/>
    <s v="null"/>
    <s v="null"/>
    <s v="null"/>
    <s v="null"/>
    <n v="427"/>
    <n v="14.43"/>
    <x v="3"/>
    <x v="4"/>
    <s v="UPI"/>
  </r>
  <r>
    <x v="222"/>
    <x v="3"/>
    <x v="332"/>
    <s v="&quot;CNR5899408&quot;"/>
    <x v="2"/>
    <s v="&quot;CID6731666&quot;"/>
    <x v="2"/>
    <x v="72"/>
    <s v="Vatika Chowk"/>
    <x v="99"/>
    <n v="42.4"/>
    <s v="null"/>
    <s v="null"/>
    <s v="null"/>
    <s v="null"/>
    <s v="null"/>
    <s v="null"/>
    <n v="60"/>
    <n v="22.92"/>
    <x v="2"/>
    <x v="13"/>
    <s v="Cash"/>
  </r>
  <r>
    <x v="223"/>
    <x v="1"/>
    <x v="333"/>
    <s v="&quot;CNR4090725&quot;"/>
    <x v="2"/>
    <s v="&quot;CID9333845&quot;"/>
    <x v="4"/>
    <x v="44"/>
    <s v="Laxmi Nagar"/>
    <x v="33"/>
    <n v="29"/>
    <s v="null"/>
    <s v="null"/>
    <s v="null"/>
    <s v="null"/>
    <s v="null"/>
    <s v="null"/>
    <n v="697"/>
    <n v="32.15"/>
    <x v="16"/>
    <x v="15"/>
    <s v="Debit Card"/>
  </r>
  <r>
    <x v="224"/>
    <x v="5"/>
    <x v="334"/>
    <s v="&quot;CNR7912140&quot;"/>
    <x v="2"/>
    <s v="&quot;CID2721563&quot;"/>
    <x v="5"/>
    <x v="148"/>
    <s v="GTB Nagar"/>
    <x v="55"/>
    <n v="35.4"/>
    <s v="null"/>
    <s v="null"/>
    <s v="null"/>
    <s v="null"/>
    <s v="null"/>
    <s v="null"/>
    <n v="953"/>
    <n v="43.08"/>
    <x v="2"/>
    <x v="1"/>
    <s v="UPI"/>
  </r>
  <r>
    <x v="225"/>
    <x v="2"/>
    <x v="335"/>
    <s v="&quot;CNR1149573&quot;"/>
    <x v="2"/>
    <s v="&quot;CID4850979&quot;"/>
    <x v="5"/>
    <x v="149"/>
    <s v="IGNOU Road"/>
    <x v="54"/>
    <n v="37.299999999999997"/>
    <s v="null"/>
    <s v="null"/>
    <s v="null"/>
    <s v="null"/>
    <s v="null"/>
    <s v="null"/>
    <n v="342"/>
    <n v="48.91"/>
    <x v="4"/>
    <x v="14"/>
    <s v="Cash"/>
  </r>
  <r>
    <x v="107"/>
    <x v="8"/>
    <x v="336"/>
    <s v="&quot;CNR9795191&quot;"/>
    <x v="3"/>
    <s v="&quot;CID7143989&quot;"/>
    <x v="1"/>
    <x v="78"/>
    <s v="Jama Masjid"/>
    <x v="108"/>
    <s v="null"/>
    <s v="null"/>
    <s v="null"/>
    <n v="1"/>
    <s v="Customer related issue"/>
    <s v="null"/>
    <s v="null"/>
    <s v="null"/>
    <s v="null"/>
    <x v="0"/>
    <x v="0"/>
    <s v="null"/>
  </r>
  <r>
    <x v="225"/>
    <x v="2"/>
    <x v="337"/>
    <s v="&quot;CNR6845177&quot;"/>
    <x v="2"/>
    <s v="&quot;CID2910913&quot;"/>
    <x v="5"/>
    <x v="36"/>
    <s v="Sarai Kale Khan"/>
    <x v="18"/>
    <n v="17.899999999999999"/>
    <s v="null"/>
    <s v="null"/>
    <s v="null"/>
    <s v="null"/>
    <s v="null"/>
    <s v="null"/>
    <n v="935"/>
    <n v="32.46"/>
    <x v="5"/>
    <x v="15"/>
    <s v="Uber Wallet"/>
  </r>
  <r>
    <x v="138"/>
    <x v="9"/>
    <x v="338"/>
    <s v="&quot;CNR6115510&quot;"/>
    <x v="2"/>
    <s v="&quot;CID8805139&quot;"/>
    <x v="2"/>
    <x v="70"/>
    <s v="Tughlakabad"/>
    <x v="8"/>
    <n v="24"/>
    <s v="null"/>
    <s v="null"/>
    <s v="null"/>
    <s v="null"/>
    <s v="null"/>
    <s v="null"/>
    <n v="566"/>
    <n v="11.44"/>
    <x v="17"/>
    <x v="13"/>
    <s v="Debit Card"/>
  </r>
  <r>
    <x v="159"/>
    <x v="5"/>
    <x v="339"/>
    <s v="&quot;CNR6859535&quot;"/>
    <x v="2"/>
    <s v="&quot;CID2960838&quot;"/>
    <x v="4"/>
    <x v="42"/>
    <s v="Netaji Subhash Place"/>
    <x v="59"/>
    <n v="34.6"/>
    <s v="null"/>
    <s v="null"/>
    <s v="null"/>
    <s v="null"/>
    <s v="null"/>
    <s v="null"/>
    <n v="459"/>
    <n v="42.18"/>
    <x v="10"/>
    <x v="13"/>
    <s v="Credit Card"/>
  </r>
  <r>
    <x v="135"/>
    <x v="0"/>
    <x v="340"/>
    <s v="&quot;CNR2514823&quot;"/>
    <x v="4"/>
    <s v="&quot;CID8542583&quot;"/>
    <x v="2"/>
    <x v="95"/>
    <s v="Lok Kalyan Marg"/>
    <x v="76"/>
    <s v="null"/>
    <n v="1"/>
    <s v="Driver asked to cancel"/>
    <s v="null"/>
    <s v="null"/>
    <s v="null"/>
    <s v="null"/>
    <s v="null"/>
    <s v="null"/>
    <x v="0"/>
    <x v="0"/>
    <s v="null"/>
  </r>
  <r>
    <x v="51"/>
    <x v="1"/>
    <x v="341"/>
    <s v="&quot;CNR5197106&quot;"/>
    <x v="3"/>
    <s v="&quot;CID9447069&quot;"/>
    <x v="1"/>
    <x v="44"/>
    <s v="Maidan Garhi"/>
    <x v="53"/>
    <s v="null"/>
    <s v="null"/>
    <s v="null"/>
    <n v="1"/>
    <s v="More than permitted people in there"/>
    <s v="null"/>
    <s v="null"/>
    <s v="null"/>
    <s v="null"/>
    <x v="0"/>
    <x v="0"/>
    <s v="null"/>
  </r>
  <r>
    <x v="95"/>
    <x v="6"/>
    <x v="342"/>
    <s v="&quot;CNR5958707&quot;"/>
    <x v="2"/>
    <s v="&quot;CID9250719&quot;"/>
    <x v="5"/>
    <x v="146"/>
    <s v="Sultanpur"/>
    <x v="114"/>
    <n v="18.3"/>
    <s v="null"/>
    <s v="null"/>
    <s v="null"/>
    <s v="null"/>
    <s v="null"/>
    <s v="null"/>
    <n v="401"/>
    <n v="40.159999999999997"/>
    <x v="3"/>
    <x v="6"/>
    <s v="UPI"/>
  </r>
  <r>
    <x v="34"/>
    <x v="8"/>
    <x v="343"/>
    <s v="&quot;CNR7438691&quot;"/>
    <x v="2"/>
    <s v="&quot;CID6640597&quot;"/>
    <x v="6"/>
    <x v="22"/>
    <s v="Noida Film City"/>
    <x v="94"/>
    <n v="34.799999999999997"/>
    <s v="null"/>
    <s v="null"/>
    <s v="null"/>
    <s v="null"/>
    <s v="null"/>
    <s v="null"/>
    <n v="509"/>
    <n v="4.01"/>
    <x v="14"/>
    <x v="1"/>
    <s v="Cash"/>
  </r>
  <r>
    <x v="34"/>
    <x v="8"/>
    <x v="344"/>
    <s v="&quot;CNR4717203&quot;"/>
    <x v="3"/>
    <s v="&quot;CID4019303&quot;"/>
    <x v="5"/>
    <x v="91"/>
    <s v="Ardee City"/>
    <x v="108"/>
    <s v="null"/>
    <s v="null"/>
    <s v="null"/>
    <n v="1"/>
    <s v="Customer related issue"/>
    <s v="null"/>
    <s v="null"/>
    <s v="null"/>
    <s v="null"/>
    <x v="0"/>
    <x v="0"/>
    <s v="null"/>
  </r>
  <r>
    <x v="226"/>
    <x v="10"/>
    <x v="345"/>
    <s v="&quot;CNR3871982&quot;"/>
    <x v="2"/>
    <s v="&quot;CID3385226&quot;"/>
    <x v="0"/>
    <x v="109"/>
    <s v="Chirag Delhi"/>
    <x v="17"/>
    <n v="41.2"/>
    <s v="null"/>
    <s v="null"/>
    <s v="null"/>
    <s v="null"/>
    <s v="null"/>
    <s v="null"/>
    <n v="905"/>
    <n v="15.59"/>
    <x v="1"/>
    <x v="4"/>
    <s v="UPI"/>
  </r>
  <r>
    <x v="155"/>
    <x v="9"/>
    <x v="346"/>
    <s v="&quot;CNR7276252&quot;"/>
    <x v="2"/>
    <s v="&quot;CID4805819&quot;"/>
    <x v="5"/>
    <x v="115"/>
    <s v="Ghitorni"/>
    <x v="70"/>
    <n v="16.5"/>
    <s v="null"/>
    <s v="null"/>
    <s v="null"/>
    <s v="null"/>
    <s v="null"/>
    <s v="null"/>
    <n v="312"/>
    <n v="47.72"/>
    <x v="7"/>
    <x v="6"/>
    <s v="Cash"/>
  </r>
  <r>
    <x v="185"/>
    <x v="8"/>
    <x v="347"/>
    <s v="&quot;CNR8591450&quot;"/>
    <x v="0"/>
    <s v="&quot;CID5485762&quot;"/>
    <x v="4"/>
    <x v="116"/>
    <s v="Inderlok"/>
    <x v="0"/>
    <s v="null"/>
    <s v="null"/>
    <s v="null"/>
    <s v="null"/>
    <s v="null"/>
    <s v="null"/>
    <s v="null"/>
    <s v="null"/>
    <s v="null"/>
    <x v="0"/>
    <x v="0"/>
    <s v="null"/>
  </r>
  <r>
    <x v="54"/>
    <x v="9"/>
    <x v="348"/>
    <s v="&quot;CNR2118165&quot;"/>
    <x v="2"/>
    <s v="&quot;CID4254404&quot;"/>
    <x v="2"/>
    <x v="50"/>
    <s v="Gurgaon Railway Station"/>
    <x v="92"/>
    <n v="20.9"/>
    <s v="null"/>
    <s v="null"/>
    <s v="null"/>
    <s v="null"/>
    <s v="null"/>
    <s v="null"/>
    <n v="103"/>
    <n v="34.36"/>
    <x v="6"/>
    <x v="4"/>
    <s v="UPI"/>
  </r>
  <r>
    <x v="32"/>
    <x v="5"/>
    <x v="349"/>
    <s v="&quot;CNR1580852&quot;"/>
    <x v="2"/>
    <s v="&quot;CID1032196&quot;"/>
    <x v="4"/>
    <x v="31"/>
    <s v="Moolchand"/>
    <x v="95"/>
    <n v="16"/>
    <s v="null"/>
    <s v="null"/>
    <s v="null"/>
    <s v="null"/>
    <s v="null"/>
    <s v="null"/>
    <n v="425"/>
    <n v="11.93"/>
    <x v="6"/>
    <x v="3"/>
    <s v="Cash"/>
  </r>
  <r>
    <x v="227"/>
    <x v="6"/>
    <x v="350"/>
    <s v="&quot;CNR8400555&quot;"/>
    <x v="2"/>
    <s v="&quot;CID7803210&quot;"/>
    <x v="3"/>
    <x v="145"/>
    <s v="Mayur Vihar"/>
    <x v="36"/>
    <n v="44.8"/>
    <s v="null"/>
    <s v="null"/>
    <s v="null"/>
    <s v="null"/>
    <s v="null"/>
    <s v="null"/>
    <n v="309"/>
    <n v="42.82"/>
    <x v="14"/>
    <x v="7"/>
    <s v="UPI"/>
  </r>
  <r>
    <x v="55"/>
    <x v="8"/>
    <x v="351"/>
    <s v="&quot;CNR2392283&quot;"/>
    <x v="1"/>
    <s v="&quot;CID7179926&quot;"/>
    <x v="5"/>
    <x v="47"/>
    <s v="Old Gurgaon"/>
    <x v="55"/>
    <n v="22.6"/>
    <s v="null"/>
    <s v="null"/>
    <s v="null"/>
    <s v="null"/>
    <n v="1"/>
    <s v="Other Issue"/>
    <n v="103"/>
    <n v="12.63"/>
    <x v="0"/>
    <x v="0"/>
    <s v="UPI"/>
  </r>
  <r>
    <x v="2"/>
    <x v="2"/>
    <x v="352"/>
    <s v="&quot;CNR8799283&quot;"/>
    <x v="2"/>
    <s v="&quot;CID2914515&quot;"/>
    <x v="2"/>
    <x v="145"/>
    <s v="Vatika Chowk"/>
    <x v="33"/>
    <n v="23.6"/>
    <s v="null"/>
    <s v="null"/>
    <s v="null"/>
    <s v="null"/>
    <s v="null"/>
    <s v="null"/>
    <n v="379"/>
    <n v="43.14"/>
    <x v="14"/>
    <x v="15"/>
    <s v="UPI"/>
  </r>
  <r>
    <x v="191"/>
    <x v="9"/>
    <x v="353"/>
    <s v="&quot;CNR7692801&quot;"/>
    <x v="3"/>
    <s v="&quot;CID4418657&quot;"/>
    <x v="2"/>
    <x v="150"/>
    <s v="Malviya Nagar"/>
    <x v="35"/>
    <s v="null"/>
    <s v="null"/>
    <s v="null"/>
    <n v="1"/>
    <s v="Personal &amp; Car related issues"/>
    <s v="null"/>
    <s v="null"/>
    <s v="null"/>
    <s v="null"/>
    <x v="0"/>
    <x v="0"/>
    <s v="null"/>
  </r>
  <r>
    <x v="228"/>
    <x v="0"/>
    <x v="354"/>
    <s v="&quot;CNR8406654&quot;"/>
    <x v="0"/>
    <s v="&quot;CID3494610&quot;"/>
    <x v="2"/>
    <x v="104"/>
    <s v="Greater Noida"/>
    <x v="0"/>
    <s v="null"/>
    <s v="null"/>
    <s v="null"/>
    <s v="null"/>
    <s v="null"/>
    <s v="null"/>
    <s v="null"/>
    <s v="null"/>
    <s v="null"/>
    <x v="0"/>
    <x v="0"/>
    <s v="null"/>
  </r>
  <r>
    <x v="4"/>
    <x v="4"/>
    <x v="355"/>
    <s v="&quot;CNR5193961&quot;"/>
    <x v="2"/>
    <s v="&quot;CID3471193&quot;"/>
    <x v="5"/>
    <x v="151"/>
    <s v="Udyog Vihar Phase 4"/>
    <x v="59"/>
    <n v="39.799999999999997"/>
    <s v="null"/>
    <s v="null"/>
    <s v="null"/>
    <s v="null"/>
    <s v="null"/>
    <s v="null"/>
    <n v="623"/>
    <n v="40.590000000000003"/>
    <x v="14"/>
    <x v="12"/>
    <s v="UPI"/>
  </r>
  <r>
    <x v="187"/>
    <x v="7"/>
    <x v="356"/>
    <s v="&quot;CNR9045710&quot;"/>
    <x v="2"/>
    <s v="&quot;CID9382079&quot;"/>
    <x v="5"/>
    <x v="123"/>
    <s v="Pitampura"/>
    <x v="119"/>
    <n v="19.600000000000001"/>
    <s v="null"/>
    <s v="null"/>
    <s v="null"/>
    <s v="null"/>
    <s v="null"/>
    <s v="null"/>
    <n v="743"/>
    <n v="20.32"/>
    <x v="5"/>
    <x v="2"/>
    <s v="Cash"/>
  </r>
  <r>
    <x v="202"/>
    <x v="8"/>
    <x v="357"/>
    <s v="&quot;CNR1884447&quot;"/>
    <x v="2"/>
    <s v="&quot;CID3794502&quot;"/>
    <x v="3"/>
    <x v="26"/>
    <s v="Narsinghpur"/>
    <x v="67"/>
    <n v="23.1"/>
    <s v="null"/>
    <s v="null"/>
    <s v="null"/>
    <s v="null"/>
    <s v="null"/>
    <s v="null"/>
    <n v="647"/>
    <n v="48.8"/>
    <x v="5"/>
    <x v="3"/>
    <s v="Uber Wallet"/>
  </r>
  <r>
    <x v="50"/>
    <x v="0"/>
    <x v="358"/>
    <s v="&quot;CNR5929425&quot;"/>
    <x v="4"/>
    <s v="&quot;CID8229428&quot;"/>
    <x v="2"/>
    <x v="8"/>
    <s v="Jhilmil"/>
    <x v="126"/>
    <s v="null"/>
    <n v="1"/>
    <s v="Driver asked to cancel"/>
    <s v="null"/>
    <s v="null"/>
    <s v="null"/>
    <s v="null"/>
    <s v="null"/>
    <s v="null"/>
    <x v="0"/>
    <x v="0"/>
    <s v="null"/>
  </r>
  <r>
    <x v="82"/>
    <x v="3"/>
    <x v="359"/>
    <s v="&quot;CNR3795914&quot;"/>
    <x v="2"/>
    <s v="&quot;CID2036541&quot;"/>
    <x v="5"/>
    <x v="122"/>
    <s v="Golf Course Road"/>
    <x v="101"/>
    <n v="30.1"/>
    <s v="null"/>
    <s v="null"/>
    <s v="null"/>
    <s v="null"/>
    <s v="null"/>
    <s v="null"/>
    <n v="1364"/>
    <n v="42.16"/>
    <x v="20"/>
    <x v="11"/>
    <s v="Cash"/>
  </r>
  <r>
    <x v="229"/>
    <x v="8"/>
    <x v="360"/>
    <s v="&quot;CNR5115903&quot;"/>
    <x v="3"/>
    <s v="&quot;CID1437336&quot;"/>
    <x v="1"/>
    <x v="68"/>
    <s v="Kaushambi"/>
    <x v="116"/>
    <s v="null"/>
    <s v="null"/>
    <s v="null"/>
    <n v="1"/>
    <s v="Customer related issue"/>
    <s v="null"/>
    <s v="null"/>
    <s v="null"/>
    <s v="null"/>
    <x v="0"/>
    <x v="0"/>
    <s v="null"/>
  </r>
  <r>
    <x v="138"/>
    <x v="9"/>
    <x v="361"/>
    <s v="&quot;CNR7223335&quot;"/>
    <x v="3"/>
    <s v="&quot;CID9786042&quot;"/>
    <x v="5"/>
    <x v="121"/>
    <s v="Ashok Vihar"/>
    <x v="103"/>
    <s v="null"/>
    <s v="null"/>
    <s v="null"/>
    <n v="1"/>
    <s v="Personal &amp; Car related issues"/>
    <s v="null"/>
    <s v="null"/>
    <s v="null"/>
    <s v="null"/>
    <x v="0"/>
    <x v="0"/>
    <s v="null"/>
  </r>
  <r>
    <x v="230"/>
    <x v="4"/>
    <x v="362"/>
    <s v="&quot;CNR3338595&quot;"/>
    <x v="2"/>
    <s v="&quot;CID3627391&quot;"/>
    <x v="2"/>
    <x v="152"/>
    <s v="Vatika Chowk"/>
    <x v="78"/>
    <n v="24.8"/>
    <s v="null"/>
    <s v="null"/>
    <s v="null"/>
    <s v="null"/>
    <s v="null"/>
    <s v="null"/>
    <n v="890"/>
    <n v="47.98"/>
    <x v="18"/>
    <x v="7"/>
    <s v="UPI"/>
  </r>
  <r>
    <x v="114"/>
    <x v="7"/>
    <x v="363"/>
    <s v="&quot;CNR1610053&quot;"/>
    <x v="2"/>
    <s v="&quot;CID5372274&quot;"/>
    <x v="1"/>
    <x v="87"/>
    <s v="Tilak Nagar"/>
    <x v="5"/>
    <n v="44"/>
    <s v="null"/>
    <s v="null"/>
    <s v="null"/>
    <s v="null"/>
    <s v="null"/>
    <s v="null"/>
    <n v="162"/>
    <n v="46.78"/>
    <x v="8"/>
    <x v="17"/>
    <s v="Cash"/>
  </r>
  <r>
    <x v="231"/>
    <x v="1"/>
    <x v="364"/>
    <s v="&quot;CNR4383491&quot;"/>
    <x v="2"/>
    <s v="&quot;CID5404553&quot;"/>
    <x v="2"/>
    <x v="107"/>
    <s v="Shivaji Park"/>
    <x v="28"/>
    <n v="42.3"/>
    <s v="null"/>
    <s v="null"/>
    <s v="null"/>
    <s v="null"/>
    <s v="null"/>
    <s v="null"/>
    <n v="242"/>
    <n v="27.68"/>
    <x v="14"/>
    <x v="10"/>
    <s v="Debit Card"/>
  </r>
  <r>
    <x v="141"/>
    <x v="5"/>
    <x v="365"/>
    <s v="&quot;CNR4238002&quot;"/>
    <x v="2"/>
    <s v="&quot;CID6776646&quot;"/>
    <x v="3"/>
    <x v="76"/>
    <s v="Karkarduma"/>
    <x v="83"/>
    <n v="44.7"/>
    <s v="null"/>
    <s v="null"/>
    <s v="null"/>
    <s v="null"/>
    <s v="null"/>
    <s v="null"/>
    <n v="342"/>
    <n v="27.62"/>
    <x v="2"/>
    <x v="10"/>
    <s v="UPI"/>
  </r>
  <r>
    <x v="232"/>
    <x v="10"/>
    <x v="366"/>
    <s v="&quot;CNR2471315&quot;"/>
    <x v="2"/>
    <s v="&quot;CID1296895&quot;"/>
    <x v="5"/>
    <x v="84"/>
    <s v="Ghitorni Village"/>
    <x v="114"/>
    <n v="26.2"/>
    <s v="null"/>
    <s v="null"/>
    <s v="null"/>
    <s v="null"/>
    <s v="null"/>
    <s v="null"/>
    <n v="316"/>
    <n v="17.920000000000002"/>
    <x v="4"/>
    <x v="7"/>
    <s v="UPI"/>
  </r>
  <r>
    <x v="233"/>
    <x v="2"/>
    <x v="367"/>
    <s v="&quot;CNR7554909&quot;"/>
    <x v="2"/>
    <s v="&quot;CID2941890&quot;"/>
    <x v="2"/>
    <x v="33"/>
    <s v="RK Puram"/>
    <x v="100"/>
    <n v="34.6"/>
    <s v="null"/>
    <s v="null"/>
    <s v="null"/>
    <s v="null"/>
    <s v="null"/>
    <s v="null"/>
    <n v="1286"/>
    <n v="30.53"/>
    <x v="12"/>
    <x v="6"/>
    <s v="Uber Wallet"/>
  </r>
  <r>
    <x v="234"/>
    <x v="11"/>
    <x v="368"/>
    <s v="&quot;CNR4559667&quot;"/>
    <x v="3"/>
    <s v="&quot;CID2567945&quot;"/>
    <x v="2"/>
    <x v="114"/>
    <s v="Noida Extension"/>
    <x v="47"/>
    <s v="null"/>
    <s v="null"/>
    <s v="null"/>
    <n v="1"/>
    <s v="The customer was coughing/sick"/>
    <s v="null"/>
    <s v="null"/>
    <s v="null"/>
    <s v="null"/>
    <x v="0"/>
    <x v="0"/>
    <s v="null"/>
  </r>
  <r>
    <x v="235"/>
    <x v="7"/>
    <x v="369"/>
    <s v="&quot;CNR7943612&quot;"/>
    <x v="1"/>
    <s v="&quot;CID7051878&quot;"/>
    <x v="4"/>
    <x v="104"/>
    <s v="Samaypur Badli"/>
    <x v="127"/>
    <n v="18.899999999999999"/>
    <s v="null"/>
    <s v="null"/>
    <s v="null"/>
    <s v="null"/>
    <n v="1"/>
    <s v="Vehicle Breakdown"/>
    <n v="274"/>
    <n v="14.78"/>
    <x v="0"/>
    <x v="0"/>
    <s v="Credit Card"/>
  </r>
  <r>
    <x v="236"/>
    <x v="5"/>
    <x v="370"/>
    <s v="&quot;CNR9513281&quot;"/>
    <x v="0"/>
    <s v="&quot;CID8578287&quot;"/>
    <x v="3"/>
    <x v="111"/>
    <s v="Paharganj"/>
    <x v="0"/>
    <s v="null"/>
    <s v="null"/>
    <s v="null"/>
    <s v="null"/>
    <s v="null"/>
    <s v="null"/>
    <s v="null"/>
    <s v="null"/>
    <s v="null"/>
    <x v="0"/>
    <x v="0"/>
    <s v="null"/>
  </r>
  <r>
    <x v="237"/>
    <x v="0"/>
    <x v="371"/>
    <s v="&quot;CNR3228885&quot;"/>
    <x v="2"/>
    <s v="&quot;CID3480522&quot;"/>
    <x v="4"/>
    <x v="150"/>
    <s v="Civil Lines Gurgaon"/>
    <x v="30"/>
    <n v="29.8"/>
    <s v="null"/>
    <s v="null"/>
    <s v="null"/>
    <s v="null"/>
    <s v="null"/>
    <s v="null"/>
    <n v="689"/>
    <n v="45.97"/>
    <x v="13"/>
    <x v="1"/>
    <s v="UPI"/>
  </r>
  <r>
    <x v="98"/>
    <x v="4"/>
    <x v="372"/>
    <s v="&quot;CNR6838313&quot;"/>
    <x v="3"/>
    <s v="&quot;CID6286831&quot;"/>
    <x v="2"/>
    <x v="74"/>
    <s v="Connaught Place"/>
    <x v="56"/>
    <s v="null"/>
    <s v="null"/>
    <s v="null"/>
    <n v="1"/>
    <s v="More than permitted people in there"/>
    <s v="null"/>
    <s v="null"/>
    <s v="null"/>
    <s v="null"/>
    <x v="0"/>
    <x v="0"/>
    <s v="null"/>
  </r>
  <r>
    <x v="229"/>
    <x v="8"/>
    <x v="373"/>
    <s v="&quot;CNR7513763&quot;"/>
    <x v="3"/>
    <s v="&quot;CID5819264&quot;"/>
    <x v="0"/>
    <x v="26"/>
    <s v="IGI Airport"/>
    <x v="61"/>
    <s v="null"/>
    <s v="null"/>
    <s v="null"/>
    <n v="1"/>
    <s v="Customer related issue"/>
    <s v="null"/>
    <s v="null"/>
    <s v="null"/>
    <s v="null"/>
    <x v="0"/>
    <x v="0"/>
    <s v="null"/>
  </r>
  <r>
    <x v="238"/>
    <x v="11"/>
    <x v="374"/>
    <s v="&quot;CNR4249572&quot;"/>
    <x v="2"/>
    <s v="&quot;CID9658351&quot;"/>
    <x v="3"/>
    <x v="18"/>
    <s v="Gwal Pahari"/>
    <x v="94"/>
    <n v="15.6"/>
    <s v="null"/>
    <s v="null"/>
    <s v="null"/>
    <s v="null"/>
    <s v="null"/>
    <s v="null"/>
    <n v="504"/>
    <n v="24.06"/>
    <x v="7"/>
    <x v="2"/>
    <s v="Uber Wallet"/>
  </r>
  <r>
    <x v="27"/>
    <x v="11"/>
    <x v="375"/>
    <s v="&quot;CNR1730323&quot;"/>
    <x v="2"/>
    <s v="&quot;CID1295813&quot;"/>
    <x v="1"/>
    <x v="138"/>
    <s v="Sultanpur"/>
    <x v="70"/>
    <n v="17.600000000000001"/>
    <s v="null"/>
    <s v="null"/>
    <s v="null"/>
    <s v="null"/>
    <s v="null"/>
    <s v="null"/>
    <n v="231"/>
    <n v="9.44"/>
    <x v="3"/>
    <x v="10"/>
    <s v="Uber Wallet"/>
  </r>
  <r>
    <x v="215"/>
    <x v="7"/>
    <x v="376"/>
    <s v="&quot;CNR3316127&quot;"/>
    <x v="2"/>
    <s v="&quot;CID1501533&quot;"/>
    <x v="3"/>
    <x v="88"/>
    <s v="IGNOU Road"/>
    <x v="128"/>
    <n v="29.1"/>
    <s v="null"/>
    <s v="null"/>
    <s v="null"/>
    <s v="null"/>
    <s v="null"/>
    <s v="null"/>
    <n v="824"/>
    <n v="24.98"/>
    <x v="5"/>
    <x v="6"/>
    <s v="UPI"/>
  </r>
  <r>
    <x v="239"/>
    <x v="4"/>
    <x v="377"/>
    <s v="&quot;CNR5001450&quot;"/>
    <x v="2"/>
    <s v="&quot;CID4130652&quot;"/>
    <x v="6"/>
    <x v="86"/>
    <s v="Tilak Nagar"/>
    <x v="75"/>
    <n v="15.4"/>
    <s v="null"/>
    <s v="null"/>
    <s v="null"/>
    <s v="null"/>
    <s v="null"/>
    <s v="null"/>
    <n v="478"/>
    <n v="10.78"/>
    <x v="13"/>
    <x v="1"/>
    <s v="Uber Wallet"/>
  </r>
  <r>
    <x v="198"/>
    <x v="0"/>
    <x v="378"/>
    <s v="&quot;CNR2994632&quot;"/>
    <x v="2"/>
    <s v="&quot;CID4528348&quot;"/>
    <x v="4"/>
    <x v="40"/>
    <s v="Jasola"/>
    <x v="88"/>
    <n v="29.7"/>
    <s v="null"/>
    <s v="null"/>
    <s v="null"/>
    <s v="null"/>
    <s v="null"/>
    <s v="null"/>
    <n v="432"/>
    <n v="40.590000000000003"/>
    <x v="5"/>
    <x v="3"/>
    <s v="Debit Card"/>
  </r>
  <r>
    <x v="80"/>
    <x v="11"/>
    <x v="379"/>
    <s v="&quot;CNR8349332&quot;"/>
    <x v="2"/>
    <s v="&quot;CID1895189&quot;"/>
    <x v="4"/>
    <x v="108"/>
    <s v="Rohini"/>
    <x v="30"/>
    <n v="19.100000000000001"/>
    <s v="null"/>
    <s v="null"/>
    <s v="null"/>
    <s v="null"/>
    <s v="null"/>
    <s v="null"/>
    <n v="606"/>
    <n v="5.75"/>
    <x v="6"/>
    <x v="4"/>
    <s v="UPI"/>
  </r>
  <r>
    <x v="240"/>
    <x v="2"/>
    <x v="380"/>
    <s v="&quot;CNR6785391&quot;"/>
    <x v="2"/>
    <s v="&quot;CID3192351&quot;"/>
    <x v="2"/>
    <x v="42"/>
    <s v="Bahadurgarh"/>
    <x v="69"/>
    <n v="18.100000000000001"/>
    <s v="null"/>
    <s v="null"/>
    <s v="null"/>
    <s v="null"/>
    <s v="null"/>
    <s v="null"/>
    <n v="328"/>
    <n v="42.66"/>
    <x v="20"/>
    <x v="1"/>
    <s v="UPI"/>
  </r>
  <r>
    <x v="3"/>
    <x v="3"/>
    <x v="381"/>
    <s v="&quot;CNR4239039&quot;"/>
    <x v="4"/>
    <s v="&quot;CID5633622&quot;"/>
    <x v="3"/>
    <x v="60"/>
    <s v="Chhatarpur"/>
    <x v="117"/>
    <s v="null"/>
    <n v="1"/>
    <s v="AC is not working"/>
    <s v="null"/>
    <s v="null"/>
    <s v="null"/>
    <s v="null"/>
    <s v="null"/>
    <s v="null"/>
    <x v="0"/>
    <x v="0"/>
    <s v="null"/>
  </r>
  <r>
    <x v="241"/>
    <x v="3"/>
    <x v="382"/>
    <s v="&quot;CNR3942728&quot;"/>
    <x v="2"/>
    <s v="&quot;CID3899231&quot;"/>
    <x v="3"/>
    <x v="28"/>
    <s v="Rohini West"/>
    <x v="83"/>
    <n v="38.299999999999997"/>
    <s v="null"/>
    <s v="null"/>
    <s v="null"/>
    <s v="null"/>
    <s v="null"/>
    <s v="null"/>
    <n v="156"/>
    <n v="36.130000000000003"/>
    <x v="14"/>
    <x v="3"/>
    <s v="UPI"/>
  </r>
  <r>
    <x v="237"/>
    <x v="0"/>
    <x v="383"/>
    <s v="&quot;CNR2282162&quot;"/>
    <x v="2"/>
    <s v="&quot;CID7242372&quot;"/>
    <x v="1"/>
    <x v="89"/>
    <s v="Noida Film City"/>
    <x v="79"/>
    <n v="36.299999999999997"/>
    <s v="null"/>
    <s v="null"/>
    <s v="null"/>
    <s v="null"/>
    <s v="null"/>
    <s v="null"/>
    <n v="105"/>
    <n v="44.08"/>
    <x v="7"/>
    <x v="1"/>
    <s v="Credit Card"/>
  </r>
  <r>
    <x v="161"/>
    <x v="9"/>
    <x v="384"/>
    <s v="&quot;CNR4677505&quot;"/>
    <x v="3"/>
    <s v="&quot;CID3339585&quot;"/>
    <x v="1"/>
    <x v="71"/>
    <s v="Delhi Gate"/>
    <x v="36"/>
    <s v="null"/>
    <s v="null"/>
    <s v="null"/>
    <n v="1"/>
    <s v="More than permitted people in there"/>
    <s v="null"/>
    <s v="null"/>
    <s v="null"/>
    <s v="null"/>
    <x v="0"/>
    <x v="0"/>
    <s v="null"/>
  </r>
  <r>
    <x v="207"/>
    <x v="8"/>
    <x v="385"/>
    <s v="&quot;CNR8185605&quot;"/>
    <x v="4"/>
    <s v="&quot;CID9816010&quot;"/>
    <x v="1"/>
    <x v="80"/>
    <s v="Sultanpur"/>
    <x v="115"/>
    <s v="null"/>
    <n v="1"/>
    <s v="Change of plans"/>
    <s v="null"/>
    <s v="null"/>
    <s v="null"/>
    <s v="null"/>
    <s v="null"/>
    <s v="null"/>
    <x v="0"/>
    <x v="0"/>
    <s v="null"/>
  </r>
  <r>
    <x v="40"/>
    <x v="10"/>
    <x v="386"/>
    <s v="&quot;CNR5351433&quot;"/>
    <x v="2"/>
    <s v="&quot;CID4736469&quot;"/>
    <x v="2"/>
    <x v="96"/>
    <s v="Karkarduma"/>
    <x v="42"/>
    <n v="22"/>
    <s v="null"/>
    <s v="null"/>
    <s v="null"/>
    <s v="null"/>
    <s v="null"/>
    <s v="null"/>
    <n v="213"/>
    <n v="35.76"/>
    <x v="17"/>
    <x v="4"/>
    <s v="Debit Card"/>
  </r>
  <r>
    <x v="146"/>
    <x v="2"/>
    <x v="387"/>
    <s v="&quot;CNR8880913&quot;"/>
    <x v="2"/>
    <s v="&quot;CID4302311&quot;"/>
    <x v="4"/>
    <x v="78"/>
    <s v="Rajiv Chowk"/>
    <x v="42"/>
    <n v="19.600000000000001"/>
    <s v="null"/>
    <s v="null"/>
    <s v="null"/>
    <s v="null"/>
    <s v="null"/>
    <s v="null"/>
    <n v="620"/>
    <n v="45"/>
    <x v="2"/>
    <x v="18"/>
    <s v="Cash"/>
  </r>
  <r>
    <x v="242"/>
    <x v="5"/>
    <x v="388"/>
    <s v="&quot;CNR3643495&quot;"/>
    <x v="3"/>
    <s v="&quot;CID3072962&quot;"/>
    <x v="4"/>
    <x v="95"/>
    <s v="ITO"/>
    <x v="103"/>
    <s v="null"/>
    <s v="null"/>
    <s v="null"/>
    <n v="1"/>
    <s v="The customer was coughing/sick"/>
    <s v="null"/>
    <s v="null"/>
    <s v="null"/>
    <s v="null"/>
    <x v="0"/>
    <x v="0"/>
    <s v="null"/>
  </r>
  <r>
    <x v="36"/>
    <x v="3"/>
    <x v="389"/>
    <s v="&quot;CNR8399435&quot;"/>
    <x v="2"/>
    <s v="&quot;CID7010722&quot;"/>
    <x v="5"/>
    <x v="146"/>
    <s v="Vidhan Sabha"/>
    <x v="92"/>
    <n v="21.9"/>
    <s v="null"/>
    <s v="null"/>
    <s v="null"/>
    <s v="null"/>
    <s v="null"/>
    <s v="null"/>
    <n v="83"/>
    <n v="45.07"/>
    <x v="13"/>
    <x v="6"/>
    <s v="Credit Card"/>
  </r>
  <r>
    <x v="235"/>
    <x v="7"/>
    <x v="390"/>
    <s v="&quot;CNR5699093&quot;"/>
    <x v="3"/>
    <s v="&quot;CID6044294&quot;"/>
    <x v="1"/>
    <x v="152"/>
    <s v="Green Park"/>
    <x v="77"/>
    <s v="null"/>
    <s v="null"/>
    <s v="null"/>
    <n v="1"/>
    <s v="More than permitted people in there"/>
    <s v="null"/>
    <s v="null"/>
    <s v="null"/>
    <s v="null"/>
    <x v="0"/>
    <x v="0"/>
    <s v="null"/>
  </r>
  <r>
    <x v="243"/>
    <x v="7"/>
    <x v="391"/>
    <s v="&quot;CNR1090037&quot;"/>
    <x v="2"/>
    <s v="&quot;CID2369298&quot;"/>
    <x v="4"/>
    <x v="153"/>
    <s v="Rohini"/>
    <x v="116"/>
    <n v="41.6"/>
    <s v="null"/>
    <s v="null"/>
    <s v="null"/>
    <s v="null"/>
    <s v="null"/>
    <s v="null"/>
    <n v="821"/>
    <n v="3.86"/>
    <x v="10"/>
    <x v="1"/>
    <s v="Uber Wallet"/>
  </r>
  <r>
    <x v="244"/>
    <x v="8"/>
    <x v="392"/>
    <s v="&quot;CNR1672620&quot;"/>
    <x v="4"/>
    <s v="&quot;CID9094427&quot;"/>
    <x v="5"/>
    <x v="138"/>
    <s v="Cyber Hub"/>
    <x v="129"/>
    <s v="null"/>
    <n v="1"/>
    <s v="Change of plans"/>
    <s v="null"/>
    <s v="null"/>
    <s v="null"/>
    <s v="null"/>
    <s v="null"/>
    <s v="null"/>
    <x v="0"/>
    <x v="0"/>
    <s v="null"/>
  </r>
  <r>
    <x v="245"/>
    <x v="10"/>
    <x v="393"/>
    <s v="&quot;CNR4811296&quot;"/>
    <x v="2"/>
    <s v="&quot;CID7470261&quot;"/>
    <x v="3"/>
    <x v="19"/>
    <s v="Delhi Gate"/>
    <x v="125"/>
    <n v="44.8"/>
    <s v="null"/>
    <s v="null"/>
    <s v="null"/>
    <s v="null"/>
    <s v="null"/>
    <s v="null"/>
    <n v="176"/>
    <n v="49.18"/>
    <x v="11"/>
    <x v="4"/>
    <s v="UPI"/>
  </r>
  <r>
    <x v="67"/>
    <x v="7"/>
    <x v="394"/>
    <s v="&quot;CNR6421218&quot;"/>
    <x v="1"/>
    <s v="&quot;CID2328704&quot;"/>
    <x v="5"/>
    <x v="91"/>
    <s v="Shastri Park"/>
    <x v="30"/>
    <n v="21.9"/>
    <s v="null"/>
    <s v="null"/>
    <s v="null"/>
    <s v="null"/>
    <n v="1"/>
    <s v="Customer Demand"/>
    <n v="315"/>
    <n v="7.41"/>
    <x v="0"/>
    <x v="0"/>
    <s v="UPI"/>
  </r>
  <r>
    <x v="2"/>
    <x v="2"/>
    <x v="395"/>
    <s v="&quot;CNR7297536&quot;"/>
    <x v="2"/>
    <s v="&quot;CID3104231&quot;"/>
    <x v="2"/>
    <x v="32"/>
    <s v="Pitampura"/>
    <x v="73"/>
    <n v="18.7"/>
    <s v="null"/>
    <s v="null"/>
    <s v="null"/>
    <s v="null"/>
    <s v="null"/>
    <s v="null"/>
    <n v="82"/>
    <n v="14.49"/>
    <x v="2"/>
    <x v="6"/>
    <s v="UPI"/>
  </r>
  <r>
    <x v="115"/>
    <x v="11"/>
    <x v="396"/>
    <s v="&quot;CNR2290384&quot;"/>
    <x v="2"/>
    <s v="&quot;CID6067378&quot;"/>
    <x v="6"/>
    <x v="154"/>
    <s v="Rajiv Chowk"/>
    <x v="122"/>
    <n v="40.4"/>
    <s v="null"/>
    <s v="null"/>
    <s v="null"/>
    <s v="null"/>
    <s v="null"/>
    <s v="null"/>
    <n v="221"/>
    <n v="15.3"/>
    <x v="3"/>
    <x v="10"/>
    <s v="UPI"/>
  </r>
  <r>
    <x v="178"/>
    <x v="0"/>
    <x v="397"/>
    <s v="&quot;CNR2229358&quot;"/>
    <x v="4"/>
    <s v="&quot;CID7586583&quot;"/>
    <x v="3"/>
    <x v="87"/>
    <s v="Subhash Chowk"/>
    <x v="8"/>
    <s v="null"/>
    <n v="1"/>
    <s v="Wrong Address"/>
    <s v="null"/>
    <s v="null"/>
    <s v="null"/>
    <s v="null"/>
    <s v="null"/>
    <s v="null"/>
    <x v="0"/>
    <x v="0"/>
    <s v="null"/>
  </r>
  <r>
    <x v="246"/>
    <x v="10"/>
    <x v="398"/>
    <s v="&quot;CNR4246484&quot;"/>
    <x v="3"/>
    <s v="&quot;CID4625807&quot;"/>
    <x v="0"/>
    <x v="69"/>
    <s v="Saidulajab"/>
    <x v="44"/>
    <s v="null"/>
    <s v="null"/>
    <s v="null"/>
    <n v="1"/>
    <s v="Customer related issue"/>
    <s v="null"/>
    <s v="null"/>
    <s v="null"/>
    <s v="null"/>
    <x v="0"/>
    <x v="0"/>
    <s v="null"/>
  </r>
  <r>
    <x v="247"/>
    <x v="10"/>
    <x v="399"/>
    <s v="&quot;CNR9882850&quot;"/>
    <x v="3"/>
    <s v="&quot;CID8976182&quot;"/>
    <x v="2"/>
    <x v="83"/>
    <s v="Manesar"/>
    <x v="56"/>
    <s v="null"/>
    <s v="null"/>
    <s v="null"/>
    <n v="1"/>
    <s v="Customer related issue"/>
    <s v="null"/>
    <s v="null"/>
    <s v="null"/>
    <s v="null"/>
    <x v="0"/>
    <x v="0"/>
    <s v="null"/>
  </r>
  <r>
    <x v="92"/>
    <x v="6"/>
    <x v="400"/>
    <s v="&quot;CNR3234899&quot;"/>
    <x v="2"/>
    <s v="&quot;CID1908216&quot;"/>
    <x v="4"/>
    <x v="62"/>
    <s v="IGNOU Road"/>
    <x v="126"/>
    <n v="30.2"/>
    <s v="null"/>
    <s v="null"/>
    <s v="null"/>
    <s v="null"/>
    <s v="null"/>
    <s v="null"/>
    <n v="901"/>
    <n v="15.53"/>
    <x v="5"/>
    <x v="4"/>
    <s v="Uber Wallet"/>
  </r>
  <r>
    <x v="248"/>
    <x v="5"/>
    <x v="401"/>
    <s v="&quot;CNR9159821&quot;"/>
    <x v="2"/>
    <s v="&quot;CID7212119&quot;"/>
    <x v="1"/>
    <x v="132"/>
    <s v="Gurgaon Railway Station"/>
    <x v="125"/>
    <n v="24.7"/>
    <s v="null"/>
    <s v="null"/>
    <s v="null"/>
    <s v="null"/>
    <s v="null"/>
    <s v="null"/>
    <n v="1523"/>
    <n v="6.84"/>
    <x v="4"/>
    <x v="3"/>
    <s v="UPI"/>
  </r>
  <r>
    <x v="249"/>
    <x v="5"/>
    <x v="402"/>
    <s v="&quot;CNR3377580&quot;"/>
    <x v="0"/>
    <s v="&quot;CID3773482&quot;"/>
    <x v="2"/>
    <x v="39"/>
    <s v="Huda City Centre"/>
    <x v="0"/>
    <s v="null"/>
    <s v="null"/>
    <s v="null"/>
    <s v="null"/>
    <s v="null"/>
    <s v="null"/>
    <s v="null"/>
    <s v="null"/>
    <s v="null"/>
    <x v="0"/>
    <x v="0"/>
    <s v="null"/>
  </r>
  <r>
    <x v="250"/>
    <x v="10"/>
    <x v="403"/>
    <s v="&quot;CNR7286285&quot;"/>
    <x v="2"/>
    <s v="&quot;CID6567281&quot;"/>
    <x v="3"/>
    <x v="85"/>
    <s v="Dilshad Garden"/>
    <x v="44"/>
    <n v="21.7"/>
    <s v="null"/>
    <s v="null"/>
    <s v="null"/>
    <s v="null"/>
    <s v="null"/>
    <s v="null"/>
    <n v="582"/>
    <n v="27.22"/>
    <x v="19"/>
    <x v="3"/>
    <s v="Cash"/>
  </r>
  <r>
    <x v="167"/>
    <x v="8"/>
    <x v="404"/>
    <s v="&quot;CNR8901989&quot;"/>
    <x v="2"/>
    <s v="&quot;CID4529927&quot;"/>
    <x v="2"/>
    <x v="5"/>
    <s v="Jasola"/>
    <x v="78"/>
    <n v="18.600000000000001"/>
    <s v="null"/>
    <s v="null"/>
    <s v="null"/>
    <s v="null"/>
    <s v="null"/>
    <s v="null"/>
    <n v="133"/>
    <n v="31.65"/>
    <x v="16"/>
    <x v="8"/>
    <s v="UPI"/>
  </r>
  <r>
    <x v="251"/>
    <x v="5"/>
    <x v="405"/>
    <s v="&quot;CNR9222191&quot;"/>
    <x v="2"/>
    <s v="&quot;CID9902256&quot;"/>
    <x v="2"/>
    <x v="151"/>
    <s v="Aya Nagar"/>
    <x v="103"/>
    <n v="21"/>
    <s v="null"/>
    <s v="null"/>
    <s v="null"/>
    <s v="null"/>
    <s v="null"/>
    <s v="null"/>
    <n v="508"/>
    <n v="38.25"/>
    <x v="16"/>
    <x v="2"/>
    <s v="Credit Card"/>
  </r>
  <r>
    <x v="117"/>
    <x v="11"/>
    <x v="406"/>
    <s v="&quot;CNR6647107&quot;"/>
    <x v="4"/>
    <s v="&quot;CID7253416&quot;"/>
    <x v="2"/>
    <x v="113"/>
    <s v="Kashmere Gate ISBT"/>
    <x v="65"/>
    <s v="null"/>
    <n v="1"/>
    <s v="Driver asked to cancel"/>
    <s v="null"/>
    <s v="null"/>
    <s v="null"/>
    <s v="null"/>
    <s v="null"/>
    <s v="null"/>
    <x v="0"/>
    <x v="0"/>
    <s v="null"/>
  </r>
  <r>
    <x v="109"/>
    <x v="8"/>
    <x v="407"/>
    <s v="&quot;CNR9775227&quot;"/>
    <x v="2"/>
    <s v="&quot;CID4405721&quot;"/>
    <x v="4"/>
    <x v="14"/>
    <s v="Chhatarpur"/>
    <x v="56"/>
    <n v="22"/>
    <s v="null"/>
    <s v="null"/>
    <s v="null"/>
    <s v="null"/>
    <s v="null"/>
    <s v="null"/>
    <n v="999"/>
    <n v="12.14"/>
    <x v="5"/>
    <x v="4"/>
    <s v="Uber Wallet"/>
  </r>
  <r>
    <x v="252"/>
    <x v="3"/>
    <x v="408"/>
    <s v="&quot;CNR5436498&quot;"/>
    <x v="2"/>
    <s v="&quot;CID6124996&quot;"/>
    <x v="2"/>
    <x v="120"/>
    <s v="Janakpuri"/>
    <x v="32"/>
    <n v="25.8"/>
    <s v="null"/>
    <s v="null"/>
    <s v="null"/>
    <s v="null"/>
    <s v="null"/>
    <s v="null"/>
    <n v="713"/>
    <n v="9.76"/>
    <x v="14"/>
    <x v="5"/>
    <s v="UPI"/>
  </r>
  <r>
    <x v="253"/>
    <x v="7"/>
    <x v="409"/>
    <s v="&quot;CNR9394835&quot;"/>
    <x v="2"/>
    <s v="&quot;CID3125278&quot;"/>
    <x v="3"/>
    <x v="59"/>
    <s v="Sadar Bazar Gurgaon"/>
    <x v="119"/>
    <n v="35.200000000000003"/>
    <s v="null"/>
    <s v="null"/>
    <s v="null"/>
    <s v="null"/>
    <s v="null"/>
    <s v="null"/>
    <n v="96"/>
    <n v="10.63"/>
    <x v="7"/>
    <x v="10"/>
    <s v="UPI"/>
  </r>
  <r>
    <x v="146"/>
    <x v="2"/>
    <x v="410"/>
    <s v="&quot;CNR7811486&quot;"/>
    <x v="2"/>
    <s v="&quot;CID3203722&quot;"/>
    <x v="2"/>
    <x v="24"/>
    <s v="Narsinghpur"/>
    <x v="46"/>
    <n v="36.799999999999997"/>
    <s v="null"/>
    <s v="null"/>
    <s v="null"/>
    <s v="null"/>
    <s v="null"/>
    <s v="null"/>
    <n v="595"/>
    <n v="15.32"/>
    <x v="2"/>
    <x v="2"/>
    <s v="UPI"/>
  </r>
  <r>
    <x v="183"/>
    <x v="4"/>
    <x v="411"/>
    <s v="&quot;CNR9208205&quot;"/>
    <x v="3"/>
    <s v="&quot;CID2712013&quot;"/>
    <x v="1"/>
    <x v="7"/>
    <s v="Sohna Road"/>
    <x v="125"/>
    <s v="null"/>
    <s v="null"/>
    <s v="null"/>
    <n v="1"/>
    <s v="The customer was coughing/sick"/>
    <s v="null"/>
    <s v="null"/>
    <s v="null"/>
    <s v="null"/>
    <x v="0"/>
    <x v="0"/>
    <s v="null"/>
  </r>
  <r>
    <x v="190"/>
    <x v="0"/>
    <x v="412"/>
    <s v="&quot;CNR6583672&quot;"/>
    <x v="2"/>
    <s v="&quot;CID2281519&quot;"/>
    <x v="2"/>
    <x v="4"/>
    <s v="Rajiv Nagar"/>
    <x v="11"/>
    <n v="20.5"/>
    <s v="null"/>
    <s v="null"/>
    <s v="null"/>
    <s v="null"/>
    <s v="null"/>
    <s v="null"/>
    <n v="256"/>
    <n v="8.76"/>
    <x v="12"/>
    <x v="2"/>
    <s v="Debit Card"/>
  </r>
  <r>
    <x v="75"/>
    <x v="7"/>
    <x v="413"/>
    <s v="&quot;CNR5706641&quot;"/>
    <x v="2"/>
    <s v="&quot;CID5130718&quot;"/>
    <x v="2"/>
    <x v="39"/>
    <s v="Connaught Place"/>
    <x v="118"/>
    <n v="37.200000000000003"/>
    <s v="null"/>
    <s v="null"/>
    <s v="null"/>
    <s v="null"/>
    <s v="null"/>
    <s v="null"/>
    <n v="449"/>
    <n v="22.4"/>
    <x v="1"/>
    <x v="10"/>
    <s v="Uber Wallet"/>
  </r>
  <r>
    <x v="111"/>
    <x v="2"/>
    <x v="414"/>
    <s v="&quot;CNR8005201&quot;"/>
    <x v="3"/>
    <s v="&quot;CID8692503&quot;"/>
    <x v="4"/>
    <x v="45"/>
    <s v="Noida Sector 62"/>
    <x v="38"/>
    <s v="null"/>
    <s v="null"/>
    <s v="null"/>
    <n v="1"/>
    <s v="Customer related issue"/>
    <s v="null"/>
    <s v="null"/>
    <s v="null"/>
    <s v="null"/>
    <x v="0"/>
    <x v="0"/>
    <s v="null"/>
  </r>
  <r>
    <x v="254"/>
    <x v="5"/>
    <x v="415"/>
    <s v="&quot;CNR7534075&quot;"/>
    <x v="2"/>
    <s v="&quot;CID4275914&quot;"/>
    <x v="3"/>
    <x v="122"/>
    <s v="Greater Kailash"/>
    <x v="2"/>
    <n v="40"/>
    <s v="null"/>
    <s v="null"/>
    <s v="null"/>
    <s v="null"/>
    <s v="null"/>
    <s v="null"/>
    <n v="373"/>
    <n v="12.73"/>
    <x v="2"/>
    <x v="6"/>
    <s v="Cash"/>
  </r>
  <r>
    <x v="229"/>
    <x v="8"/>
    <x v="416"/>
    <s v="&quot;CNR1712916&quot;"/>
    <x v="2"/>
    <s v="&quot;CID9416242&quot;"/>
    <x v="5"/>
    <x v="152"/>
    <s v="Preet Vihar"/>
    <x v="81"/>
    <n v="38.5"/>
    <s v="null"/>
    <s v="null"/>
    <s v="null"/>
    <s v="null"/>
    <s v="null"/>
    <s v="null"/>
    <n v="445"/>
    <n v="28.77"/>
    <x v="6"/>
    <x v="6"/>
    <s v="UPI"/>
  </r>
  <r>
    <x v="73"/>
    <x v="3"/>
    <x v="417"/>
    <s v="&quot;CNR8081487&quot;"/>
    <x v="2"/>
    <s v="&quot;CID1030753&quot;"/>
    <x v="3"/>
    <x v="97"/>
    <s v="Rithala"/>
    <x v="95"/>
    <n v="20.6"/>
    <s v="null"/>
    <s v="null"/>
    <s v="null"/>
    <s v="null"/>
    <s v="null"/>
    <s v="null"/>
    <n v="1563"/>
    <n v="8.86"/>
    <x v="7"/>
    <x v="4"/>
    <s v="Cash"/>
  </r>
  <r>
    <x v="255"/>
    <x v="3"/>
    <x v="418"/>
    <s v="&quot;CNR4056850&quot;"/>
    <x v="3"/>
    <s v="&quot;CID5921257&quot;"/>
    <x v="2"/>
    <x v="134"/>
    <s v="Gurgaon Sector 29"/>
    <x v="41"/>
    <s v="null"/>
    <s v="null"/>
    <s v="null"/>
    <n v="1"/>
    <s v="Personal &amp; Car related issues"/>
    <s v="null"/>
    <s v="null"/>
    <s v="null"/>
    <s v="null"/>
    <x v="0"/>
    <x v="0"/>
    <s v="null"/>
  </r>
  <r>
    <x v="242"/>
    <x v="5"/>
    <x v="419"/>
    <s v="&quot;CNR6714334&quot;"/>
    <x v="0"/>
    <s v="&quot;CID3077805&quot;"/>
    <x v="2"/>
    <x v="149"/>
    <s v="Saket"/>
    <x v="0"/>
    <s v="null"/>
    <s v="null"/>
    <s v="null"/>
    <s v="null"/>
    <s v="null"/>
    <s v="null"/>
    <s v="null"/>
    <s v="null"/>
    <s v="null"/>
    <x v="0"/>
    <x v="0"/>
    <s v="null"/>
  </r>
  <r>
    <x v="256"/>
    <x v="0"/>
    <x v="420"/>
    <s v="&quot;CNR7702733&quot;"/>
    <x v="0"/>
    <s v="&quot;CID7542922&quot;"/>
    <x v="1"/>
    <x v="98"/>
    <s v="Delhi Gate"/>
    <x v="0"/>
    <s v="null"/>
    <s v="null"/>
    <s v="null"/>
    <s v="null"/>
    <s v="null"/>
    <s v="null"/>
    <s v="null"/>
    <s v="null"/>
    <s v="null"/>
    <x v="0"/>
    <x v="0"/>
    <s v="null"/>
  </r>
  <r>
    <x v="257"/>
    <x v="9"/>
    <x v="421"/>
    <s v="&quot;CNR9212883&quot;"/>
    <x v="2"/>
    <s v="&quot;CID7774837&quot;"/>
    <x v="1"/>
    <x v="142"/>
    <s v="Botanical Garden"/>
    <x v="11"/>
    <n v="35.299999999999997"/>
    <s v="null"/>
    <s v="null"/>
    <s v="null"/>
    <s v="null"/>
    <s v="null"/>
    <s v="null"/>
    <n v="486"/>
    <n v="30.28"/>
    <x v="2"/>
    <x v="14"/>
    <s v="Debit Card"/>
  </r>
  <r>
    <x v="77"/>
    <x v="6"/>
    <x v="422"/>
    <s v="&quot;CNR9154108&quot;"/>
    <x v="2"/>
    <s v="&quot;CID7990974&quot;"/>
    <x v="3"/>
    <x v="101"/>
    <s v="Tilak Nagar"/>
    <x v="45"/>
    <n v="33.1"/>
    <s v="null"/>
    <s v="null"/>
    <s v="null"/>
    <s v="null"/>
    <s v="null"/>
    <s v="null"/>
    <n v="480"/>
    <n v="40.380000000000003"/>
    <x v="6"/>
    <x v="13"/>
    <s v="Cash"/>
  </r>
  <r>
    <x v="8"/>
    <x v="4"/>
    <x v="423"/>
    <s v="&quot;CNR6429307&quot;"/>
    <x v="2"/>
    <s v="&quot;CID6093452&quot;"/>
    <x v="4"/>
    <x v="138"/>
    <s v="Uttam Nagar"/>
    <x v="53"/>
    <n v="26.5"/>
    <s v="null"/>
    <s v="null"/>
    <s v="null"/>
    <s v="null"/>
    <s v="null"/>
    <s v="null"/>
    <n v="162"/>
    <n v="45.56"/>
    <x v="18"/>
    <x v="3"/>
    <s v="Credit Card"/>
  </r>
  <r>
    <x v="258"/>
    <x v="11"/>
    <x v="424"/>
    <s v="&quot;CNR4933209&quot;"/>
    <x v="2"/>
    <s v="&quot;CID7088241&quot;"/>
    <x v="4"/>
    <x v="110"/>
    <s v="Vinobapuri"/>
    <x v="6"/>
    <n v="34"/>
    <s v="null"/>
    <s v="null"/>
    <s v="null"/>
    <s v="null"/>
    <s v="null"/>
    <s v="null"/>
    <n v="964"/>
    <n v="47.18"/>
    <x v="2"/>
    <x v="4"/>
    <s v="Debit Card"/>
  </r>
  <r>
    <x v="259"/>
    <x v="0"/>
    <x v="425"/>
    <s v="&quot;CNR2979424&quot;"/>
    <x v="2"/>
    <s v="&quot;CID8679276&quot;"/>
    <x v="4"/>
    <x v="79"/>
    <s v="Mandi House"/>
    <x v="43"/>
    <n v="29.1"/>
    <s v="null"/>
    <s v="null"/>
    <s v="null"/>
    <s v="null"/>
    <s v="null"/>
    <s v="null"/>
    <n v="68"/>
    <n v="46.93"/>
    <x v="15"/>
    <x v="1"/>
    <s v="Cash"/>
  </r>
  <r>
    <x v="69"/>
    <x v="1"/>
    <x v="426"/>
    <s v="&quot;CNR3332119&quot;"/>
    <x v="3"/>
    <s v="&quot;CID6481348&quot;"/>
    <x v="1"/>
    <x v="88"/>
    <s v="Lajpat Nagar"/>
    <x v="108"/>
    <s v="null"/>
    <s v="null"/>
    <s v="null"/>
    <n v="1"/>
    <s v="The customer was coughing/sick"/>
    <s v="null"/>
    <s v="null"/>
    <s v="null"/>
    <s v="null"/>
    <x v="0"/>
    <x v="0"/>
    <s v="null"/>
  </r>
  <r>
    <x v="260"/>
    <x v="9"/>
    <x v="427"/>
    <s v="&quot;CNR8678279&quot;"/>
    <x v="2"/>
    <s v="&quot;CID1487975&quot;"/>
    <x v="2"/>
    <x v="69"/>
    <s v="GTB Nagar"/>
    <x v="72"/>
    <n v="22.7"/>
    <s v="null"/>
    <s v="null"/>
    <s v="null"/>
    <s v="null"/>
    <s v="null"/>
    <s v="null"/>
    <n v="77"/>
    <n v="43.81"/>
    <x v="12"/>
    <x v="14"/>
    <s v="Uber Wallet"/>
  </r>
  <r>
    <x v="64"/>
    <x v="7"/>
    <x v="428"/>
    <s v="&quot;CNR1559285&quot;"/>
    <x v="2"/>
    <s v="&quot;CID2693633&quot;"/>
    <x v="2"/>
    <x v="87"/>
    <s v="Ashok Vihar"/>
    <x v="89"/>
    <n v="20.6"/>
    <s v="null"/>
    <s v="null"/>
    <s v="null"/>
    <s v="null"/>
    <s v="null"/>
    <s v="null"/>
    <n v="1596"/>
    <n v="38.53"/>
    <x v="2"/>
    <x v="10"/>
    <s v="Debit Card"/>
  </r>
  <r>
    <x v="261"/>
    <x v="8"/>
    <x v="429"/>
    <s v="&quot;CNR7024730&quot;"/>
    <x v="3"/>
    <s v="&quot;CID4838658&quot;"/>
    <x v="5"/>
    <x v="34"/>
    <s v="Inderlok"/>
    <x v="95"/>
    <s v="null"/>
    <s v="null"/>
    <s v="null"/>
    <n v="1"/>
    <s v="The customer was coughing/sick"/>
    <s v="null"/>
    <s v="null"/>
    <s v="null"/>
    <s v="null"/>
    <x v="0"/>
    <x v="0"/>
    <s v="null"/>
  </r>
  <r>
    <x v="262"/>
    <x v="5"/>
    <x v="430"/>
    <s v="&quot;CNR6839076&quot;"/>
    <x v="0"/>
    <s v="&quot;CID8166401&quot;"/>
    <x v="2"/>
    <x v="20"/>
    <s v="Moti Nagar"/>
    <x v="0"/>
    <s v="null"/>
    <s v="null"/>
    <s v="null"/>
    <s v="null"/>
    <s v="null"/>
    <s v="null"/>
    <s v="null"/>
    <s v="null"/>
    <s v="null"/>
    <x v="0"/>
    <x v="0"/>
    <s v="null"/>
  </r>
  <r>
    <x v="229"/>
    <x v="8"/>
    <x v="431"/>
    <s v="&quot;CNR7905117&quot;"/>
    <x v="2"/>
    <s v="&quot;CID1416555&quot;"/>
    <x v="4"/>
    <x v="155"/>
    <s v="Rohini West"/>
    <x v="40"/>
    <n v="26.6"/>
    <s v="null"/>
    <s v="null"/>
    <s v="null"/>
    <s v="null"/>
    <s v="null"/>
    <s v="null"/>
    <n v="983"/>
    <n v="33.61"/>
    <x v="10"/>
    <x v="4"/>
    <s v="Cash"/>
  </r>
  <r>
    <x v="260"/>
    <x v="9"/>
    <x v="432"/>
    <s v="&quot;CNR5759870&quot;"/>
    <x v="2"/>
    <s v="&quot;CID2323422&quot;"/>
    <x v="5"/>
    <x v="156"/>
    <s v="Moti Nagar"/>
    <x v="43"/>
    <n v="29.4"/>
    <s v="null"/>
    <s v="null"/>
    <s v="null"/>
    <s v="null"/>
    <s v="null"/>
    <s v="null"/>
    <n v="68"/>
    <n v="24.62"/>
    <x v="9"/>
    <x v="13"/>
    <s v="Cash"/>
  </r>
  <r>
    <x v="46"/>
    <x v="9"/>
    <x v="433"/>
    <s v="&quot;CNR3578899&quot;"/>
    <x v="2"/>
    <s v="&quot;CID5661102&quot;"/>
    <x v="3"/>
    <x v="76"/>
    <s v="Pulbangash"/>
    <x v="92"/>
    <n v="32"/>
    <s v="null"/>
    <s v="null"/>
    <s v="null"/>
    <s v="null"/>
    <s v="null"/>
    <s v="null"/>
    <n v="493"/>
    <n v="33.799999999999997"/>
    <x v="1"/>
    <x v="6"/>
    <s v="UPI"/>
  </r>
  <r>
    <x v="36"/>
    <x v="3"/>
    <x v="434"/>
    <s v="&quot;CNR1089514&quot;"/>
    <x v="3"/>
    <s v="&quot;CID4125399&quot;"/>
    <x v="1"/>
    <x v="96"/>
    <s v="Paharganj"/>
    <x v="50"/>
    <s v="null"/>
    <s v="null"/>
    <s v="null"/>
    <n v="1"/>
    <s v="Personal &amp; Car related issues"/>
    <s v="null"/>
    <s v="null"/>
    <s v="null"/>
    <s v="null"/>
    <x v="0"/>
    <x v="0"/>
    <s v="null"/>
  </r>
  <r>
    <x v="263"/>
    <x v="7"/>
    <x v="435"/>
    <s v="&quot;CNR9835984&quot;"/>
    <x v="2"/>
    <s v="&quot;CID9964638&quot;"/>
    <x v="2"/>
    <x v="27"/>
    <s v="Gurgaon Sector 56"/>
    <x v="58"/>
    <n v="44.4"/>
    <s v="null"/>
    <s v="null"/>
    <s v="null"/>
    <s v="null"/>
    <s v="null"/>
    <s v="null"/>
    <n v="745"/>
    <n v="32.090000000000003"/>
    <x v="2"/>
    <x v="3"/>
    <s v="Credit Card"/>
  </r>
  <r>
    <x v="264"/>
    <x v="10"/>
    <x v="436"/>
    <s v="&quot;CNR1643972&quot;"/>
    <x v="3"/>
    <s v="&quot;CID3506515&quot;"/>
    <x v="0"/>
    <x v="76"/>
    <s v="Nehru Place"/>
    <x v="88"/>
    <s v="null"/>
    <s v="null"/>
    <s v="null"/>
    <n v="1"/>
    <s v="Customer related issue"/>
    <s v="null"/>
    <s v="null"/>
    <s v="null"/>
    <s v="null"/>
    <x v="0"/>
    <x v="0"/>
    <s v="null"/>
  </r>
  <r>
    <x v="167"/>
    <x v="8"/>
    <x v="437"/>
    <s v="&quot;CNR2939495&quot;"/>
    <x v="2"/>
    <s v="&quot;CID2801589&quot;"/>
    <x v="3"/>
    <x v="157"/>
    <s v="Shastri Nagar"/>
    <x v="124"/>
    <n v="40.4"/>
    <s v="null"/>
    <s v="null"/>
    <s v="null"/>
    <s v="null"/>
    <s v="null"/>
    <s v="null"/>
    <n v="304"/>
    <n v="13.99"/>
    <x v="17"/>
    <x v="10"/>
    <s v="Uber Wallet"/>
  </r>
  <r>
    <x v="201"/>
    <x v="2"/>
    <x v="438"/>
    <s v="&quot;CNR4997006&quot;"/>
    <x v="3"/>
    <s v="&quot;CID6970636&quot;"/>
    <x v="0"/>
    <x v="89"/>
    <s v="Chanakyapuri"/>
    <x v="94"/>
    <s v="null"/>
    <s v="null"/>
    <s v="null"/>
    <n v="1"/>
    <s v="Personal &amp; Car related issues"/>
    <s v="null"/>
    <s v="null"/>
    <s v="null"/>
    <s v="null"/>
    <x v="0"/>
    <x v="0"/>
    <s v="null"/>
  </r>
  <r>
    <x v="1"/>
    <x v="1"/>
    <x v="439"/>
    <s v="&quot;CNR3684938&quot;"/>
    <x v="2"/>
    <s v="&quot;CID6381738&quot;"/>
    <x v="2"/>
    <x v="127"/>
    <s v="Subhash Chowk"/>
    <x v="80"/>
    <n v="17.100000000000001"/>
    <s v="null"/>
    <s v="null"/>
    <s v="null"/>
    <s v="null"/>
    <s v="null"/>
    <s v="null"/>
    <n v="402"/>
    <n v="14.13"/>
    <x v="2"/>
    <x v="5"/>
    <s v="UPI"/>
  </r>
  <r>
    <x v="89"/>
    <x v="4"/>
    <x v="440"/>
    <s v="&quot;CNR8016082&quot;"/>
    <x v="0"/>
    <s v="&quot;CID3400110&quot;"/>
    <x v="2"/>
    <x v="34"/>
    <s v="Greater Noida"/>
    <x v="0"/>
    <s v="null"/>
    <s v="null"/>
    <s v="null"/>
    <s v="null"/>
    <s v="null"/>
    <s v="null"/>
    <s v="null"/>
    <s v="null"/>
    <s v="null"/>
    <x v="0"/>
    <x v="0"/>
    <s v="null"/>
  </r>
  <r>
    <x v="26"/>
    <x v="10"/>
    <x v="441"/>
    <s v="&quot;CNR9166884&quot;"/>
    <x v="2"/>
    <s v="&quot;CID3068872&quot;"/>
    <x v="5"/>
    <x v="40"/>
    <s v="Palam Vihar"/>
    <x v="130"/>
    <n v="36.5"/>
    <s v="null"/>
    <s v="null"/>
    <s v="null"/>
    <s v="null"/>
    <s v="null"/>
    <s v="null"/>
    <n v="320"/>
    <n v="34.86"/>
    <x v="9"/>
    <x v="10"/>
    <s v="Cash"/>
  </r>
  <r>
    <x v="256"/>
    <x v="0"/>
    <x v="442"/>
    <s v="&quot;CNR5034553&quot;"/>
    <x v="2"/>
    <s v="&quot;CID2838731&quot;"/>
    <x v="4"/>
    <x v="0"/>
    <s v="Noida Film City"/>
    <x v="25"/>
    <n v="34.6"/>
    <s v="null"/>
    <s v="null"/>
    <s v="null"/>
    <s v="null"/>
    <s v="null"/>
    <s v="null"/>
    <n v="1247"/>
    <n v="43.94"/>
    <x v="12"/>
    <x v="18"/>
    <s v="Uber Wallet"/>
  </r>
  <r>
    <x v="151"/>
    <x v="4"/>
    <x v="443"/>
    <s v="&quot;CNR5994760&quot;"/>
    <x v="2"/>
    <s v="&quot;CID8677699&quot;"/>
    <x v="3"/>
    <x v="124"/>
    <s v="Basai Dhankot"/>
    <x v="8"/>
    <n v="29"/>
    <s v="null"/>
    <s v="null"/>
    <s v="null"/>
    <s v="null"/>
    <s v="null"/>
    <s v="null"/>
    <n v="358"/>
    <n v="24.56"/>
    <x v="18"/>
    <x v="12"/>
    <s v="UPI"/>
  </r>
  <r>
    <x v="231"/>
    <x v="1"/>
    <x v="444"/>
    <s v="&quot;CNR8280553&quot;"/>
    <x v="2"/>
    <s v="&quot;CID4089830&quot;"/>
    <x v="2"/>
    <x v="158"/>
    <s v="RK Puram"/>
    <x v="131"/>
    <n v="31.6"/>
    <s v="null"/>
    <s v="null"/>
    <s v="null"/>
    <s v="null"/>
    <s v="null"/>
    <s v="null"/>
    <n v="86"/>
    <n v="32.14"/>
    <x v="2"/>
    <x v="4"/>
    <s v="UPI"/>
  </r>
  <r>
    <x v="127"/>
    <x v="1"/>
    <x v="445"/>
    <s v="&quot;CNR6304645&quot;"/>
    <x v="3"/>
    <s v="&quot;CID8878002&quot;"/>
    <x v="1"/>
    <x v="18"/>
    <s v="Subhash Chowk"/>
    <x v="19"/>
    <s v="null"/>
    <s v="null"/>
    <s v="null"/>
    <n v="1"/>
    <s v="More than permitted people in there"/>
    <s v="null"/>
    <s v="null"/>
    <s v="null"/>
    <s v="null"/>
    <x v="0"/>
    <x v="0"/>
    <s v="null"/>
  </r>
  <r>
    <x v="236"/>
    <x v="5"/>
    <x v="446"/>
    <s v="&quot;CNR8726920&quot;"/>
    <x v="4"/>
    <s v="&quot;CID1004784&quot;"/>
    <x v="3"/>
    <x v="88"/>
    <s v="Central Secretariat"/>
    <x v="47"/>
    <s v="null"/>
    <n v="1"/>
    <s v="Wrong Address"/>
    <s v="null"/>
    <s v="null"/>
    <s v="null"/>
    <s v="null"/>
    <s v="null"/>
    <s v="null"/>
    <x v="0"/>
    <x v="0"/>
    <s v="null"/>
  </r>
  <r>
    <x v="60"/>
    <x v="0"/>
    <x v="447"/>
    <s v="&quot;CNR1583241&quot;"/>
    <x v="2"/>
    <s v="&quot;CID3000345&quot;"/>
    <x v="5"/>
    <x v="19"/>
    <s v="Sadar Bazar Gurgaon"/>
    <x v="132"/>
    <n v="16.8"/>
    <s v="null"/>
    <s v="null"/>
    <s v="null"/>
    <s v="null"/>
    <s v="null"/>
    <s v="null"/>
    <n v="85"/>
    <n v="43.31"/>
    <x v="2"/>
    <x v="1"/>
    <s v="Uber Wallet"/>
  </r>
  <r>
    <x v="265"/>
    <x v="2"/>
    <x v="448"/>
    <s v="&quot;CNR4484602&quot;"/>
    <x v="2"/>
    <s v="&quot;CID7199241&quot;"/>
    <x v="1"/>
    <x v="41"/>
    <s v="Saket"/>
    <x v="113"/>
    <n v="41.7"/>
    <s v="null"/>
    <s v="null"/>
    <s v="null"/>
    <s v="null"/>
    <s v="null"/>
    <s v="null"/>
    <n v="311"/>
    <n v="30.94"/>
    <x v="14"/>
    <x v="4"/>
    <s v="UPI"/>
  </r>
  <r>
    <x v="138"/>
    <x v="9"/>
    <x v="449"/>
    <s v="&quot;CNR8525908&quot;"/>
    <x v="3"/>
    <s v="&quot;CID4158986&quot;"/>
    <x v="3"/>
    <x v="48"/>
    <s v="Rajouri Garden"/>
    <x v="116"/>
    <s v="null"/>
    <s v="null"/>
    <s v="null"/>
    <n v="1"/>
    <s v="Customer related issue"/>
    <s v="null"/>
    <s v="null"/>
    <s v="null"/>
    <s v="null"/>
    <x v="0"/>
    <x v="0"/>
    <s v="null"/>
  </r>
  <r>
    <x v="36"/>
    <x v="3"/>
    <x v="450"/>
    <s v="&quot;CNR8491180&quot;"/>
    <x v="1"/>
    <s v="&quot;CID4510240&quot;"/>
    <x v="2"/>
    <x v="8"/>
    <s v="Uttam Nagar"/>
    <x v="4"/>
    <n v="24.9"/>
    <s v="null"/>
    <s v="null"/>
    <s v="null"/>
    <s v="null"/>
    <n v="1"/>
    <s v="Customer Demand"/>
    <n v="98"/>
    <n v="7.87"/>
    <x v="0"/>
    <x v="0"/>
    <s v="Cash"/>
  </r>
  <r>
    <x v="266"/>
    <x v="9"/>
    <x v="451"/>
    <s v="&quot;CNR4866588&quot;"/>
    <x v="2"/>
    <s v="&quot;CID1441937&quot;"/>
    <x v="5"/>
    <x v="1"/>
    <s v="Udyog Vihar Phase 4"/>
    <x v="46"/>
    <n v="26.3"/>
    <s v="null"/>
    <s v="null"/>
    <s v="null"/>
    <s v="null"/>
    <s v="null"/>
    <s v="null"/>
    <n v="130"/>
    <n v="15.24"/>
    <x v="14"/>
    <x v="4"/>
    <s v="Uber Wallet"/>
  </r>
  <r>
    <x v="231"/>
    <x v="1"/>
    <x v="452"/>
    <s v="&quot;CNR1107433&quot;"/>
    <x v="2"/>
    <s v="&quot;CID3758873&quot;"/>
    <x v="5"/>
    <x v="9"/>
    <s v="Lajpat Nagar"/>
    <x v="107"/>
    <n v="20.5"/>
    <s v="null"/>
    <s v="null"/>
    <s v="null"/>
    <s v="null"/>
    <s v="null"/>
    <s v="null"/>
    <n v="367"/>
    <n v="27.38"/>
    <x v="6"/>
    <x v="6"/>
    <s v="Uber Wallet"/>
  </r>
  <r>
    <x v="100"/>
    <x v="0"/>
    <x v="453"/>
    <s v="&quot;CNR5804680&quot;"/>
    <x v="2"/>
    <s v="&quot;CID5921510&quot;"/>
    <x v="3"/>
    <x v="13"/>
    <s v="Sadar Bazar Gurgaon"/>
    <x v="95"/>
    <n v="28.7"/>
    <s v="null"/>
    <s v="null"/>
    <s v="null"/>
    <s v="null"/>
    <s v="null"/>
    <s v="null"/>
    <n v="420"/>
    <n v="4.5"/>
    <x v="2"/>
    <x v="6"/>
    <s v="UPI"/>
  </r>
  <r>
    <x v="169"/>
    <x v="8"/>
    <x v="454"/>
    <s v="&quot;CNR3635060&quot;"/>
    <x v="2"/>
    <s v="&quot;CID5212455&quot;"/>
    <x v="6"/>
    <x v="140"/>
    <s v="Nawada"/>
    <x v="109"/>
    <n v="19.399999999999999"/>
    <s v="null"/>
    <s v="null"/>
    <s v="null"/>
    <s v="null"/>
    <s v="null"/>
    <s v="null"/>
    <n v="510"/>
    <n v="9.8699999999999992"/>
    <x v="1"/>
    <x v="1"/>
    <s v="UPI"/>
  </r>
  <r>
    <x v="262"/>
    <x v="5"/>
    <x v="455"/>
    <s v="&quot;CNR3550383&quot;"/>
    <x v="2"/>
    <s v="&quot;CID3308866&quot;"/>
    <x v="2"/>
    <x v="13"/>
    <s v="Govindpuri"/>
    <x v="31"/>
    <n v="25.4"/>
    <s v="null"/>
    <s v="null"/>
    <s v="null"/>
    <s v="null"/>
    <s v="null"/>
    <s v="null"/>
    <n v="83"/>
    <n v="16.5"/>
    <x v="5"/>
    <x v="3"/>
    <s v="UPI"/>
  </r>
  <r>
    <x v="233"/>
    <x v="2"/>
    <x v="456"/>
    <s v="&quot;CNR4225693&quot;"/>
    <x v="2"/>
    <s v="&quot;CID4486029&quot;"/>
    <x v="3"/>
    <x v="38"/>
    <s v="Kalkaji"/>
    <x v="87"/>
    <n v="15.1"/>
    <s v="null"/>
    <s v="null"/>
    <s v="null"/>
    <s v="null"/>
    <s v="null"/>
    <s v="null"/>
    <n v="158"/>
    <n v="41.88"/>
    <x v="21"/>
    <x v="14"/>
    <s v="UPI"/>
  </r>
  <r>
    <x v="182"/>
    <x v="3"/>
    <x v="457"/>
    <s v="&quot;CNR2221311&quot;"/>
    <x v="2"/>
    <s v="&quot;CID3075272&quot;"/>
    <x v="1"/>
    <x v="138"/>
    <s v="Ashram"/>
    <x v="36"/>
    <n v="33"/>
    <s v="null"/>
    <s v="null"/>
    <s v="null"/>
    <s v="null"/>
    <s v="null"/>
    <s v="null"/>
    <n v="1211"/>
    <n v="32.9"/>
    <x v="6"/>
    <x v="4"/>
    <s v="Uber Wallet"/>
  </r>
  <r>
    <x v="125"/>
    <x v="2"/>
    <x v="458"/>
    <s v="&quot;CNR7713513&quot;"/>
    <x v="2"/>
    <s v="&quot;CID3463027&quot;"/>
    <x v="4"/>
    <x v="115"/>
    <s v="Gwal Pahari"/>
    <x v="86"/>
    <n v="35.9"/>
    <s v="null"/>
    <s v="null"/>
    <s v="null"/>
    <s v="null"/>
    <s v="null"/>
    <s v="null"/>
    <n v="313"/>
    <n v="36.68"/>
    <x v="6"/>
    <x v="10"/>
    <s v="Credit Card"/>
  </r>
  <r>
    <x v="193"/>
    <x v="11"/>
    <x v="459"/>
    <s v="&quot;CNR1286883&quot;"/>
    <x v="2"/>
    <s v="&quot;CID7499313&quot;"/>
    <x v="4"/>
    <x v="159"/>
    <s v="Vatika Chowk"/>
    <x v="55"/>
    <n v="42.2"/>
    <s v="null"/>
    <s v="null"/>
    <s v="null"/>
    <s v="null"/>
    <s v="null"/>
    <s v="null"/>
    <n v="97"/>
    <n v="20.38"/>
    <x v="6"/>
    <x v="10"/>
    <s v="Credit Card"/>
  </r>
  <r>
    <x v="267"/>
    <x v="10"/>
    <x v="460"/>
    <s v="&quot;CNR5104000&quot;"/>
    <x v="2"/>
    <s v="&quot;CID5850345&quot;"/>
    <x v="2"/>
    <x v="6"/>
    <s v="Mehrauli"/>
    <x v="17"/>
    <n v="26.4"/>
    <s v="null"/>
    <s v="null"/>
    <s v="null"/>
    <s v="null"/>
    <s v="null"/>
    <s v="null"/>
    <n v="142"/>
    <n v="47.2"/>
    <x v="2"/>
    <x v="4"/>
    <s v="UPI"/>
  </r>
  <r>
    <x v="268"/>
    <x v="9"/>
    <x v="461"/>
    <s v="&quot;CNR1748676&quot;"/>
    <x v="2"/>
    <s v="&quot;CID5855184&quot;"/>
    <x v="1"/>
    <x v="97"/>
    <s v="IIT Delhi"/>
    <x v="125"/>
    <n v="15.5"/>
    <s v="null"/>
    <s v="null"/>
    <s v="null"/>
    <s v="null"/>
    <s v="null"/>
    <s v="null"/>
    <n v="257"/>
    <n v="10.02"/>
    <x v="4"/>
    <x v="7"/>
    <s v="Credit Card"/>
  </r>
  <r>
    <x v="49"/>
    <x v="9"/>
    <x v="462"/>
    <s v="&quot;CNR9018332&quot;"/>
    <x v="2"/>
    <s v="&quot;CID5244532&quot;"/>
    <x v="2"/>
    <x v="111"/>
    <s v="Mayur Vihar"/>
    <x v="79"/>
    <n v="34.1"/>
    <s v="null"/>
    <s v="null"/>
    <s v="null"/>
    <s v="null"/>
    <s v="null"/>
    <s v="null"/>
    <n v="110"/>
    <n v="2.99"/>
    <x v="12"/>
    <x v="14"/>
    <s v="UPI"/>
  </r>
  <r>
    <x v="163"/>
    <x v="10"/>
    <x v="463"/>
    <s v="&quot;CNR6347706&quot;"/>
    <x v="3"/>
    <s v="&quot;CID7676450&quot;"/>
    <x v="5"/>
    <x v="121"/>
    <s v="Bahadurgarh"/>
    <x v="45"/>
    <s v="null"/>
    <s v="null"/>
    <s v="null"/>
    <n v="1"/>
    <s v="Customer related issue"/>
    <s v="null"/>
    <s v="null"/>
    <s v="null"/>
    <s v="null"/>
    <x v="0"/>
    <x v="0"/>
    <s v="null"/>
  </r>
  <r>
    <x v="54"/>
    <x v="9"/>
    <x v="464"/>
    <s v="&quot;CNR3245062&quot;"/>
    <x v="2"/>
    <s v="&quot;CID3655439&quot;"/>
    <x v="1"/>
    <x v="122"/>
    <s v="Preet Vihar"/>
    <x v="83"/>
    <n v="40.200000000000003"/>
    <s v="null"/>
    <s v="null"/>
    <s v="null"/>
    <s v="null"/>
    <s v="null"/>
    <s v="null"/>
    <n v="585"/>
    <n v="31.32"/>
    <x v="12"/>
    <x v="15"/>
    <s v="UPI"/>
  </r>
  <r>
    <x v="193"/>
    <x v="11"/>
    <x v="465"/>
    <s v="&quot;CNR2353965&quot;"/>
    <x v="2"/>
    <s v="&quot;CID4723366&quot;"/>
    <x v="5"/>
    <x v="73"/>
    <s v="Jahangirpuri"/>
    <x v="95"/>
    <n v="31.3"/>
    <s v="null"/>
    <s v="null"/>
    <s v="null"/>
    <s v="null"/>
    <s v="null"/>
    <s v="null"/>
    <n v="697"/>
    <n v="36.64"/>
    <x v="13"/>
    <x v="7"/>
    <s v="Credit Card"/>
  </r>
  <r>
    <x v="206"/>
    <x v="10"/>
    <x v="466"/>
    <s v="&quot;CNR3349418&quot;"/>
    <x v="2"/>
    <s v="&quot;CID1938710&quot;"/>
    <x v="1"/>
    <x v="60"/>
    <s v="Manesar"/>
    <x v="38"/>
    <n v="32.6"/>
    <s v="null"/>
    <s v="null"/>
    <s v="null"/>
    <s v="null"/>
    <s v="null"/>
    <s v="null"/>
    <n v="1240"/>
    <n v="47.01"/>
    <x v="5"/>
    <x v="8"/>
    <s v="UPI"/>
  </r>
  <r>
    <x v="63"/>
    <x v="7"/>
    <x v="467"/>
    <s v="&quot;CNR5038976&quot;"/>
    <x v="3"/>
    <s v="&quot;CID8313729&quot;"/>
    <x v="5"/>
    <x v="15"/>
    <s v="Saket A Block"/>
    <x v="5"/>
    <s v="null"/>
    <s v="null"/>
    <s v="null"/>
    <n v="1"/>
    <s v="Customer related issue"/>
    <s v="null"/>
    <s v="null"/>
    <s v="null"/>
    <s v="null"/>
    <x v="0"/>
    <x v="0"/>
    <s v="null"/>
  </r>
  <r>
    <x v="176"/>
    <x v="3"/>
    <x v="468"/>
    <s v="&quot;CNR9755184&quot;"/>
    <x v="4"/>
    <s v="&quot;CID3811968&quot;"/>
    <x v="1"/>
    <x v="102"/>
    <s v="Gwal Pahari"/>
    <x v="5"/>
    <s v="null"/>
    <n v="1"/>
    <s v="Wrong Address"/>
    <s v="null"/>
    <s v="null"/>
    <s v="null"/>
    <s v="null"/>
    <s v="null"/>
    <s v="null"/>
    <x v="0"/>
    <x v="0"/>
    <s v="null"/>
  </r>
  <r>
    <x v="2"/>
    <x v="2"/>
    <x v="469"/>
    <s v="&quot;CNR1872680&quot;"/>
    <x v="2"/>
    <s v="&quot;CID1362913&quot;"/>
    <x v="3"/>
    <x v="104"/>
    <s v="Indirapuram"/>
    <x v="79"/>
    <n v="20.6"/>
    <s v="null"/>
    <s v="null"/>
    <s v="null"/>
    <s v="null"/>
    <s v="null"/>
    <s v="null"/>
    <n v="777"/>
    <n v="15.11"/>
    <x v="3"/>
    <x v="8"/>
    <s v="Debit Card"/>
  </r>
  <r>
    <x v="33"/>
    <x v="9"/>
    <x v="470"/>
    <s v="&quot;CNR1349127&quot;"/>
    <x v="2"/>
    <s v="&quot;CID3169109&quot;"/>
    <x v="2"/>
    <x v="75"/>
    <s v="Kirti Nagar"/>
    <x v="32"/>
    <n v="31.1"/>
    <s v="null"/>
    <s v="null"/>
    <s v="null"/>
    <s v="null"/>
    <s v="null"/>
    <s v="null"/>
    <n v="95"/>
    <n v="38.26"/>
    <x v="6"/>
    <x v="7"/>
    <s v="Cash"/>
  </r>
  <r>
    <x v="85"/>
    <x v="3"/>
    <x v="471"/>
    <s v="&quot;CNR2230959&quot;"/>
    <x v="2"/>
    <s v="&quot;CID8978567&quot;"/>
    <x v="2"/>
    <x v="130"/>
    <s v="Meerut"/>
    <x v="92"/>
    <n v="39.9"/>
    <s v="null"/>
    <s v="null"/>
    <s v="null"/>
    <s v="null"/>
    <s v="null"/>
    <s v="null"/>
    <n v="484"/>
    <n v="47.12"/>
    <x v="14"/>
    <x v="1"/>
    <s v="Uber Wallet"/>
  </r>
  <r>
    <x v="37"/>
    <x v="5"/>
    <x v="472"/>
    <s v="&quot;CNR9380391&quot;"/>
    <x v="1"/>
    <s v="&quot;CID2765374&quot;"/>
    <x v="1"/>
    <x v="94"/>
    <s v="Janakpuri"/>
    <x v="33"/>
    <n v="11"/>
    <s v="null"/>
    <s v="null"/>
    <s v="null"/>
    <s v="null"/>
    <n v="1"/>
    <s v="Other Issue"/>
    <n v="301"/>
    <n v="9.59"/>
    <x v="0"/>
    <x v="0"/>
    <s v="Cash"/>
  </r>
  <r>
    <x v="247"/>
    <x v="10"/>
    <x v="473"/>
    <s v="&quot;CNR9895668&quot;"/>
    <x v="2"/>
    <s v="&quot;CID2656518&quot;"/>
    <x v="1"/>
    <x v="85"/>
    <s v="Jahangirpuri"/>
    <x v="67"/>
    <n v="21.2"/>
    <s v="null"/>
    <s v="null"/>
    <s v="null"/>
    <s v="null"/>
    <s v="null"/>
    <s v="null"/>
    <n v="485"/>
    <n v="2.17"/>
    <x v="16"/>
    <x v="5"/>
    <s v="UPI"/>
  </r>
  <r>
    <x v="61"/>
    <x v="0"/>
    <x v="474"/>
    <s v="&quot;CNR1918302&quot;"/>
    <x v="2"/>
    <s v="&quot;CID6415639&quot;"/>
    <x v="1"/>
    <x v="22"/>
    <s v="Chhatarpur"/>
    <x v="83"/>
    <n v="19.2"/>
    <s v="null"/>
    <s v="null"/>
    <s v="null"/>
    <s v="null"/>
    <s v="null"/>
    <s v="null"/>
    <n v="76"/>
    <n v="42.9"/>
    <x v="7"/>
    <x v="10"/>
    <s v="UPI"/>
  </r>
  <r>
    <x v="269"/>
    <x v="9"/>
    <x v="475"/>
    <s v="&quot;CNR2429657&quot;"/>
    <x v="2"/>
    <s v="&quot;CID3288614&quot;"/>
    <x v="2"/>
    <x v="96"/>
    <s v="Sikanderpur"/>
    <x v="73"/>
    <n v="38.6"/>
    <s v="null"/>
    <s v="null"/>
    <s v="null"/>
    <s v="null"/>
    <s v="null"/>
    <s v="null"/>
    <n v="188"/>
    <n v="35.090000000000003"/>
    <x v="2"/>
    <x v="5"/>
    <s v="UPI"/>
  </r>
  <r>
    <x v="168"/>
    <x v="4"/>
    <x v="476"/>
    <s v="&quot;CNR7937909&quot;"/>
    <x v="3"/>
    <s v="&quot;CID3192355&quot;"/>
    <x v="2"/>
    <x v="118"/>
    <s v="IGI Airport"/>
    <x v="114"/>
    <s v="null"/>
    <s v="null"/>
    <s v="null"/>
    <n v="1"/>
    <s v="Personal &amp; Car related issues"/>
    <s v="null"/>
    <s v="null"/>
    <s v="null"/>
    <s v="null"/>
    <x v="0"/>
    <x v="0"/>
    <s v="null"/>
  </r>
  <r>
    <x v="101"/>
    <x v="4"/>
    <x v="477"/>
    <s v="&quot;CNR7044315&quot;"/>
    <x v="2"/>
    <s v="&quot;CID2521883&quot;"/>
    <x v="3"/>
    <x v="34"/>
    <s v="Sushant Lok"/>
    <x v="57"/>
    <n v="38"/>
    <s v="null"/>
    <s v="null"/>
    <s v="null"/>
    <s v="null"/>
    <s v="null"/>
    <s v="null"/>
    <n v="443"/>
    <n v="45.58"/>
    <x v="2"/>
    <x v="4"/>
    <s v="Debit Card"/>
  </r>
  <r>
    <x v="112"/>
    <x v="9"/>
    <x v="478"/>
    <s v="&quot;CNR5517053&quot;"/>
    <x v="3"/>
    <s v="&quot;CID8551973&quot;"/>
    <x v="2"/>
    <x v="139"/>
    <s v="Saidulajab"/>
    <x v="25"/>
    <s v="null"/>
    <s v="null"/>
    <s v="null"/>
    <n v="1"/>
    <s v="The customer was coughing/sick"/>
    <s v="null"/>
    <s v="null"/>
    <s v="null"/>
    <s v="null"/>
    <x v="0"/>
    <x v="0"/>
    <s v="null"/>
  </r>
  <r>
    <x v="262"/>
    <x v="5"/>
    <x v="479"/>
    <s v="&quot;CNR8024437&quot;"/>
    <x v="3"/>
    <s v="&quot;CID8921274&quot;"/>
    <x v="3"/>
    <x v="72"/>
    <s v="RK Puram"/>
    <x v="14"/>
    <s v="null"/>
    <s v="null"/>
    <s v="null"/>
    <n v="1"/>
    <s v="The customer was coughing/sick"/>
    <s v="null"/>
    <s v="null"/>
    <s v="null"/>
    <s v="null"/>
    <x v="0"/>
    <x v="0"/>
    <s v="null"/>
  </r>
  <r>
    <x v="217"/>
    <x v="2"/>
    <x v="480"/>
    <s v="&quot;CNR4956091&quot;"/>
    <x v="2"/>
    <s v="&quot;CID5068009&quot;"/>
    <x v="2"/>
    <x v="150"/>
    <s v="Rithala"/>
    <x v="56"/>
    <n v="19.2"/>
    <s v="null"/>
    <s v="null"/>
    <s v="null"/>
    <s v="null"/>
    <s v="null"/>
    <s v="null"/>
    <n v="144"/>
    <n v="34.44"/>
    <x v="7"/>
    <x v="4"/>
    <s v="Uber Wallet"/>
  </r>
  <r>
    <x v="91"/>
    <x v="9"/>
    <x v="481"/>
    <s v="&quot;CNR5377230&quot;"/>
    <x v="3"/>
    <s v="&quot;CID7586347&quot;"/>
    <x v="1"/>
    <x v="110"/>
    <s v="Chanakyapuri"/>
    <x v="25"/>
    <s v="null"/>
    <s v="null"/>
    <s v="null"/>
    <n v="1"/>
    <s v="More than permitted people in there"/>
    <s v="null"/>
    <s v="null"/>
    <s v="null"/>
    <s v="null"/>
    <x v="0"/>
    <x v="0"/>
    <s v="null"/>
  </r>
  <r>
    <x v="263"/>
    <x v="7"/>
    <x v="482"/>
    <s v="&quot;CNR3120739&quot;"/>
    <x v="0"/>
    <s v="&quot;CID5285181&quot;"/>
    <x v="4"/>
    <x v="66"/>
    <s v="Nirman Vihar"/>
    <x v="0"/>
    <s v="null"/>
    <s v="null"/>
    <s v="null"/>
    <s v="null"/>
    <s v="null"/>
    <s v="null"/>
    <s v="null"/>
    <s v="null"/>
    <s v="null"/>
    <x v="0"/>
    <x v="0"/>
    <s v="null"/>
  </r>
  <r>
    <x v="203"/>
    <x v="7"/>
    <x v="483"/>
    <s v="&quot;CNR4763532&quot;"/>
    <x v="1"/>
    <s v="&quot;CID3554977&quot;"/>
    <x v="4"/>
    <x v="151"/>
    <s v="Okhla"/>
    <x v="72"/>
    <n v="14.8"/>
    <s v="null"/>
    <s v="null"/>
    <s v="null"/>
    <s v="null"/>
    <n v="1"/>
    <s v="Vehicle Breakdown"/>
    <n v="268"/>
    <n v="7.21"/>
    <x v="0"/>
    <x v="0"/>
    <s v="UPI"/>
  </r>
  <r>
    <x v="135"/>
    <x v="0"/>
    <x v="484"/>
    <s v="&quot;CNR5897670&quot;"/>
    <x v="2"/>
    <s v="&quot;CID3538617&quot;"/>
    <x v="2"/>
    <x v="68"/>
    <s v="Bhiwadi"/>
    <x v="114"/>
    <n v="32.1"/>
    <s v="null"/>
    <s v="null"/>
    <s v="null"/>
    <s v="null"/>
    <s v="null"/>
    <s v="null"/>
    <n v="118"/>
    <n v="14.3"/>
    <x v="6"/>
    <x v="20"/>
    <s v="Uber Wallet"/>
  </r>
  <r>
    <x v="197"/>
    <x v="6"/>
    <x v="485"/>
    <s v="&quot;CNR7975978&quot;"/>
    <x v="2"/>
    <s v="&quot;CID6240053&quot;"/>
    <x v="4"/>
    <x v="131"/>
    <s v="Noida Film City"/>
    <x v="40"/>
    <n v="17.600000000000001"/>
    <s v="null"/>
    <s v="null"/>
    <s v="null"/>
    <s v="null"/>
    <s v="null"/>
    <s v="null"/>
    <n v="516"/>
    <n v="13.3"/>
    <x v="3"/>
    <x v="7"/>
    <s v="Cash"/>
  </r>
  <r>
    <x v="116"/>
    <x v="10"/>
    <x v="486"/>
    <s v="&quot;CNR8129409&quot;"/>
    <x v="3"/>
    <s v="&quot;CID3329487&quot;"/>
    <x v="1"/>
    <x v="56"/>
    <s v="Moti Nagar"/>
    <x v="91"/>
    <s v="null"/>
    <s v="null"/>
    <s v="null"/>
    <n v="1"/>
    <s v="Personal &amp; Car related issues"/>
    <s v="null"/>
    <s v="null"/>
    <s v="null"/>
    <s v="null"/>
    <x v="0"/>
    <x v="0"/>
    <s v="null"/>
  </r>
  <r>
    <x v="169"/>
    <x v="8"/>
    <x v="487"/>
    <s v="&quot;CNR2244899&quot;"/>
    <x v="3"/>
    <s v="&quot;CID7332345&quot;"/>
    <x v="2"/>
    <x v="66"/>
    <s v="MG Road"/>
    <x v="101"/>
    <s v="null"/>
    <s v="null"/>
    <s v="null"/>
    <n v="1"/>
    <s v="Personal &amp; Car related issues"/>
    <s v="null"/>
    <s v="null"/>
    <s v="null"/>
    <s v="null"/>
    <x v="0"/>
    <x v="0"/>
    <s v="null"/>
  </r>
  <r>
    <x v="270"/>
    <x v="9"/>
    <x v="488"/>
    <s v="&quot;CNR3178616&quot;"/>
    <x v="2"/>
    <s v="&quot;CID6827919&quot;"/>
    <x v="2"/>
    <x v="148"/>
    <s v="Punjabi Bagh"/>
    <x v="4"/>
    <n v="36.700000000000003"/>
    <s v="null"/>
    <s v="null"/>
    <s v="null"/>
    <s v="null"/>
    <s v="null"/>
    <s v="null"/>
    <n v="600"/>
    <n v="22.68"/>
    <x v="4"/>
    <x v="3"/>
    <s v="UPI"/>
  </r>
  <r>
    <x v="143"/>
    <x v="7"/>
    <x v="489"/>
    <s v="&quot;CNR9398491&quot;"/>
    <x v="0"/>
    <s v="&quot;CID4442768&quot;"/>
    <x v="2"/>
    <x v="91"/>
    <s v="Ghitorni"/>
    <x v="0"/>
    <s v="null"/>
    <s v="null"/>
    <s v="null"/>
    <s v="null"/>
    <s v="null"/>
    <s v="null"/>
    <s v="null"/>
    <s v="null"/>
    <s v="null"/>
    <x v="0"/>
    <x v="0"/>
    <s v="null"/>
  </r>
  <r>
    <x v="139"/>
    <x v="10"/>
    <x v="490"/>
    <s v="&quot;CNR1365010&quot;"/>
    <x v="3"/>
    <s v="&quot;CID6704179&quot;"/>
    <x v="5"/>
    <x v="45"/>
    <s v="IGI Airport"/>
    <x v="116"/>
    <s v="null"/>
    <s v="null"/>
    <s v="null"/>
    <n v="1"/>
    <s v="More than permitted people in there"/>
    <s v="null"/>
    <s v="null"/>
    <s v="null"/>
    <s v="null"/>
    <x v="0"/>
    <x v="0"/>
    <s v="null"/>
  </r>
  <r>
    <x v="106"/>
    <x v="10"/>
    <x v="491"/>
    <s v="&quot;CNR7934360&quot;"/>
    <x v="4"/>
    <s v="&quot;CID7563867&quot;"/>
    <x v="4"/>
    <x v="13"/>
    <s v="Dwarka Mor"/>
    <x v="133"/>
    <s v="null"/>
    <n v="1"/>
    <s v="Driver asked to cancel"/>
    <s v="null"/>
    <s v="null"/>
    <s v="null"/>
    <s v="null"/>
    <s v="null"/>
    <s v="null"/>
    <x v="0"/>
    <x v="0"/>
    <s v="null"/>
  </r>
  <r>
    <x v="189"/>
    <x v="5"/>
    <x v="492"/>
    <s v="&quot;CNR3466923&quot;"/>
    <x v="2"/>
    <s v="&quot;CID6417399&quot;"/>
    <x v="1"/>
    <x v="18"/>
    <s v="Jama Masjid"/>
    <x v="55"/>
    <n v="24.1"/>
    <s v="null"/>
    <s v="null"/>
    <s v="null"/>
    <s v="null"/>
    <s v="null"/>
    <s v="null"/>
    <n v="339"/>
    <n v="20.88"/>
    <x v="7"/>
    <x v="20"/>
    <s v="Cash"/>
  </r>
  <r>
    <x v="236"/>
    <x v="5"/>
    <x v="493"/>
    <s v="&quot;CNR1772188&quot;"/>
    <x v="3"/>
    <s v="&quot;CID9995196&quot;"/>
    <x v="2"/>
    <x v="93"/>
    <s v="Hero Honda Chowk"/>
    <x v="4"/>
    <s v="null"/>
    <s v="null"/>
    <s v="null"/>
    <n v="1"/>
    <s v="Customer related issue"/>
    <s v="null"/>
    <s v="null"/>
    <s v="null"/>
    <s v="null"/>
    <x v="0"/>
    <x v="0"/>
    <s v="null"/>
  </r>
  <r>
    <x v="254"/>
    <x v="5"/>
    <x v="494"/>
    <s v="&quot;CNR6221378&quot;"/>
    <x v="2"/>
    <s v="&quot;CID4952284&quot;"/>
    <x v="6"/>
    <x v="102"/>
    <s v="IGI Airport"/>
    <x v="117"/>
    <n v="15"/>
    <s v="null"/>
    <s v="null"/>
    <s v="null"/>
    <s v="null"/>
    <s v="null"/>
    <s v="null"/>
    <n v="533"/>
    <n v="28.23"/>
    <x v="20"/>
    <x v="4"/>
    <s v="Cash"/>
  </r>
  <r>
    <x v="37"/>
    <x v="5"/>
    <x v="495"/>
    <s v="&quot;CNR9154449&quot;"/>
    <x v="2"/>
    <s v="&quot;CID1077586&quot;"/>
    <x v="3"/>
    <x v="93"/>
    <s v="Qutub Minar"/>
    <x v="76"/>
    <n v="30.8"/>
    <s v="null"/>
    <s v="null"/>
    <s v="null"/>
    <s v="null"/>
    <s v="null"/>
    <s v="null"/>
    <n v="884"/>
    <n v="14.57"/>
    <x v="14"/>
    <x v="7"/>
    <s v="UPI"/>
  </r>
  <r>
    <x v="209"/>
    <x v="2"/>
    <x v="496"/>
    <s v="&quot;CNR2310347&quot;"/>
    <x v="2"/>
    <s v="&quot;CID1012548&quot;"/>
    <x v="5"/>
    <x v="80"/>
    <s v="Chirag Delhi"/>
    <x v="39"/>
    <n v="15.6"/>
    <s v="null"/>
    <s v="null"/>
    <s v="null"/>
    <s v="null"/>
    <s v="null"/>
    <s v="null"/>
    <n v="446"/>
    <n v="6.69"/>
    <x v="5"/>
    <x v="3"/>
    <s v="Cash"/>
  </r>
  <r>
    <x v="271"/>
    <x v="4"/>
    <x v="497"/>
    <s v="&quot;CNR5161112&quot;"/>
    <x v="2"/>
    <s v="&quot;CID1845980&quot;"/>
    <x v="3"/>
    <x v="72"/>
    <s v="Paharganj"/>
    <x v="48"/>
    <n v="30.7"/>
    <s v="null"/>
    <s v="null"/>
    <s v="null"/>
    <s v="null"/>
    <s v="null"/>
    <s v="null"/>
    <n v="675"/>
    <n v="10.62"/>
    <x v="6"/>
    <x v="5"/>
    <s v="Credit Card"/>
  </r>
  <r>
    <x v="167"/>
    <x v="8"/>
    <x v="498"/>
    <s v="&quot;CNR4746570&quot;"/>
    <x v="0"/>
    <s v="&quot;CID4041893&quot;"/>
    <x v="5"/>
    <x v="52"/>
    <s v="Patel Chowk"/>
    <x v="0"/>
    <s v="null"/>
    <s v="null"/>
    <s v="null"/>
    <s v="null"/>
    <s v="null"/>
    <s v="null"/>
    <s v="null"/>
    <s v="null"/>
    <s v="null"/>
    <x v="0"/>
    <x v="0"/>
    <s v="null"/>
  </r>
  <r>
    <x v="272"/>
    <x v="1"/>
    <x v="499"/>
    <s v="&quot;CNR5206507&quot;"/>
    <x v="2"/>
    <s v="&quot;CID9160368&quot;"/>
    <x v="6"/>
    <x v="118"/>
    <s v="Mandi House"/>
    <x v="60"/>
    <n v="25.2"/>
    <s v="null"/>
    <s v="null"/>
    <s v="null"/>
    <s v="null"/>
    <s v="null"/>
    <s v="null"/>
    <n v="407"/>
    <n v="19.989999999999998"/>
    <x v="10"/>
    <x v="1"/>
    <s v="UPI"/>
  </r>
  <r>
    <x v="109"/>
    <x v="8"/>
    <x v="500"/>
    <s v="&quot;CNR1105649&quot;"/>
    <x v="4"/>
    <s v="&quot;CID2416362&quot;"/>
    <x v="1"/>
    <x v="31"/>
    <s v="Maidan Garhi"/>
    <x v="134"/>
    <s v="null"/>
    <n v="1"/>
    <s v="Change of plans"/>
    <s v="null"/>
    <s v="null"/>
    <s v="null"/>
    <s v="null"/>
    <s v="null"/>
    <s v="null"/>
    <x v="0"/>
    <x v="0"/>
    <s v="null"/>
  </r>
  <r>
    <x v="225"/>
    <x v="2"/>
    <x v="501"/>
    <s v="&quot;CNR6561675&quot;"/>
    <x v="2"/>
    <s v="&quot;CID4709340&quot;"/>
    <x v="3"/>
    <x v="121"/>
    <s v="Qutub Minar"/>
    <x v="117"/>
    <n v="25.8"/>
    <s v="null"/>
    <s v="null"/>
    <s v="null"/>
    <s v="null"/>
    <s v="null"/>
    <s v="null"/>
    <n v="219"/>
    <n v="12.04"/>
    <x v="10"/>
    <x v="3"/>
    <s v="Cash"/>
  </r>
  <r>
    <x v="41"/>
    <x v="5"/>
    <x v="502"/>
    <s v="&quot;CNR6735246&quot;"/>
    <x v="2"/>
    <s v="&quot;CID4830877&quot;"/>
    <x v="0"/>
    <x v="64"/>
    <s v="Saket A Block"/>
    <x v="106"/>
    <n v="15.5"/>
    <s v="null"/>
    <s v="null"/>
    <s v="null"/>
    <s v="null"/>
    <s v="null"/>
    <s v="null"/>
    <n v="811"/>
    <n v="43.29"/>
    <x v="6"/>
    <x v="2"/>
    <s v="UPI"/>
  </r>
  <r>
    <x v="137"/>
    <x v="9"/>
    <x v="503"/>
    <s v="&quot;CNR9393355&quot;"/>
    <x v="2"/>
    <s v="&quot;CID2207388&quot;"/>
    <x v="1"/>
    <x v="156"/>
    <s v="Paschim Vihar"/>
    <x v="76"/>
    <n v="43"/>
    <s v="null"/>
    <s v="null"/>
    <s v="null"/>
    <s v="null"/>
    <s v="null"/>
    <s v="null"/>
    <n v="169"/>
    <n v="3"/>
    <x v="13"/>
    <x v="1"/>
    <s v="Uber Wallet"/>
  </r>
  <r>
    <x v="273"/>
    <x v="8"/>
    <x v="504"/>
    <s v="&quot;CNR7041170&quot;"/>
    <x v="2"/>
    <s v="&quot;CID3351210&quot;"/>
    <x v="1"/>
    <x v="136"/>
    <s v="Uttam Nagar"/>
    <x v="1"/>
    <n v="41.4"/>
    <s v="null"/>
    <s v="null"/>
    <s v="null"/>
    <s v="null"/>
    <s v="null"/>
    <s v="null"/>
    <n v="379"/>
    <n v="28.36"/>
    <x v="19"/>
    <x v="6"/>
    <s v="Cash"/>
  </r>
  <r>
    <x v="99"/>
    <x v="9"/>
    <x v="505"/>
    <s v="&quot;CNR7015962&quot;"/>
    <x v="1"/>
    <s v="&quot;CID3453799&quot;"/>
    <x v="2"/>
    <x v="51"/>
    <s v="Huda City Centre"/>
    <x v="101"/>
    <n v="29.7"/>
    <s v="null"/>
    <s v="null"/>
    <s v="null"/>
    <s v="null"/>
    <n v="1"/>
    <s v="Customer Demand"/>
    <n v="465"/>
    <n v="13.04"/>
    <x v="0"/>
    <x v="0"/>
    <s v="Credit Card"/>
  </r>
  <r>
    <x v="47"/>
    <x v="6"/>
    <x v="506"/>
    <s v="&quot;CNR2820483&quot;"/>
    <x v="3"/>
    <s v="&quot;CID2955701&quot;"/>
    <x v="2"/>
    <x v="83"/>
    <s v="Vinobapuri"/>
    <x v="20"/>
    <s v="null"/>
    <s v="null"/>
    <s v="null"/>
    <n v="1"/>
    <s v="Personal &amp; Car related issues"/>
    <s v="null"/>
    <s v="null"/>
    <s v="null"/>
    <s v="null"/>
    <x v="0"/>
    <x v="0"/>
    <s v="null"/>
  </r>
  <r>
    <x v="155"/>
    <x v="9"/>
    <x v="507"/>
    <s v="&quot;CNR8192504&quot;"/>
    <x v="2"/>
    <s v="&quot;CID2186576&quot;"/>
    <x v="6"/>
    <x v="160"/>
    <s v="Noida Extension"/>
    <x v="54"/>
    <n v="26.5"/>
    <s v="null"/>
    <s v="null"/>
    <s v="null"/>
    <s v="null"/>
    <s v="null"/>
    <s v="null"/>
    <n v="160"/>
    <n v="5.52"/>
    <x v="5"/>
    <x v="5"/>
    <s v="UPI"/>
  </r>
  <r>
    <x v="42"/>
    <x v="11"/>
    <x v="508"/>
    <s v="&quot;CNR5614673&quot;"/>
    <x v="2"/>
    <s v="&quot;CID1336911&quot;"/>
    <x v="1"/>
    <x v="74"/>
    <s v="Moti Nagar"/>
    <x v="54"/>
    <n v="27.9"/>
    <s v="null"/>
    <s v="null"/>
    <s v="null"/>
    <s v="null"/>
    <s v="null"/>
    <s v="null"/>
    <n v="153"/>
    <n v="11.93"/>
    <x v="5"/>
    <x v="1"/>
    <s v="UPI"/>
  </r>
  <r>
    <x v="156"/>
    <x v="7"/>
    <x v="509"/>
    <s v="&quot;CNR8765520&quot;"/>
    <x v="3"/>
    <s v="&quot;CID9963800&quot;"/>
    <x v="5"/>
    <x v="21"/>
    <s v="Sohna Road"/>
    <x v="59"/>
    <s v="null"/>
    <s v="null"/>
    <s v="null"/>
    <n v="1"/>
    <s v="Personal &amp; Car related issues"/>
    <s v="null"/>
    <s v="null"/>
    <s v="null"/>
    <s v="null"/>
    <x v="0"/>
    <x v="0"/>
    <s v="null"/>
  </r>
  <r>
    <x v="200"/>
    <x v="1"/>
    <x v="510"/>
    <s v="&quot;CNR2066424&quot;"/>
    <x v="3"/>
    <s v="&quot;CID6053450&quot;"/>
    <x v="5"/>
    <x v="61"/>
    <s v="Jahangirpuri"/>
    <x v="77"/>
    <s v="null"/>
    <s v="null"/>
    <s v="null"/>
    <n v="1"/>
    <s v="Personal &amp; Car related issues"/>
    <s v="null"/>
    <s v="null"/>
    <s v="null"/>
    <s v="null"/>
    <x v="0"/>
    <x v="0"/>
    <s v="null"/>
  </r>
  <r>
    <x v="157"/>
    <x v="8"/>
    <x v="511"/>
    <s v="&quot;CNR4566796&quot;"/>
    <x v="3"/>
    <s v="&quot;CID7109338&quot;"/>
    <x v="2"/>
    <x v="128"/>
    <s v="Ghaziabad"/>
    <x v="44"/>
    <s v="null"/>
    <s v="null"/>
    <s v="null"/>
    <n v="1"/>
    <s v="The customer was coughing/sick"/>
    <s v="null"/>
    <s v="null"/>
    <s v="null"/>
    <s v="null"/>
    <x v="0"/>
    <x v="0"/>
    <s v="null"/>
  </r>
  <r>
    <x v="43"/>
    <x v="2"/>
    <x v="512"/>
    <s v="&quot;CNR4733031&quot;"/>
    <x v="3"/>
    <s v="&quot;CID4204069&quot;"/>
    <x v="0"/>
    <x v="113"/>
    <s v="Shivaji Park"/>
    <x v="31"/>
    <s v="null"/>
    <s v="null"/>
    <s v="null"/>
    <n v="1"/>
    <s v="The customer was coughing/sick"/>
    <s v="null"/>
    <s v="null"/>
    <s v="null"/>
    <s v="null"/>
    <x v="0"/>
    <x v="0"/>
    <s v="null"/>
  </r>
  <r>
    <x v="274"/>
    <x v="0"/>
    <x v="513"/>
    <s v="&quot;CNR7239129&quot;"/>
    <x v="2"/>
    <s v="&quot;CID6041120&quot;"/>
    <x v="3"/>
    <x v="34"/>
    <s v="Patel Chowk"/>
    <x v="10"/>
    <n v="24.7"/>
    <s v="null"/>
    <s v="null"/>
    <s v="null"/>
    <s v="null"/>
    <s v="null"/>
    <s v="null"/>
    <n v="369"/>
    <n v="8.8000000000000007"/>
    <x v="14"/>
    <x v="13"/>
    <s v="UPI"/>
  </r>
  <r>
    <x v="275"/>
    <x v="6"/>
    <x v="514"/>
    <s v="&quot;CNR7089866&quot;"/>
    <x v="2"/>
    <s v="&quot;CID8788583&quot;"/>
    <x v="2"/>
    <x v="161"/>
    <s v="Basai Dhankot"/>
    <x v="12"/>
    <n v="17.899999999999999"/>
    <s v="null"/>
    <s v="null"/>
    <s v="null"/>
    <s v="null"/>
    <s v="null"/>
    <s v="null"/>
    <n v="360"/>
    <n v="19.2"/>
    <x v="5"/>
    <x v="12"/>
    <s v="Uber Wallet"/>
  </r>
  <r>
    <x v="215"/>
    <x v="7"/>
    <x v="515"/>
    <s v="&quot;CNR8341687&quot;"/>
    <x v="2"/>
    <s v="&quot;CID8711272&quot;"/>
    <x v="2"/>
    <x v="107"/>
    <s v="Nirman Vihar"/>
    <x v="67"/>
    <n v="31.7"/>
    <s v="null"/>
    <s v="null"/>
    <s v="null"/>
    <s v="null"/>
    <s v="null"/>
    <s v="null"/>
    <n v="828"/>
    <n v="28.84"/>
    <x v="9"/>
    <x v="5"/>
    <s v="UPI"/>
  </r>
  <r>
    <x v="276"/>
    <x v="11"/>
    <x v="516"/>
    <s v="&quot;CNR9138999&quot;"/>
    <x v="2"/>
    <s v="&quot;CID6864518&quot;"/>
    <x v="1"/>
    <x v="86"/>
    <s v="Bhiwadi"/>
    <x v="7"/>
    <n v="19.7"/>
    <s v="null"/>
    <s v="null"/>
    <s v="null"/>
    <s v="null"/>
    <s v="null"/>
    <s v="null"/>
    <n v="791"/>
    <n v="33.08"/>
    <x v="1"/>
    <x v="1"/>
    <s v="UPI"/>
  </r>
  <r>
    <x v="95"/>
    <x v="6"/>
    <x v="517"/>
    <s v="&quot;CNR4704280&quot;"/>
    <x v="2"/>
    <s v="&quot;CID7724201&quot;"/>
    <x v="5"/>
    <x v="54"/>
    <s v="Ambience Mall"/>
    <x v="102"/>
    <n v="18"/>
    <s v="null"/>
    <s v="null"/>
    <s v="null"/>
    <s v="null"/>
    <s v="null"/>
    <s v="null"/>
    <n v="529"/>
    <n v="10.88"/>
    <x v="9"/>
    <x v="1"/>
    <s v="UPI"/>
  </r>
  <r>
    <x v="66"/>
    <x v="1"/>
    <x v="518"/>
    <s v="&quot;CNR9540934&quot;"/>
    <x v="2"/>
    <s v="&quot;CID8987509&quot;"/>
    <x v="3"/>
    <x v="112"/>
    <s v="Preet Vihar"/>
    <x v="77"/>
    <n v="36.4"/>
    <s v="null"/>
    <s v="null"/>
    <s v="null"/>
    <s v="null"/>
    <s v="null"/>
    <s v="null"/>
    <n v="306"/>
    <n v="43.4"/>
    <x v="5"/>
    <x v="1"/>
    <s v="UPI"/>
  </r>
  <r>
    <x v="71"/>
    <x v="5"/>
    <x v="519"/>
    <s v="&quot;CNR9190112&quot;"/>
    <x v="2"/>
    <s v="&quot;CID2588384&quot;"/>
    <x v="2"/>
    <x v="118"/>
    <s v="Moti Nagar"/>
    <x v="93"/>
    <n v="25.8"/>
    <s v="null"/>
    <s v="null"/>
    <s v="null"/>
    <s v="null"/>
    <s v="null"/>
    <s v="null"/>
    <n v="131"/>
    <n v="15.83"/>
    <x v="11"/>
    <x v="3"/>
    <s v="Credit Card"/>
  </r>
  <r>
    <x v="138"/>
    <x v="9"/>
    <x v="520"/>
    <s v="&quot;CNR3039145&quot;"/>
    <x v="2"/>
    <s v="&quot;CID8157003&quot;"/>
    <x v="1"/>
    <x v="28"/>
    <s v="Narsinghpur"/>
    <x v="5"/>
    <n v="23.2"/>
    <s v="null"/>
    <s v="null"/>
    <s v="null"/>
    <s v="null"/>
    <s v="null"/>
    <s v="null"/>
    <n v="651"/>
    <n v="9.61"/>
    <x v="7"/>
    <x v="4"/>
    <s v="Debit Card"/>
  </r>
  <r>
    <x v="175"/>
    <x v="8"/>
    <x v="521"/>
    <s v="&quot;CNR1456049&quot;"/>
    <x v="2"/>
    <s v="&quot;CID5722305&quot;"/>
    <x v="1"/>
    <x v="162"/>
    <s v="Pulbangash"/>
    <x v="83"/>
    <n v="30.1"/>
    <s v="null"/>
    <s v="null"/>
    <s v="null"/>
    <s v="null"/>
    <s v="null"/>
    <s v="null"/>
    <n v="412"/>
    <n v="2.69"/>
    <x v="17"/>
    <x v="13"/>
    <s v="Debit Card"/>
  </r>
  <r>
    <x v="277"/>
    <x v="10"/>
    <x v="522"/>
    <s v="&quot;CNR9910547&quot;"/>
    <x v="3"/>
    <s v="&quot;CID7267162&quot;"/>
    <x v="2"/>
    <x v="98"/>
    <s v="Panipat"/>
    <x v="88"/>
    <s v="null"/>
    <s v="null"/>
    <s v="null"/>
    <n v="1"/>
    <s v="The customer was coughing/sick"/>
    <s v="null"/>
    <s v="null"/>
    <s v="null"/>
    <s v="null"/>
    <x v="0"/>
    <x v="0"/>
    <s v="null"/>
  </r>
  <r>
    <x v="99"/>
    <x v="9"/>
    <x v="523"/>
    <s v="&quot;CNR4505039&quot;"/>
    <x v="2"/>
    <s v="&quot;CID8601598&quot;"/>
    <x v="2"/>
    <x v="163"/>
    <s v="Vatika Chowk"/>
    <x v="30"/>
    <n v="33.9"/>
    <s v="null"/>
    <s v="null"/>
    <s v="null"/>
    <s v="null"/>
    <s v="null"/>
    <s v="null"/>
    <n v="984"/>
    <n v="12.52"/>
    <x v="13"/>
    <x v="4"/>
    <s v="Cash"/>
  </r>
  <r>
    <x v="74"/>
    <x v="0"/>
    <x v="524"/>
    <s v="&quot;CNR2898050&quot;"/>
    <x v="2"/>
    <s v="&quot;CID1516570&quot;"/>
    <x v="2"/>
    <x v="94"/>
    <s v="Okhla"/>
    <x v="16"/>
    <n v="31.7"/>
    <s v="null"/>
    <s v="null"/>
    <s v="null"/>
    <s v="null"/>
    <s v="null"/>
    <s v="null"/>
    <n v="375"/>
    <n v="27.76"/>
    <x v="4"/>
    <x v="9"/>
    <s v="UPI"/>
  </r>
  <r>
    <x v="101"/>
    <x v="4"/>
    <x v="525"/>
    <s v="&quot;CNR2066912&quot;"/>
    <x v="3"/>
    <s v="&quot;CID7868182&quot;"/>
    <x v="0"/>
    <x v="132"/>
    <s v="Sultanpur"/>
    <x v="18"/>
    <s v="null"/>
    <s v="null"/>
    <s v="null"/>
    <n v="1"/>
    <s v="More than permitted people in there"/>
    <s v="null"/>
    <s v="null"/>
    <s v="null"/>
    <s v="null"/>
    <x v="0"/>
    <x v="0"/>
    <s v="null"/>
  </r>
  <r>
    <x v="278"/>
    <x v="10"/>
    <x v="526"/>
    <s v="&quot;CNR4694217&quot;"/>
    <x v="3"/>
    <s v="&quot;CID6623498&quot;"/>
    <x v="1"/>
    <x v="160"/>
    <s v="Badshahpur"/>
    <x v="5"/>
    <s v="null"/>
    <s v="null"/>
    <s v="null"/>
    <n v="1"/>
    <s v="More than permitted people in there"/>
    <s v="null"/>
    <s v="null"/>
    <s v="null"/>
    <s v="null"/>
    <x v="0"/>
    <x v="0"/>
    <s v="null"/>
  </r>
  <r>
    <x v="63"/>
    <x v="7"/>
    <x v="527"/>
    <s v="&quot;CNR9086694&quot;"/>
    <x v="2"/>
    <s v="&quot;CID1564650&quot;"/>
    <x v="2"/>
    <x v="138"/>
    <s v="Rohini"/>
    <x v="77"/>
    <n v="31.7"/>
    <s v="null"/>
    <s v="null"/>
    <s v="null"/>
    <s v="null"/>
    <s v="null"/>
    <s v="null"/>
    <n v="651"/>
    <n v="7.7"/>
    <x v="14"/>
    <x v="15"/>
    <s v="Uber Wallet"/>
  </r>
  <r>
    <x v="110"/>
    <x v="9"/>
    <x v="528"/>
    <s v="&quot;CNR3614133&quot;"/>
    <x v="2"/>
    <s v="&quot;CID1919404&quot;"/>
    <x v="2"/>
    <x v="164"/>
    <s v="Akshardham"/>
    <x v="97"/>
    <n v="37.299999999999997"/>
    <s v="null"/>
    <s v="null"/>
    <s v="null"/>
    <s v="null"/>
    <s v="null"/>
    <s v="null"/>
    <n v="415"/>
    <n v="23.21"/>
    <x v="2"/>
    <x v="4"/>
    <s v="Uber Wallet"/>
  </r>
  <r>
    <x v="279"/>
    <x v="8"/>
    <x v="529"/>
    <s v="&quot;CNR5925227&quot;"/>
    <x v="3"/>
    <s v="&quot;CID9346641&quot;"/>
    <x v="4"/>
    <x v="0"/>
    <s v="Gwal Pahari"/>
    <x v="13"/>
    <s v="null"/>
    <s v="null"/>
    <s v="null"/>
    <n v="1"/>
    <s v="Personal &amp; Car related issues"/>
    <s v="null"/>
    <s v="null"/>
    <s v="null"/>
    <s v="null"/>
    <x v="0"/>
    <x v="0"/>
    <s v="null"/>
  </r>
  <r>
    <x v="90"/>
    <x v="11"/>
    <x v="530"/>
    <s v="&quot;CNR2270165&quot;"/>
    <x v="4"/>
    <s v="&quot;CID1036906&quot;"/>
    <x v="1"/>
    <x v="113"/>
    <s v="Lok Kalyan Marg"/>
    <x v="46"/>
    <s v="null"/>
    <n v="1"/>
    <s v="Driver asked to cancel"/>
    <s v="null"/>
    <s v="null"/>
    <s v="null"/>
    <s v="null"/>
    <s v="null"/>
    <s v="null"/>
    <x v="0"/>
    <x v="0"/>
    <s v="null"/>
  </r>
  <r>
    <x v="229"/>
    <x v="8"/>
    <x v="531"/>
    <s v="&quot;CNR5568712&quot;"/>
    <x v="3"/>
    <s v="&quot;CID1277528&quot;"/>
    <x v="3"/>
    <x v="108"/>
    <s v="Ashok Vihar"/>
    <x v="90"/>
    <s v="null"/>
    <s v="null"/>
    <s v="null"/>
    <n v="1"/>
    <s v="More than permitted people in there"/>
    <s v="null"/>
    <s v="null"/>
    <s v="null"/>
    <s v="null"/>
    <x v="0"/>
    <x v="0"/>
    <s v="null"/>
  </r>
  <r>
    <x v="280"/>
    <x v="10"/>
    <x v="532"/>
    <s v="&quot;CNR8002088&quot;"/>
    <x v="3"/>
    <s v="&quot;CID7591158&quot;"/>
    <x v="2"/>
    <x v="1"/>
    <s v="Jasola"/>
    <x v="94"/>
    <s v="null"/>
    <s v="null"/>
    <s v="null"/>
    <n v="1"/>
    <s v="The customer was coughing/sick"/>
    <s v="null"/>
    <s v="null"/>
    <s v="null"/>
    <s v="null"/>
    <x v="0"/>
    <x v="0"/>
    <s v="null"/>
  </r>
  <r>
    <x v="148"/>
    <x v="6"/>
    <x v="533"/>
    <s v="&quot;CNR4151102&quot;"/>
    <x v="2"/>
    <s v="&quot;CID4892044&quot;"/>
    <x v="3"/>
    <x v="2"/>
    <s v="Cyber Hub"/>
    <x v="52"/>
    <n v="43.3"/>
    <s v="null"/>
    <s v="null"/>
    <s v="null"/>
    <s v="null"/>
    <s v="null"/>
    <s v="null"/>
    <n v="727"/>
    <n v="29.21"/>
    <x v="2"/>
    <x v="7"/>
    <s v="UPI"/>
  </r>
  <r>
    <x v="201"/>
    <x v="2"/>
    <x v="534"/>
    <s v="&quot;CNR4083167&quot;"/>
    <x v="3"/>
    <s v="&quot;CID7168786&quot;"/>
    <x v="0"/>
    <x v="128"/>
    <s v="DLF City Court"/>
    <x v="52"/>
    <s v="null"/>
    <s v="null"/>
    <s v="null"/>
    <n v="1"/>
    <s v="Customer related issue"/>
    <s v="null"/>
    <s v="null"/>
    <s v="null"/>
    <s v="null"/>
    <x v="0"/>
    <x v="0"/>
    <s v="null"/>
  </r>
  <r>
    <x v="128"/>
    <x v="5"/>
    <x v="535"/>
    <s v="&quot;CNR4899122&quot;"/>
    <x v="2"/>
    <s v="&quot;CID7879061&quot;"/>
    <x v="3"/>
    <x v="150"/>
    <s v="Mansarovar Park"/>
    <x v="3"/>
    <n v="15.2"/>
    <s v="null"/>
    <s v="null"/>
    <s v="null"/>
    <s v="null"/>
    <s v="null"/>
    <s v="null"/>
    <n v="302"/>
    <n v="30.45"/>
    <x v="6"/>
    <x v="6"/>
    <s v="UPI"/>
  </r>
  <r>
    <x v="131"/>
    <x v="3"/>
    <x v="536"/>
    <s v="&quot;CNR3404014&quot;"/>
    <x v="4"/>
    <s v="&quot;CID5570791&quot;"/>
    <x v="2"/>
    <x v="82"/>
    <s v="Raj Nagar Extension"/>
    <x v="116"/>
    <s v="null"/>
    <n v="1"/>
    <s v="Driver is not moving towards pickup location"/>
    <s v="null"/>
    <s v="null"/>
    <s v="null"/>
    <s v="null"/>
    <s v="null"/>
    <s v="null"/>
    <x v="0"/>
    <x v="0"/>
    <s v="null"/>
  </r>
  <r>
    <x v="90"/>
    <x v="11"/>
    <x v="537"/>
    <s v="&quot;CNR4980486&quot;"/>
    <x v="3"/>
    <s v="&quot;CID7482953&quot;"/>
    <x v="4"/>
    <x v="64"/>
    <s v="Chanakyapuri"/>
    <x v="109"/>
    <s v="null"/>
    <s v="null"/>
    <s v="null"/>
    <n v="1"/>
    <s v="The customer was coughing/sick"/>
    <s v="null"/>
    <s v="null"/>
    <s v="null"/>
    <s v="null"/>
    <x v="0"/>
    <x v="0"/>
    <s v="null"/>
  </r>
  <r>
    <x v="30"/>
    <x v="9"/>
    <x v="538"/>
    <s v="&quot;CNR3125291&quot;"/>
    <x v="3"/>
    <s v="&quot;CID5686688&quot;"/>
    <x v="3"/>
    <x v="73"/>
    <s v="Jor Bagh"/>
    <x v="47"/>
    <s v="null"/>
    <s v="null"/>
    <s v="null"/>
    <n v="1"/>
    <s v="The customer was coughing/sick"/>
    <s v="null"/>
    <s v="null"/>
    <s v="null"/>
    <s v="null"/>
    <x v="0"/>
    <x v="0"/>
    <s v="null"/>
  </r>
  <r>
    <x v="159"/>
    <x v="5"/>
    <x v="539"/>
    <s v="&quot;CNR8788210&quot;"/>
    <x v="4"/>
    <s v="&quot;CID5582299&quot;"/>
    <x v="1"/>
    <x v="105"/>
    <s v="New Colony"/>
    <x v="111"/>
    <s v="null"/>
    <n v="1"/>
    <s v="Change of plans"/>
    <s v="null"/>
    <s v="null"/>
    <s v="null"/>
    <s v="null"/>
    <s v="null"/>
    <s v="null"/>
    <x v="0"/>
    <x v="0"/>
    <s v="null"/>
  </r>
  <r>
    <x v="216"/>
    <x v="1"/>
    <x v="540"/>
    <s v="&quot;CNR2199295&quot;"/>
    <x v="2"/>
    <s v="&quot;CID4892084&quot;"/>
    <x v="1"/>
    <x v="14"/>
    <s v="Tagore Garden"/>
    <x v="27"/>
    <n v="16.8"/>
    <s v="null"/>
    <s v="null"/>
    <s v="null"/>
    <s v="null"/>
    <s v="null"/>
    <s v="null"/>
    <n v="392"/>
    <n v="2.09"/>
    <x v="20"/>
    <x v="1"/>
    <s v="UPI"/>
  </r>
  <r>
    <x v="196"/>
    <x v="1"/>
    <x v="541"/>
    <s v="&quot;CNR5805639&quot;"/>
    <x v="3"/>
    <s v="&quot;CID6316344&quot;"/>
    <x v="3"/>
    <x v="87"/>
    <s v="Chirag Delhi"/>
    <x v="20"/>
    <s v="null"/>
    <s v="null"/>
    <s v="null"/>
    <n v="1"/>
    <s v="Personal &amp; Car related issues"/>
    <s v="null"/>
    <s v="null"/>
    <s v="null"/>
    <s v="null"/>
    <x v="0"/>
    <x v="0"/>
    <s v="null"/>
  </r>
  <r>
    <x v="253"/>
    <x v="7"/>
    <x v="542"/>
    <s v="&quot;CNR8410773&quot;"/>
    <x v="4"/>
    <s v="&quot;CID5525050&quot;"/>
    <x v="2"/>
    <x v="39"/>
    <s v="Botanical Garden"/>
    <x v="62"/>
    <s v="null"/>
    <n v="1"/>
    <s v="Wrong Address"/>
    <s v="null"/>
    <s v="null"/>
    <s v="null"/>
    <s v="null"/>
    <s v="null"/>
    <s v="null"/>
    <x v="0"/>
    <x v="0"/>
    <s v="null"/>
  </r>
  <r>
    <x v="281"/>
    <x v="1"/>
    <x v="543"/>
    <s v="&quot;CNR5442189&quot;"/>
    <x v="2"/>
    <s v="&quot;CID9403434&quot;"/>
    <x v="5"/>
    <x v="74"/>
    <s v="Karkarduma"/>
    <x v="100"/>
    <n v="42.8"/>
    <s v="null"/>
    <s v="null"/>
    <s v="null"/>
    <s v="null"/>
    <s v="null"/>
    <s v="null"/>
    <n v="1052"/>
    <n v="43.22"/>
    <x v="17"/>
    <x v="14"/>
    <s v="Cash"/>
  </r>
  <r>
    <x v="213"/>
    <x v="3"/>
    <x v="544"/>
    <s v="&quot;CNR1278315&quot;"/>
    <x v="3"/>
    <s v="&quot;CID8911337&quot;"/>
    <x v="3"/>
    <x v="1"/>
    <s v="Noida Film City"/>
    <x v="92"/>
    <s v="null"/>
    <s v="null"/>
    <s v="null"/>
    <n v="1"/>
    <s v="The customer was coughing/sick"/>
    <s v="null"/>
    <s v="null"/>
    <s v="null"/>
    <s v="null"/>
    <x v="0"/>
    <x v="0"/>
    <s v="null"/>
  </r>
  <r>
    <x v="14"/>
    <x v="3"/>
    <x v="545"/>
    <s v="&quot;CNR7527478&quot;"/>
    <x v="2"/>
    <s v="&quot;CID4894520&quot;"/>
    <x v="2"/>
    <x v="130"/>
    <s v="Tagore Garden"/>
    <x v="76"/>
    <n v="35.799999999999997"/>
    <s v="null"/>
    <s v="null"/>
    <s v="null"/>
    <s v="null"/>
    <s v="null"/>
    <s v="null"/>
    <n v="921"/>
    <n v="48.69"/>
    <x v="8"/>
    <x v="4"/>
    <s v="Uber Wallet"/>
  </r>
  <r>
    <x v="282"/>
    <x v="11"/>
    <x v="546"/>
    <s v="&quot;CNR4725147&quot;"/>
    <x v="2"/>
    <s v="&quot;CID7166094&quot;"/>
    <x v="4"/>
    <x v="59"/>
    <s v="Rohini West"/>
    <x v="60"/>
    <n v="25.6"/>
    <s v="null"/>
    <s v="null"/>
    <s v="null"/>
    <s v="null"/>
    <s v="null"/>
    <s v="null"/>
    <n v="189"/>
    <n v="25.96"/>
    <x v="2"/>
    <x v="2"/>
    <s v="Credit Card"/>
  </r>
  <r>
    <x v="217"/>
    <x v="2"/>
    <x v="547"/>
    <s v="&quot;CNR5654141&quot;"/>
    <x v="1"/>
    <s v="&quot;CID9881226&quot;"/>
    <x v="3"/>
    <x v="134"/>
    <s v="Jor Bagh"/>
    <x v="101"/>
    <n v="22.1"/>
    <s v="null"/>
    <s v="null"/>
    <s v="null"/>
    <s v="null"/>
    <n v="1"/>
    <s v="Customer Demand"/>
    <n v="314"/>
    <n v="18.89"/>
    <x v="0"/>
    <x v="0"/>
    <s v="Debit Card"/>
  </r>
  <r>
    <x v="283"/>
    <x v="7"/>
    <x v="548"/>
    <s v="&quot;CNR9308880&quot;"/>
    <x v="2"/>
    <s v="&quot;CID9048500&quot;"/>
    <x v="5"/>
    <x v="43"/>
    <s v="Bhikaji Cama Place"/>
    <x v="59"/>
    <n v="24.7"/>
    <s v="null"/>
    <s v="null"/>
    <s v="null"/>
    <s v="null"/>
    <s v="null"/>
    <s v="null"/>
    <n v="115"/>
    <n v="19.14"/>
    <x v="2"/>
    <x v="14"/>
    <s v="Cash"/>
  </r>
  <r>
    <x v="272"/>
    <x v="1"/>
    <x v="549"/>
    <s v="&quot;CNR7223634&quot;"/>
    <x v="2"/>
    <s v="&quot;CID5611923&quot;"/>
    <x v="4"/>
    <x v="128"/>
    <s v="Mandi House"/>
    <x v="20"/>
    <n v="33.799999999999997"/>
    <s v="null"/>
    <s v="null"/>
    <s v="null"/>
    <s v="null"/>
    <s v="null"/>
    <s v="null"/>
    <n v="670"/>
    <n v="15.33"/>
    <x v="6"/>
    <x v="6"/>
    <s v="Credit Card"/>
  </r>
  <r>
    <x v="133"/>
    <x v="8"/>
    <x v="550"/>
    <s v="&quot;CNR8908186&quot;"/>
    <x v="2"/>
    <s v="&quot;CID1060467&quot;"/>
    <x v="4"/>
    <x v="165"/>
    <s v="Ghitorni Village"/>
    <x v="105"/>
    <n v="35.299999999999997"/>
    <s v="null"/>
    <s v="null"/>
    <s v="null"/>
    <s v="null"/>
    <s v="null"/>
    <s v="null"/>
    <n v="751"/>
    <n v="27.13"/>
    <x v="2"/>
    <x v="1"/>
    <s v="UPI"/>
  </r>
  <r>
    <x v="284"/>
    <x v="3"/>
    <x v="551"/>
    <s v="&quot;CNR6098250&quot;"/>
    <x v="2"/>
    <s v="&quot;CID2595479&quot;"/>
    <x v="2"/>
    <x v="124"/>
    <s v="Kalkaji"/>
    <x v="92"/>
    <n v="15.6"/>
    <s v="null"/>
    <s v="null"/>
    <s v="null"/>
    <s v="null"/>
    <s v="null"/>
    <s v="null"/>
    <n v="517"/>
    <n v="16.32"/>
    <x v="14"/>
    <x v="10"/>
    <s v="UPI"/>
  </r>
  <r>
    <x v="230"/>
    <x v="4"/>
    <x v="552"/>
    <s v="&quot;CNR7860349&quot;"/>
    <x v="2"/>
    <s v="&quot;CID5161952&quot;"/>
    <x v="5"/>
    <x v="29"/>
    <s v="Janakpuri"/>
    <x v="93"/>
    <n v="42.6"/>
    <s v="null"/>
    <s v="null"/>
    <s v="null"/>
    <s v="null"/>
    <s v="null"/>
    <s v="null"/>
    <n v="928"/>
    <n v="18.13"/>
    <x v="9"/>
    <x v="4"/>
    <s v="Cash"/>
  </r>
  <r>
    <x v="285"/>
    <x v="5"/>
    <x v="553"/>
    <s v="&quot;CNR7774098&quot;"/>
    <x v="2"/>
    <s v="&quot;CID1535567&quot;"/>
    <x v="5"/>
    <x v="164"/>
    <s v="Vasant Kunj"/>
    <x v="35"/>
    <n v="38.5"/>
    <s v="null"/>
    <s v="null"/>
    <s v="null"/>
    <s v="null"/>
    <s v="null"/>
    <s v="null"/>
    <n v="336"/>
    <n v="27.52"/>
    <x v="4"/>
    <x v="6"/>
    <s v="UPI"/>
  </r>
  <r>
    <x v="286"/>
    <x v="2"/>
    <x v="554"/>
    <s v="&quot;CNR8990210&quot;"/>
    <x v="0"/>
    <s v="&quot;CID6785239&quot;"/>
    <x v="2"/>
    <x v="58"/>
    <s v="Rithala"/>
    <x v="0"/>
    <s v="null"/>
    <s v="null"/>
    <s v="null"/>
    <s v="null"/>
    <s v="null"/>
    <s v="null"/>
    <s v="null"/>
    <s v="null"/>
    <s v="null"/>
    <x v="0"/>
    <x v="0"/>
    <s v="null"/>
  </r>
  <r>
    <x v="279"/>
    <x v="8"/>
    <x v="555"/>
    <s v="&quot;CNR1604843&quot;"/>
    <x v="2"/>
    <s v="&quot;CID3650524&quot;"/>
    <x v="1"/>
    <x v="68"/>
    <s v="Sushant Lok"/>
    <x v="128"/>
    <n v="44.5"/>
    <s v="null"/>
    <s v="null"/>
    <s v="null"/>
    <s v="null"/>
    <s v="null"/>
    <s v="null"/>
    <n v="476"/>
    <n v="4.96"/>
    <x v="5"/>
    <x v="8"/>
    <s v="Cash"/>
  </r>
  <r>
    <x v="287"/>
    <x v="11"/>
    <x v="556"/>
    <s v="&quot;CNR5743864&quot;"/>
    <x v="3"/>
    <s v="&quot;CID4720271&quot;"/>
    <x v="1"/>
    <x v="65"/>
    <s v="Netaji Subhash Place"/>
    <x v="107"/>
    <s v="null"/>
    <s v="null"/>
    <s v="null"/>
    <n v="1"/>
    <s v="More than permitted people in there"/>
    <s v="null"/>
    <s v="null"/>
    <s v="null"/>
    <s v="null"/>
    <x v="0"/>
    <x v="0"/>
    <s v="null"/>
  </r>
  <r>
    <x v="205"/>
    <x v="2"/>
    <x v="557"/>
    <s v="&quot;CNR7721257&quot;"/>
    <x v="2"/>
    <s v="&quot;CID4783718&quot;"/>
    <x v="4"/>
    <x v="34"/>
    <s v="Hero Honda Chowk"/>
    <x v="135"/>
    <n v="17.899999999999999"/>
    <s v="null"/>
    <s v="null"/>
    <s v="null"/>
    <s v="null"/>
    <s v="null"/>
    <s v="null"/>
    <n v="104"/>
    <n v="12.29"/>
    <x v="16"/>
    <x v="1"/>
    <s v="Cash"/>
  </r>
  <r>
    <x v="120"/>
    <x v="2"/>
    <x v="558"/>
    <s v="&quot;CNR7360556&quot;"/>
    <x v="2"/>
    <s v="&quot;CID6551070&quot;"/>
    <x v="2"/>
    <x v="155"/>
    <s v="Noida Sector 62"/>
    <x v="104"/>
    <n v="43.1"/>
    <s v="null"/>
    <s v="null"/>
    <s v="null"/>
    <s v="null"/>
    <s v="null"/>
    <s v="null"/>
    <n v="579"/>
    <n v="7.29"/>
    <x v="12"/>
    <x v="10"/>
    <s v="UPI"/>
  </r>
  <r>
    <x v="288"/>
    <x v="2"/>
    <x v="559"/>
    <s v="&quot;CNR6248078&quot;"/>
    <x v="2"/>
    <s v="&quot;CID5434628&quot;"/>
    <x v="5"/>
    <x v="41"/>
    <s v="Chandni Chowk"/>
    <x v="32"/>
    <n v="41.6"/>
    <s v="null"/>
    <s v="null"/>
    <s v="null"/>
    <s v="null"/>
    <s v="null"/>
    <s v="null"/>
    <n v="181"/>
    <n v="44.75"/>
    <x v="5"/>
    <x v="8"/>
    <s v="Cash"/>
  </r>
  <r>
    <x v="289"/>
    <x v="0"/>
    <x v="560"/>
    <s v="&quot;CNR7698052&quot;"/>
    <x v="2"/>
    <s v="&quot;CID7071135&quot;"/>
    <x v="1"/>
    <x v="155"/>
    <s v="IFFCO Chowk"/>
    <x v="45"/>
    <n v="23.6"/>
    <s v="null"/>
    <s v="null"/>
    <s v="null"/>
    <s v="null"/>
    <s v="null"/>
    <s v="null"/>
    <n v="1727"/>
    <n v="46.07"/>
    <x v="9"/>
    <x v="8"/>
    <s v="Credit Card"/>
  </r>
  <r>
    <x v="182"/>
    <x v="3"/>
    <x v="561"/>
    <s v="&quot;CNR4456848&quot;"/>
    <x v="3"/>
    <s v="&quot;CID8988573&quot;"/>
    <x v="3"/>
    <x v="34"/>
    <s v="Pragati Maidan"/>
    <x v="99"/>
    <s v="null"/>
    <s v="null"/>
    <s v="null"/>
    <n v="1"/>
    <s v="Customer related issue"/>
    <s v="null"/>
    <s v="null"/>
    <s v="null"/>
    <s v="null"/>
    <x v="0"/>
    <x v="0"/>
    <s v="null"/>
  </r>
  <r>
    <x v="290"/>
    <x v="11"/>
    <x v="562"/>
    <s v="&quot;CNR5540432&quot;"/>
    <x v="3"/>
    <s v="&quot;CID3241367&quot;"/>
    <x v="2"/>
    <x v="19"/>
    <s v="Botanical Garden"/>
    <x v="46"/>
    <s v="null"/>
    <s v="null"/>
    <s v="null"/>
    <n v="1"/>
    <s v="Personal &amp; Car related issues"/>
    <s v="null"/>
    <s v="null"/>
    <s v="null"/>
    <s v="null"/>
    <x v="0"/>
    <x v="0"/>
    <s v="null"/>
  </r>
  <r>
    <x v="291"/>
    <x v="10"/>
    <x v="563"/>
    <s v="&quot;CNR3418737&quot;"/>
    <x v="2"/>
    <s v="&quot;CID4772721&quot;"/>
    <x v="2"/>
    <x v="64"/>
    <s v="Punjabi Bagh"/>
    <x v="92"/>
    <n v="20.399999999999999"/>
    <s v="null"/>
    <s v="null"/>
    <s v="null"/>
    <s v="null"/>
    <s v="null"/>
    <s v="null"/>
    <n v="339"/>
    <n v="22.75"/>
    <x v="6"/>
    <x v="2"/>
    <s v="Cash"/>
  </r>
  <r>
    <x v="292"/>
    <x v="8"/>
    <x v="564"/>
    <s v="&quot;CNR2312629&quot;"/>
    <x v="2"/>
    <s v="&quot;CID6034675&quot;"/>
    <x v="2"/>
    <x v="144"/>
    <s v="Dwarka Sector 21"/>
    <x v="29"/>
    <n v="23.6"/>
    <s v="null"/>
    <s v="null"/>
    <s v="null"/>
    <s v="null"/>
    <s v="null"/>
    <s v="null"/>
    <n v="833"/>
    <n v="31.3"/>
    <x v="14"/>
    <x v="5"/>
    <s v="Uber Wallet"/>
  </r>
  <r>
    <x v="116"/>
    <x v="10"/>
    <x v="565"/>
    <s v="&quot;CNR3442968&quot;"/>
    <x v="2"/>
    <s v="&quot;CID3217784&quot;"/>
    <x v="0"/>
    <x v="2"/>
    <s v="Faridabad Sector 15"/>
    <x v="50"/>
    <n v="42.4"/>
    <s v="null"/>
    <s v="null"/>
    <s v="null"/>
    <s v="null"/>
    <s v="null"/>
    <s v="null"/>
    <n v="221"/>
    <n v="11.62"/>
    <x v="6"/>
    <x v="14"/>
    <s v="UPI"/>
  </r>
  <r>
    <x v="66"/>
    <x v="1"/>
    <x v="566"/>
    <s v="&quot;CNR5362803&quot;"/>
    <x v="3"/>
    <s v="&quot;CID7155427&quot;"/>
    <x v="1"/>
    <x v="158"/>
    <s v="Rohini"/>
    <x v="48"/>
    <s v="null"/>
    <s v="null"/>
    <s v="null"/>
    <n v="1"/>
    <s v="Personal &amp; Car related issues"/>
    <s v="null"/>
    <s v="null"/>
    <s v="null"/>
    <s v="null"/>
    <x v="0"/>
    <x v="0"/>
    <s v="null"/>
  </r>
  <r>
    <x v="211"/>
    <x v="11"/>
    <x v="567"/>
    <s v="&quot;CNR8068355&quot;"/>
    <x v="2"/>
    <s v="&quot;CID2908322&quot;"/>
    <x v="5"/>
    <x v="92"/>
    <s v="New Delhi Railway Station"/>
    <x v="36"/>
    <n v="23"/>
    <s v="null"/>
    <s v="null"/>
    <s v="null"/>
    <s v="null"/>
    <s v="null"/>
    <s v="null"/>
    <n v="368"/>
    <n v="27.19"/>
    <x v="6"/>
    <x v="3"/>
    <s v="UPI"/>
  </r>
  <r>
    <x v="52"/>
    <x v="11"/>
    <x v="568"/>
    <s v="&quot;CNR7320481&quot;"/>
    <x v="2"/>
    <s v="&quot;CID1745963&quot;"/>
    <x v="1"/>
    <x v="2"/>
    <s v="Huda City Centre"/>
    <x v="136"/>
    <n v="35.4"/>
    <s v="null"/>
    <s v="null"/>
    <s v="null"/>
    <s v="null"/>
    <s v="null"/>
    <s v="null"/>
    <n v="770"/>
    <n v="10.34"/>
    <x v="5"/>
    <x v="15"/>
    <s v="UPI"/>
  </r>
  <r>
    <x v="220"/>
    <x v="11"/>
    <x v="569"/>
    <s v="&quot;CNR9625360&quot;"/>
    <x v="2"/>
    <s v="&quot;CID7198592&quot;"/>
    <x v="3"/>
    <x v="102"/>
    <s v="Ghitorni Village"/>
    <x v="93"/>
    <n v="19.2"/>
    <s v="null"/>
    <s v="null"/>
    <s v="null"/>
    <s v="null"/>
    <s v="null"/>
    <s v="null"/>
    <n v="140"/>
    <n v="5.24"/>
    <x v="14"/>
    <x v="7"/>
    <s v="UPI"/>
  </r>
  <r>
    <x v="293"/>
    <x v="3"/>
    <x v="570"/>
    <s v="&quot;CNR7564013&quot;"/>
    <x v="2"/>
    <s v="&quot;CID9512652&quot;"/>
    <x v="2"/>
    <x v="137"/>
    <s v="Sushant Lok"/>
    <x v="135"/>
    <n v="19.8"/>
    <s v="null"/>
    <s v="null"/>
    <s v="null"/>
    <s v="null"/>
    <s v="null"/>
    <s v="null"/>
    <n v="249"/>
    <n v="31.52"/>
    <x v="3"/>
    <x v="19"/>
    <s v="UPI"/>
  </r>
  <r>
    <x v="244"/>
    <x v="8"/>
    <x v="571"/>
    <s v="&quot;CNR4088153&quot;"/>
    <x v="2"/>
    <s v="&quot;CID4916643&quot;"/>
    <x v="2"/>
    <x v="136"/>
    <s v="Kashmere Gate ISBT"/>
    <x v="10"/>
    <n v="40.6"/>
    <s v="null"/>
    <s v="null"/>
    <s v="null"/>
    <s v="null"/>
    <s v="null"/>
    <s v="null"/>
    <n v="163"/>
    <n v="19.440000000000001"/>
    <x v="3"/>
    <x v="3"/>
    <s v="Cash"/>
  </r>
  <r>
    <x v="235"/>
    <x v="7"/>
    <x v="572"/>
    <s v="&quot;CNR3300635&quot;"/>
    <x v="2"/>
    <s v="&quot;CID8726709&quot;"/>
    <x v="2"/>
    <x v="66"/>
    <s v="Botanical Garden"/>
    <x v="29"/>
    <n v="31.3"/>
    <s v="null"/>
    <s v="null"/>
    <s v="null"/>
    <s v="null"/>
    <s v="null"/>
    <s v="null"/>
    <n v="1764"/>
    <n v="32.47"/>
    <x v="14"/>
    <x v="5"/>
    <s v="Cash"/>
  </r>
  <r>
    <x v="235"/>
    <x v="7"/>
    <x v="573"/>
    <s v="&quot;CNR7198703&quot;"/>
    <x v="0"/>
    <s v="&quot;CID7566355&quot;"/>
    <x v="0"/>
    <x v="88"/>
    <s v="Keshav Puram"/>
    <x v="0"/>
    <s v="null"/>
    <s v="null"/>
    <s v="null"/>
    <s v="null"/>
    <s v="null"/>
    <s v="null"/>
    <s v="null"/>
    <s v="null"/>
    <s v="null"/>
    <x v="0"/>
    <x v="0"/>
    <s v="null"/>
  </r>
  <r>
    <x v="294"/>
    <x v="4"/>
    <x v="574"/>
    <s v="&quot;CNR5366935&quot;"/>
    <x v="2"/>
    <s v="&quot;CID9046824&quot;"/>
    <x v="4"/>
    <x v="112"/>
    <s v="Govindpuri"/>
    <x v="97"/>
    <n v="21.6"/>
    <s v="null"/>
    <s v="null"/>
    <s v="null"/>
    <s v="null"/>
    <s v="null"/>
    <s v="null"/>
    <n v="354"/>
    <n v="39.56"/>
    <x v="15"/>
    <x v="3"/>
    <s v="Cash"/>
  </r>
  <r>
    <x v="138"/>
    <x v="9"/>
    <x v="575"/>
    <s v="&quot;CNR5738309&quot;"/>
    <x v="3"/>
    <s v="&quot;CID3264136&quot;"/>
    <x v="3"/>
    <x v="116"/>
    <s v="Okhla"/>
    <x v="39"/>
    <s v="null"/>
    <s v="null"/>
    <s v="null"/>
    <n v="1"/>
    <s v="More than permitted people in there"/>
    <s v="null"/>
    <s v="null"/>
    <s v="null"/>
    <s v="null"/>
    <x v="0"/>
    <x v="0"/>
    <s v="null"/>
  </r>
  <r>
    <x v="71"/>
    <x v="5"/>
    <x v="576"/>
    <s v="&quot;CNR2751689&quot;"/>
    <x v="3"/>
    <s v="&quot;CID2451322&quot;"/>
    <x v="1"/>
    <x v="26"/>
    <s v="MG Road"/>
    <x v="111"/>
    <s v="null"/>
    <s v="null"/>
    <s v="null"/>
    <n v="1"/>
    <s v="More than permitted people in there"/>
    <s v="null"/>
    <s v="null"/>
    <s v="null"/>
    <s v="null"/>
    <x v="0"/>
    <x v="0"/>
    <s v="null"/>
  </r>
  <r>
    <x v="74"/>
    <x v="0"/>
    <x v="577"/>
    <s v="&quot;CNR1407518&quot;"/>
    <x v="2"/>
    <s v="&quot;CID4174424&quot;"/>
    <x v="4"/>
    <x v="121"/>
    <s v="Ghitorni Village"/>
    <x v="68"/>
    <n v="16"/>
    <s v="null"/>
    <s v="null"/>
    <s v="null"/>
    <s v="null"/>
    <s v="null"/>
    <s v="null"/>
    <n v="124"/>
    <n v="33.54"/>
    <x v="10"/>
    <x v="13"/>
    <s v="UPI"/>
  </r>
  <r>
    <x v="23"/>
    <x v="0"/>
    <x v="578"/>
    <s v="&quot;CNR9764222&quot;"/>
    <x v="2"/>
    <s v="&quot;CID7115581&quot;"/>
    <x v="1"/>
    <x v="166"/>
    <s v="ITO"/>
    <x v="28"/>
    <n v="25.5"/>
    <s v="null"/>
    <s v="null"/>
    <s v="null"/>
    <s v="null"/>
    <s v="null"/>
    <s v="null"/>
    <n v="537"/>
    <n v="6.69"/>
    <x v="7"/>
    <x v="4"/>
    <s v="UPI"/>
  </r>
  <r>
    <x v="295"/>
    <x v="6"/>
    <x v="579"/>
    <s v="&quot;CNR8216364&quot;"/>
    <x v="2"/>
    <s v="&quot;CID7366872&quot;"/>
    <x v="0"/>
    <x v="60"/>
    <s v="Old Gurgaon"/>
    <x v="130"/>
    <n v="32.4"/>
    <s v="null"/>
    <s v="null"/>
    <s v="null"/>
    <s v="null"/>
    <s v="null"/>
    <s v="null"/>
    <n v="1316"/>
    <n v="20.149999999999999"/>
    <x v="14"/>
    <x v="3"/>
    <s v="UPI"/>
  </r>
  <r>
    <x v="107"/>
    <x v="8"/>
    <x v="580"/>
    <s v="&quot;CNR4859116&quot;"/>
    <x v="1"/>
    <s v="&quot;CID7339139&quot;"/>
    <x v="4"/>
    <x v="67"/>
    <s v="Vatika Chowk"/>
    <x v="47"/>
    <n v="17.3"/>
    <s v="null"/>
    <s v="null"/>
    <s v="null"/>
    <s v="null"/>
    <n v="1"/>
    <s v="Customer Demand"/>
    <n v="328"/>
    <n v="8.4"/>
    <x v="0"/>
    <x v="0"/>
    <s v="UPI"/>
  </r>
  <r>
    <x v="296"/>
    <x v="1"/>
    <x v="581"/>
    <s v="&quot;CNR5062372&quot;"/>
    <x v="4"/>
    <s v="&quot;CID4198911&quot;"/>
    <x v="5"/>
    <x v="162"/>
    <s v="IIT Delhi"/>
    <x v="108"/>
    <s v="null"/>
    <n v="1"/>
    <s v="AC is not working"/>
    <s v="null"/>
    <s v="null"/>
    <s v="null"/>
    <s v="null"/>
    <s v="null"/>
    <s v="null"/>
    <x v="0"/>
    <x v="0"/>
    <s v="null"/>
  </r>
  <r>
    <x v="249"/>
    <x v="5"/>
    <x v="582"/>
    <s v="&quot;CNR3842641&quot;"/>
    <x v="2"/>
    <s v="&quot;CID1750914&quot;"/>
    <x v="2"/>
    <x v="15"/>
    <s v="IFFCO Chowk"/>
    <x v="122"/>
    <n v="23.5"/>
    <s v="null"/>
    <s v="null"/>
    <s v="null"/>
    <s v="null"/>
    <s v="null"/>
    <s v="null"/>
    <n v="733"/>
    <n v="21.07"/>
    <x v="14"/>
    <x v="10"/>
    <s v="Cash"/>
  </r>
  <r>
    <x v="297"/>
    <x v="3"/>
    <x v="583"/>
    <s v="&quot;CNR4460316&quot;"/>
    <x v="3"/>
    <s v="&quot;CID6444247&quot;"/>
    <x v="1"/>
    <x v="101"/>
    <s v="Badshahpur"/>
    <x v="80"/>
    <s v="null"/>
    <s v="null"/>
    <s v="null"/>
    <n v="1"/>
    <s v="The customer was coughing/sick"/>
    <s v="null"/>
    <s v="null"/>
    <s v="null"/>
    <s v="null"/>
    <x v="0"/>
    <x v="0"/>
    <s v="null"/>
  </r>
  <r>
    <x v="298"/>
    <x v="6"/>
    <x v="584"/>
    <s v="&quot;CNR1323410&quot;"/>
    <x v="2"/>
    <s v="&quot;CID4463798&quot;"/>
    <x v="3"/>
    <x v="116"/>
    <s v="Bahadurgarh"/>
    <x v="87"/>
    <n v="34.200000000000003"/>
    <s v="null"/>
    <s v="null"/>
    <s v="null"/>
    <s v="null"/>
    <s v="null"/>
    <s v="null"/>
    <n v="298"/>
    <n v="12.52"/>
    <x v="5"/>
    <x v="4"/>
    <s v="Debit Card"/>
  </r>
  <r>
    <x v="10"/>
    <x v="6"/>
    <x v="585"/>
    <s v="&quot;CNR2250312&quot;"/>
    <x v="2"/>
    <s v="&quot;CID3180078&quot;"/>
    <x v="2"/>
    <x v="158"/>
    <s v="Tughlakabad"/>
    <x v="1"/>
    <n v="39.200000000000003"/>
    <s v="null"/>
    <s v="null"/>
    <s v="null"/>
    <s v="null"/>
    <s v="null"/>
    <s v="null"/>
    <n v="858"/>
    <n v="43.87"/>
    <x v="15"/>
    <x v="10"/>
    <s v="UPI"/>
  </r>
  <r>
    <x v="238"/>
    <x v="11"/>
    <x v="586"/>
    <s v="&quot;CNR4635927&quot;"/>
    <x v="0"/>
    <s v="&quot;CID7012211&quot;"/>
    <x v="1"/>
    <x v="14"/>
    <s v="South Extension"/>
    <x v="0"/>
    <s v="null"/>
    <s v="null"/>
    <s v="null"/>
    <s v="null"/>
    <s v="null"/>
    <s v="null"/>
    <s v="null"/>
    <s v="null"/>
    <s v="null"/>
    <x v="0"/>
    <x v="0"/>
    <s v="null"/>
  </r>
  <r>
    <x v="216"/>
    <x v="1"/>
    <x v="587"/>
    <s v="&quot;CNR9536120&quot;"/>
    <x v="2"/>
    <s v="&quot;CID9337094&quot;"/>
    <x v="2"/>
    <x v="21"/>
    <s v="Badarpur"/>
    <x v="8"/>
    <n v="43.8"/>
    <s v="null"/>
    <s v="null"/>
    <s v="null"/>
    <s v="null"/>
    <s v="null"/>
    <s v="null"/>
    <n v="467"/>
    <n v="32.54"/>
    <x v="3"/>
    <x v="10"/>
    <s v="UPI"/>
  </r>
  <r>
    <x v="132"/>
    <x v="5"/>
    <x v="588"/>
    <s v="&quot;CNR7195310&quot;"/>
    <x v="2"/>
    <s v="&quot;CID6035944&quot;"/>
    <x v="1"/>
    <x v="134"/>
    <s v="Welcome"/>
    <x v="116"/>
    <n v="19.5"/>
    <s v="null"/>
    <s v="null"/>
    <s v="null"/>
    <s v="null"/>
    <s v="null"/>
    <s v="null"/>
    <n v="823"/>
    <n v="16.850000000000001"/>
    <x v="6"/>
    <x v="2"/>
    <s v="Uber Wallet"/>
  </r>
  <r>
    <x v="20"/>
    <x v="7"/>
    <x v="589"/>
    <s v="&quot;CNR5828425&quot;"/>
    <x v="2"/>
    <s v="&quot;CID8430067&quot;"/>
    <x v="3"/>
    <x v="138"/>
    <s v="Kirti Nagar"/>
    <x v="61"/>
    <n v="37.1"/>
    <s v="null"/>
    <s v="null"/>
    <s v="null"/>
    <s v="null"/>
    <s v="null"/>
    <s v="null"/>
    <n v="413"/>
    <n v="30.16"/>
    <x v="11"/>
    <x v="3"/>
    <s v="UPI"/>
  </r>
  <r>
    <x v="68"/>
    <x v="4"/>
    <x v="590"/>
    <s v="&quot;CNR5197707&quot;"/>
    <x v="2"/>
    <s v="&quot;CID8536713&quot;"/>
    <x v="3"/>
    <x v="111"/>
    <s v="Seelampur"/>
    <x v="25"/>
    <n v="24.3"/>
    <s v="null"/>
    <s v="null"/>
    <s v="null"/>
    <s v="null"/>
    <s v="null"/>
    <s v="null"/>
    <n v="432"/>
    <n v="46.99"/>
    <x v="6"/>
    <x v="4"/>
    <s v="Cash"/>
  </r>
  <r>
    <x v="183"/>
    <x v="4"/>
    <x v="591"/>
    <s v="&quot;CNR5254201&quot;"/>
    <x v="2"/>
    <s v="&quot;CID5776348&quot;"/>
    <x v="2"/>
    <x v="107"/>
    <s v="Madipur"/>
    <x v="4"/>
    <n v="35.799999999999997"/>
    <s v="null"/>
    <s v="null"/>
    <s v="null"/>
    <s v="null"/>
    <s v="null"/>
    <s v="null"/>
    <n v="455"/>
    <n v="30.43"/>
    <x v="16"/>
    <x v="3"/>
    <s v="UPI"/>
  </r>
  <r>
    <x v="97"/>
    <x v="8"/>
    <x v="592"/>
    <s v="&quot;CNR8163591&quot;"/>
    <x v="4"/>
    <s v="&quot;CID2960805&quot;"/>
    <x v="1"/>
    <x v="112"/>
    <s v="New Colony"/>
    <x v="44"/>
    <s v="null"/>
    <n v="1"/>
    <s v="Driver is not moving towards pickup location"/>
    <s v="null"/>
    <s v="null"/>
    <s v="null"/>
    <s v="null"/>
    <s v="null"/>
    <s v="null"/>
    <x v="0"/>
    <x v="0"/>
    <s v="null"/>
  </r>
  <r>
    <x v="299"/>
    <x v="8"/>
    <x v="593"/>
    <s v="&quot;CNR1176861&quot;"/>
    <x v="3"/>
    <s v="&quot;CID5753303&quot;"/>
    <x v="2"/>
    <x v="115"/>
    <s v="Rohini West"/>
    <x v="27"/>
    <s v="null"/>
    <s v="null"/>
    <s v="null"/>
    <n v="1"/>
    <s v="Personal &amp; Car related issues"/>
    <s v="null"/>
    <s v="null"/>
    <s v="null"/>
    <s v="null"/>
    <x v="0"/>
    <x v="0"/>
    <s v="null"/>
  </r>
  <r>
    <x v="151"/>
    <x v="4"/>
    <x v="594"/>
    <s v="&quot;CNR5785463&quot;"/>
    <x v="2"/>
    <s v="&quot;CID8295105&quot;"/>
    <x v="4"/>
    <x v="146"/>
    <s v="Faridabad Sector 15"/>
    <x v="125"/>
    <n v="38.6"/>
    <s v="null"/>
    <s v="null"/>
    <s v="null"/>
    <s v="null"/>
    <s v="null"/>
    <s v="null"/>
    <n v="450"/>
    <n v="42.68"/>
    <x v="6"/>
    <x v="19"/>
    <s v="UPI"/>
  </r>
  <r>
    <x v="3"/>
    <x v="3"/>
    <x v="595"/>
    <s v="&quot;CNR6919794&quot;"/>
    <x v="2"/>
    <s v="&quot;CID6774748&quot;"/>
    <x v="2"/>
    <x v="63"/>
    <s v="Manesar"/>
    <x v="11"/>
    <n v="34"/>
    <s v="null"/>
    <s v="null"/>
    <s v="null"/>
    <s v="null"/>
    <s v="null"/>
    <s v="null"/>
    <n v="770"/>
    <n v="20.76"/>
    <x v="4"/>
    <x v="6"/>
    <s v="UPI"/>
  </r>
  <r>
    <x v="129"/>
    <x v="2"/>
    <x v="596"/>
    <s v="&quot;CNR9843847&quot;"/>
    <x v="2"/>
    <s v="&quot;CID6799716&quot;"/>
    <x v="1"/>
    <x v="99"/>
    <s v="Jasola"/>
    <x v="108"/>
    <n v="43.5"/>
    <s v="null"/>
    <s v="null"/>
    <s v="null"/>
    <s v="null"/>
    <s v="null"/>
    <s v="null"/>
    <n v="875"/>
    <n v="6.58"/>
    <x v="7"/>
    <x v="3"/>
    <s v="UPI"/>
  </r>
  <r>
    <x v="227"/>
    <x v="6"/>
    <x v="597"/>
    <s v="&quot;CNR4392706&quot;"/>
    <x v="2"/>
    <s v="&quot;CID6689563&quot;"/>
    <x v="2"/>
    <x v="27"/>
    <s v="Green Park"/>
    <x v="12"/>
    <n v="17.7"/>
    <s v="null"/>
    <s v="null"/>
    <s v="null"/>
    <s v="null"/>
    <s v="null"/>
    <s v="null"/>
    <n v="141"/>
    <n v="16.41"/>
    <x v="14"/>
    <x v="2"/>
    <s v="Cash"/>
  </r>
  <r>
    <x v="128"/>
    <x v="5"/>
    <x v="598"/>
    <s v="&quot;CNR9228185&quot;"/>
    <x v="2"/>
    <s v="&quot;CID7967244&quot;"/>
    <x v="3"/>
    <x v="27"/>
    <s v="Paschim Vihar"/>
    <x v="8"/>
    <n v="23.2"/>
    <s v="null"/>
    <s v="null"/>
    <s v="null"/>
    <s v="null"/>
    <s v="null"/>
    <s v="null"/>
    <n v="212"/>
    <n v="10.89"/>
    <x v="5"/>
    <x v="7"/>
    <s v="Cash"/>
  </r>
  <r>
    <x v="240"/>
    <x v="2"/>
    <x v="599"/>
    <s v="&quot;CNR5605609&quot;"/>
    <x v="3"/>
    <s v="&quot;CID4841601&quot;"/>
    <x v="5"/>
    <x v="94"/>
    <s v="Raj Nagar Extension"/>
    <x v="22"/>
    <s v="null"/>
    <s v="null"/>
    <s v="null"/>
    <n v="1"/>
    <s v="Personal &amp; Car related issues"/>
    <s v="null"/>
    <s v="null"/>
    <s v="null"/>
    <s v="null"/>
    <x v="0"/>
    <x v="0"/>
    <s v="null"/>
  </r>
  <r>
    <x v="275"/>
    <x v="6"/>
    <x v="600"/>
    <s v="&quot;CNR6160275&quot;"/>
    <x v="2"/>
    <s v="&quot;CID5501411&quot;"/>
    <x v="6"/>
    <x v="105"/>
    <s v="Noida Sector 62"/>
    <x v="24"/>
    <n v="19.2"/>
    <s v="null"/>
    <s v="null"/>
    <s v="null"/>
    <s v="null"/>
    <s v="null"/>
    <s v="null"/>
    <n v="630"/>
    <n v="49.26"/>
    <x v="3"/>
    <x v="19"/>
    <s v="Cash"/>
  </r>
  <r>
    <x v="300"/>
    <x v="10"/>
    <x v="601"/>
    <s v="&quot;CNR2204332&quot;"/>
    <x v="2"/>
    <s v="&quot;CID8779024&quot;"/>
    <x v="3"/>
    <x v="117"/>
    <s v="Vaishali"/>
    <x v="111"/>
    <n v="32.799999999999997"/>
    <s v="null"/>
    <s v="null"/>
    <s v="null"/>
    <s v="null"/>
    <s v="null"/>
    <s v="null"/>
    <n v="263"/>
    <n v="46.6"/>
    <x v="2"/>
    <x v="3"/>
    <s v="Cash"/>
  </r>
  <r>
    <x v="47"/>
    <x v="6"/>
    <x v="602"/>
    <s v="&quot;CNR7064469&quot;"/>
    <x v="2"/>
    <s v="&quot;CID1757129&quot;"/>
    <x v="1"/>
    <x v="77"/>
    <s v="Qutub Minar"/>
    <x v="11"/>
    <n v="36.1"/>
    <s v="null"/>
    <s v="null"/>
    <s v="null"/>
    <s v="null"/>
    <s v="null"/>
    <s v="null"/>
    <n v="807"/>
    <n v="16.760000000000002"/>
    <x v="21"/>
    <x v="4"/>
    <s v="Uber Wallet"/>
  </r>
  <r>
    <x v="36"/>
    <x v="3"/>
    <x v="603"/>
    <s v="&quot;CNR8106259&quot;"/>
    <x v="2"/>
    <s v="&quot;CID3123435&quot;"/>
    <x v="3"/>
    <x v="11"/>
    <s v="Shastri Nagar"/>
    <x v="45"/>
    <n v="19.8"/>
    <s v="null"/>
    <s v="null"/>
    <s v="null"/>
    <s v="null"/>
    <s v="null"/>
    <s v="null"/>
    <n v="418"/>
    <n v="45.71"/>
    <x v="7"/>
    <x v="7"/>
    <s v="UPI"/>
  </r>
  <r>
    <x v="301"/>
    <x v="4"/>
    <x v="604"/>
    <s v="&quot;CNR6657363&quot;"/>
    <x v="2"/>
    <s v="&quot;CID8258687&quot;"/>
    <x v="2"/>
    <x v="27"/>
    <s v="Greater Noida"/>
    <x v="53"/>
    <n v="16.5"/>
    <s v="null"/>
    <s v="null"/>
    <s v="null"/>
    <s v="null"/>
    <s v="null"/>
    <s v="null"/>
    <n v="268"/>
    <n v="8.34"/>
    <x v="20"/>
    <x v="3"/>
    <s v="Cash"/>
  </r>
  <r>
    <x v="133"/>
    <x v="8"/>
    <x v="605"/>
    <s v="&quot;CNR5009960&quot;"/>
    <x v="3"/>
    <s v="&quot;CID4647984&quot;"/>
    <x v="5"/>
    <x v="151"/>
    <s v="Sohna Road"/>
    <x v="15"/>
    <s v="null"/>
    <s v="null"/>
    <s v="null"/>
    <n v="1"/>
    <s v="The customer was coughing/sick"/>
    <s v="null"/>
    <s v="null"/>
    <s v="null"/>
    <s v="null"/>
    <x v="0"/>
    <x v="0"/>
    <s v="null"/>
  </r>
  <r>
    <x v="177"/>
    <x v="5"/>
    <x v="606"/>
    <s v="&quot;CNR5012798&quot;"/>
    <x v="0"/>
    <s v="&quot;CID6112870&quot;"/>
    <x v="4"/>
    <x v="143"/>
    <s v="Nehru Place"/>
    <x v="0"/>
    <s v="null"/>
    <s v="null"/>
    <s v="null"/>
    <s v="null"/>
    <s v="null"/>
    <s v="null"/>
    <s v="null"/>
    <s v="null"/>
    <s v="null"/>
    <x v="0"/>
    <x v="0"/>
    <s v="null"/>
  </r>
  <r>
    <x v="25"/>
    <x v="2"/>
    <x v="607"/>
    <s v="&quot;CNR1557346&quot;"/>
    <x v="1"/>
    <s v="&quot;CID3922737&quot;"/>
    <x v="2"/>
    <x v="134"/>
    <s v="Gurgaon Sector 56"/>
    <x v="24"/>
    <n v="21.2"/>
    <s v="null"/>
    <s v="null"/>
    <s v="null"/>
    <s v="null"/>
    <n v="1"/>
    <s v="Other Issue"/>
    <n v="953"/>
    <n v="4.5999999999999996"/>
    <x v="0"/>
    <x v="0"/>
    <s v="UPI"/>
  </r>
  <r>
    <x v="24"/>
    <x v="2"/>
    <x v="608"/>
    <s v="&quot;CNR5966048&quot;"/>
    <x v="2"/>
    <s v="&quot;CID1071287&quot;"/>
    <x v="6"/>
    <x v="164"/>
    <s v="Greater Noida"/>
    <x v="137"/>
    <n v="41.9"/>
    <s v="null"/>
    <s v="null"/>
    <s v="null"/>
    <s v="null"/>
    <s v="null"/>
    <s v="null"/>
    <n v="773"/>
    <n v="48.84"/>
    <x v="13"/>
    <x v="14"/>
    <s v="Uber Wallet"/>
  </r>
  <r>
    <x v="36"/>
    <x v="3"/>
    <x v="609"/>
    <s v="&quot;CNR3253442&quot;"/>
    <x v="3"/>
    <s v="&quot;CID8239451&quot;"/>
    <x v="4"/>
    <x v="130"/>
    <s v="Greater Kailash"/>
    <x v="92"/>
    <s v="null"/>
    <s v="null"/>
    <s v="null"/>
    <n v="1"/>
    <s v="Personal &amp; Car related issues"/>
    <s v="null"/>
    <s v="null"/>
    <s v="null"/>
    <s v="null"/>
    <x v="0"/>
    <x v="0"/>
    <s v="null"/>
  </r>
  <r>
    <x v="302"/>
    <x v="10"/>
    <x v="610"/>
    <s v="&quot;CNR4963206&quot;"/>
    <x v="2"/>
    <s v="&quot;CID9374785&quot;"/>
    <x v="1"/>
    <x v="21"/>
    <s v="New Colony"/>
    <x v="44"/>
    <n v="29"/>
    <s v="null"/>
    <s v="null"/>
    <s v="null"/>
    <s v="null"/>
    <s v="null"/>
    <s v="null"/>
    <n v="137"/>
    <n v="34.83"/>
    <x v="7"/>
    <x v="8"/>
    <s v="UPI"/>
  </r>
  <r>
    <x v="303"/>
    <x v="1"/>
    <x v="611"/>
    <s v="&quot;CNR4067782&quot;"/>
    <x v="2"/>
    <s v="&quot;CID6180494&quot;"/>
    <x v="2"/>
    <x v="167"/>
    <s v="Sushant Lok"/>
    <x v="40"/>
    <n v="41.1"/>
    <s v="null"/>
    <s v="null"/>
    <s v="null"/>
    <s v="null"/>
    <s v="null"/>
    <s v="null"/>
    <n v="215"/>
    <n v="27.67"/>
    <x v="14"/>
    <x v="3"/>
    <s v="Debit Card"/>
  </r>
  <r>
    <x v="190"/>
    <x v="0"/>
    <x v="612"/>
    <s v="&quot;CNR9310811&quot;"/>
    <x v="2"/>
    <s v="&quot;CID9760512&quot;"/>
    <x v="3"/>
    <x v="142"/>
    <s v="Vatika Chowk"/>
    <x v="32"/>
    <n v="37.5"/>
    <s v="null"/>
    <s v="null"/>
    <s v="null"/>
    <s v="null"/>
    <s v="null"/>
    <s v="null"/>
    <n v="113"/>
    <n v="21.68"/>
    <x v="14"/>
    <x v="13"/>
    <s v="UPI"/>
  </r>
  <r>
    <x v="208"/>
    <x v="2"/>
    <x v="613"/>
    <s v="&quot;CNR5984068&quot;"/>
    <x v="4"/>
    <s v="&quot;CID4463716&quot;"/>
    <x v="5"/>
    <x v="168"/>
    <s v="Vishwavidyalaya"/>
    <x v="130"/>
    <s v="null"/>
    <n v="1"/>
    <s v="AC is not working"/>
    <s v="null"/>
    <s v="null"/>
    <s v="null"/>
    <s v="null"/>
    <s v="null"/>
    <s v="null"/>
    <x v="0"/>
    <x v="0"/>
    <s v="null"/>
  </r>
  <r>
    <x v="212"/>
    <x v="4"/>
    <x v="614"/>
    <s v="&quot;CNR2440013&quot;"/>
    <x v="2"/>
    <s v="&quot;CID5614936&quot;"/>
    <x v="2"/>
    <x v="31"/>
    <s v="Noida Sector 62"/>
    <x v="90"/>
    <n v="18.3"/>
    <s v="null"/>
    <s v="null"/>
    <s v="null"/>
    <s v="null"/>
    <s v="null"/>
    <s v="null"/>
    <n v="343"/>
    <n v="5.27"/>
    <x v="5"/>
    <x v="14"/>
    <s v="Uber Wallet"/>
  </r>
  <r>
    <x v="49"/>
    <x v="9"/>
    <x v="615"/>
    <s v="&quot;CNR1014047&quot;"/>
    <x v="2"/>
    <s v="&quot;CID5187884&quot;"/>
    <x v="5"/>
    <x v="162"/>
    <s v="Patel Chowk"/>
    <x v="100"/>
    <n v="26.3"/>
    <s v="null"/>
    <s v="null"/>
    <s v="null"/>
    <s v="null"/>
    <s v="null"/>
    <s v="null"/>
    <n v="477"/>
    <n v="2.65"/>
    <x v="14"/>
    <x v="8"/>
    <s v="UPI"/>
  </r>
  <r>
    <x v="294"/>
    <x v="4"/>
    <x v="616"/>
    <s v="&quot;CNR4429410&quot;"/>
    <x v="0"/>
    <s v="&quot;CID2136964&quot;"/>
    <x v="1"/>
    <x v="53"/>
    <s v="IGNOU Road"/>
    <x v="0"/>
    <s v="null"/>
    <s v="null"/>
    <s v="null"/>
    <s v="null"/>
    <s v="null"/>
    <s v="null"/>
    <s v="null"/>
    <s v="null"/>
    <s v="null"/>
    <x v="0"/>
    <x v="0"/>
    <s v="null"/>
  </r>
  <r>
    <x v="54"/>
    <x v="9"/>
    <x v="617"/>
    <s v="&quot;CNR7340675&quot;"/>
    <x v="2"/>
    <s v="&quot;CID9775644&quot;"/>
    <x v="0"/>
    <x v="130"/>
    <s v="Azadpur"/>
    <x v="126"/>
    <n v="29"/>
    <s v="null"/>
    <s v="null"/>
    <s v="null"/>
    <s v="null"/>
    <s v="null"/>
    <s v="null"/>
    <n v="523"/>
    <n v="15.33"/>
    <x v="12"/>
    <x v="10"/>
    <s v="Cash"/>
  </r>
  <r>
    <x v="304"/>
    <x v="1"/>
    <x v="618"/>
    <s v="&quot;CNR4839889&quot;"/>
    <x v="2"/>
    <s v="&quot;CID2622337&quot;"/>
    <x v="4"/>
    <x v="10"/>
    <s v="Raj Nagar Extension"/>
    <x v="59"/>
    <n v="17.100000000000001"/>
    <s v="null"/>
    <s v="null"/>
    <s v="null"/>
    <s v="null"/>
    <s v="null"/>
    <s v="null"/>
    <n v="601"/>
    <n v="48.96"/>
    <x v="6"/>
    <x v="6"/>
    <s v="UPI"/>
  </r>
  <r>
    <x v="60"/>
    <x v="0"/>
    <x v="619"/>
    <s v="&quot;CNR4201157&quot;"/>
    <x v="1"/>
    <s v="&quot;CID9760707&quot;"/>
    <x v="2"/>
    <x v="165"/>
    <s v="Pitampura"/>
    <x v="78"/>
    <n v="21.9"/>
    <s v="null"/>
    <s v="null"/>
    <s v="null"/>
    <s v="null"/>
    <n v="1"/>
    <s v="Vehicle Breakdown"/>
    <n v="698"/>
    <n v="5.1100000000000003"/>
    <x v="0"/>
    <x v="0"/>
    <s v="Debit Card"/>
  </r>
  <r>
    <x v="228"/>
    <x v="0"/>
    <x v="620"/>
    <s v="&quot;CNR2269173&quot;"/>
    <x v="2"/>
    <s v="&quot;CID3033035&quot;"/>
    <x v="4"/>
    <x v="125"/>
    <s v="Paschim Vihar"/>
    <x v="10"/>
    <n v="22.7"/>
    <s v="null"/>
    <s v="null"/>
    <s v="null"/>
    <s v="null"/>
    <s v="null"/>
    <s v="null"/>
    <n v="2145"/>
    <n v="35.76"/>
    <x v="14"/>
    <x v="10"/>
    <s v="Debit Card"/>
  </r>
  <r>
    <x v="110"/>
    <x v="9"/>
    <x v="621"/>
    <s v="&quot;CNR3506770&quot;"/>
    <x v="2"/>
    <s v="&quot;CID1564724&quot;"/>
    <x v="4"/>
    <x v="151"/>
    <s v="Jama Masjid"/>
    <x v="9"/>
    <n v="44.2"/>
    <s v="null"/>
    <s v="null"/>
    <s v="null"/>
    <s v="null"/>
    <s v="null"/>
    <s v="null"/>
    <n v="313"/>
    <n v="36.19"/>
    <x v="2"/>
    <x v="3"/>
    <s v="UPI"/>
  </r>
  <r>
    <x v="161"/>
    <x v="9"/>
    <x v="622"/>
    <s v="&quot;CNR6855175&quot;"/>
    <x v="3"/>
    <s v="&quot;CID2378462&quot;"/>
    <x v="5"/>
    <x v="129"/>
    <s v="ITO"/>
    <x v="62"/>
    <s v="null"/>
    <s v="null"/>
    <s v="null"/>
    <n v="1"/>
    <s v="More than permitted people in there"/>
    <s v="null"/>
    <s v="null"/>
    <s v="null"/>
    <s v="null"/>
    <x v="0"/>
    <x v="0"/>
    <s v="null"/>
  </r>
  <r>
    <x v="146"/>
    <x v="2"/>
    <x v="623"/>
    <s v="&quot;CNR8859781&quot;"/>
    <x v="2"/>
    <s v="&quot;CID5490176&quot;"/>
    <x v="3"/>
    <x v="3"/>
    <s v="India Gate"/>
    <x v="11"/>
    <n v="19.5"/>
    <s v="null"/>
    <s v="null"/>
    <s v="null"/>
    <s v="null"/>
    <s v="null"/>
    <s v="null"/>
    <n v="480"/>
    <n v="18.149999999999999"/>
    <x v="5"/>
    <x v="10"/>
    <s v="UPI"/>
  </r>
  <r>
    <x v="183"/>
    <x v="4"/>
    <x v="624"/>
    <s v="&quot;CNR2961611&quot;"/>
    <x v="2"/>
    <s v="&quot;CID3190517&quot;"/>
    <x v="3"/>
    <x v="87"/>
    <s v="RK Puram"/>
    <x v="130"/>
    <n v="23"/>
    <s v="null"/>
    <s v="null"/>
    <s v="null"/>
    <s v="null"/>
    <s v="null"/>
    <s v="null"/>
    <n v="953"/>
    <n v="18.579999999999998"/>
    <x v="8"/>
    <x v="8"/>
    <s v="Debit Card"/>
  </r>
  <r>
    <x v="156"/>
    <x v="7"/>
    <x v="625"/>
    <s v="&quot;CNR5009691&quot;"/>
    <x v="4"/>
    <s v="&quot;CID2286725&quot;"/>
    <x v="4"/>
    <x v="2"/>
    <s v="Paharganj"/>
    <x v="136"/>
    <s v="null"/>
    <n v="1"/>
    <s v="Wrong Address"/>
    <s v="null"/>
    <s v="null"/>
    <s v="null"/>
    <s v="null"/>
    <s v="null"/>
    <s v="null"/>
    <x v="0"/>
    <x v="0"/>
    <s v="null"/>
  </r>
  <r>
    <x v="210"/>
    <x v="0"/>
    <x v="626"/>
    <s v="&quot;CNR6785751&quot;"/>
    <x v="2"/>
    <s v="&quot;CID9577024&quot;"/>
    <x v="1"/>
    <x v="3"/>
    <s v="Lok Kalyan Marg"/>
    <x v="74"/>
    <n v="18.899999999999999"/>
    <s v="null"/>
    <s v="null"/>
    <s v="null"/>
    <s v="null"/>
    <s v="null"/>
    <s v="null"/>
    <n v="440"/>
    <n v="43.05"/>
    <x v="10"/>
    <x v="14"/>
    <s v="Cash"/>
  </r>
  <r>
    <x v="305"/>
    <x v="6"/>
    <x v="627"/>
    <s v="&quot;CNR6145087&quot;"/>
    <x v="2"/>
    <s v="&quot;CID7713985&quot;"/>
    <x v="2"/>
    <x v="111"/>
    <s v="Saket"/>
    <x v="117"/>
    <n v="24.8"/>
    <s v="null"/>
    <s v="null"/>
    <s v="null"/>
    <s v="null"/>
    <s v="null"/>
    <s v="null"/>
    <n v="62"/>
    <n v="42.69"/>
    <x v="8"/>
    <x v="3"/>
    <s v="Cash"/>
  </r>
  <r>
    <x v="69"/>
    <x v="1"/>
    <x v="628"/>
    <s v="&quot;CNR7704384&quot;"/>
    <x v="3"/>
    <s v="&quot;CID2670324&quot;"/>
    <x v="2"/>
    <x v="61"/>
    <s v="Model Town"/>
    <x v="47"/>
    <s v="null"/>
    <s v="null"/>
    <s v="null"/>
    <n v="1"/>
    <s v="Personal &amp; Car related issues"/>
    <s v="null"/>
    <s v="null"/>
    <s v="null"/>
    <s v="null"/>
    <x v="0"/>
    <x v="0"/>
    <s v="null"/>
  </r>
  <r>
    <x v="7"/>
    <x v="0"/>
    <x v="629"/>
    <s v="&quot;CNR5943425&quot;"/>
    <x v="2"/>
    <s v="&quot;CID6866756&quot;"/>
    <x v="2"/>
    <x v="130"/>
    <s v="Rohini"/>
    <x v="64"/>
    <n v="29.3"/>
    <s v="null"/>
    <s v="null"/>
    <s v="null"/>
    <s v="null"/>
    <s v="null"/>
    <s v="null"/>
    <n v="244"/>
    <n v="48.98"/>
    <x v="3"/>
    <x v="15"/>
    <s v="UPI"/>
  </r>
  <r>
    <x v="15"/>
    <x v="6"/>
    <x v="630"/>
    <s v="&quot;CNR5469894&quot;"/>
    <x v="2"/>
    <s v="&quot;CID9066685&quot;"/>
    <x v="0"/>
    <x v="147"/>
    <s v="Ghaziabad"/>
    <x v="6"/>
    <n v="36.799999999999997"/>
    <s v="null"/>
    <s v="null"/>
    <s v="null"/>
    <s v="null"/>
    <s v="null"/>
    <s v="null"/>
    <n v="375"/>
    <n v="37.9"/>
    <x v="14"/>
    <x v="4"/>
    <s v="Cash"/>
  </r>
  <r>
    <x v="237"/>
    <x v="0"/>
    <x v="631"/>
    <s v="&quot;CNR1130715&quot;"/>
    <x v="2"/>
    <s v="&quot;CID1461556&quot;"/>
    <x v="5"/>
    <x v="161"/>
    <s v="Ashram"/>
    <x v="45"/>
    <n v="17.7"/>
    <s v="null"/>
    <s v="null"/>
    <s v="null"/>
    <s v="null"/>
    <s v="null"/>
    <s v="null"/>
    <n v="499"/>
    <n v="49.3"/>
    <x v="20"/>
    <x v="1"/>
    <s v="UPI"/>
  </r>
  <r>
    <x v="306"/>
    <x v="10"/>
    <x v="632"/>
    <s v="&quot;CNR1152211&quot;"/>
    <x v="4"/>
    <s v="&quot;CID5831862&quot;"/>
    <x v="5"/>
    <x v="81"/>
    <s v="Kirti Nagar"/>
    <x v="9"/>
    <s v="null"/>
    <n v="1"/>
    <s v="Wrong Address"/>
    <s v="null"/>
    <s v="null"/>
    <s v="null"/>
    <s v="null"/>
    <s v="null"/>
    <s v="null"/>
    <x v="0"/>
    <x v="0"/>
    <s v="null"/>
  </r>
  <r>
    <x v="305"/>
    <x v="6"/>
    <x v="633"/>
    <s v="&quot;CNR8242907&quot;"/>
    <x v="2"/>
    <s v="&quot;CID7973188&quot;"/>
    <x v="3"/>
    <x v="58"/>
    <s v="Jahangirpuri"/>
    <x v="39"/>
    <n v="15.9"/>
    <s v="null"/>
    <s v="null"/>
    <s v="null"/>
    <s v="null"/>
    <s v="null"/>
    <s v="null"/>
    <n v="296"/>
    <n v="18.489999999999998"/>
    <x v="14"/>
    <x v="1"/>
    <s v="UPI"/>
  </r>
  <r>
    <x v="230"/>
    <x v="4"/>
    <x v="634"/>
    <s v="&quot;CNR1519687&quot;"/>
    <x v="4"/>
    <s v="&quot;CID5319443&quot;"/>
    <x v="3"/>
    <x v="83"/>
    <s v="Tagore Garden"/>
    <x v="138"/>
    <s v="null"/>
    <n v="1"/>
    <s v="Change of plans"/>
    <s v="null"/>
    <s v="null"/>
    <s v="null"/>
    <s v="null"/>
    <s v="null"/>
    <s v="null"/>
    <x v="0"/>
    <x v="0"/>
    <s v="null"/>
  </r>
  <r>
    <x v="197"/>
    <x v="6"/>
    <x v="635"/>
    <s v="&quot;CNR2478211&quot;"/>
    <x v="2"/>
    <s v="&quot;CID2555454&quot;"/>
    <x v="2"/>
    <x v="84"/>
    <s v="Golf Course Road"/>
    <x v="60"/>
    <n v="19.899999999999999"/>
    <s v="null"/>
    <s v="null"/>
    <s v="null"/>
    <s v="null"/>
    <s v="null"/>
    <s v="null"/>
    <n v="167"/>
    <n v="33.22"/>
    <x v="11"/>
    <x v="9"/>
    <s v="Credit Card"/>
  </r>
  <r>
    <x v="148"/>
    <x v="6"/>
    <x v="636"/>
    <s v="&quot;CNR7336649&quot;"/>
    <x v="3"/>
    <s v="&quot;CID6486485&quot;"/>
    <x v="2"/>
    <x v="96"/>
    <s v="IIT Delhi"/>
    <x v="19"/>
    <s v="null"/>
    <s v="null"/>
    <s v="null"/>
    <n v="1"/>
    <s v="Personal &amp; Car related issues"/>
    <s v="null"/>
    <s v="null"/>
    <s v="null"/>
    <s v="null"/>
    <x v="0"/>
    <x v="0"/>
    <s v="null"/>
  </r>
  <r>
    <x v="107"/>
    <x v="8"/>
    <x v="637"/>
    <s v="&quot;CNR2566387&quot;"/>
    <x v="3"/>
    <s v="&quot;CID1160147&quot;"/>
    <x v="2"/>
    <x v="114"/>
    <s v="Govindpuri"/>
    <x v="88"/>
    <s v="null"/>
    <s v="null"/>
    <s v="null"/>
    <n v="1"/>
    <s v="Personal &amp; Car related issues"/>
    <s v="null"/>
    <s v="null"/>
    <s v="null"/>
    <s v="null"/>
    <x v="0"/>
    <x v="0"/>
    <s v="null"/>
  </r>
  <r>
    <x v="297"/>
    <x v="3"/>
    <x v="638"/>
    <s v="&quot;CNR6303514&quot;"/>
    <x v="3"/>
    <s v="&quot;CID7192109&quot;"/>
    <x v="6"/>
    <x v="74"/>
    <s v="Saket"/>
    <x v="92"/>
    <s v="null"/>
    <s v="null"/>
    <s v="null"/>
    <n v="1"/>
    <s v="More than permitted people in there"/>
    <s v="null"/>
    <s v="null"/>
    <s v="null"/>
    <s v="null"/>
    <x v="0"/>
    <x v="0"/>
    <s v="null"/>
  </r>
  <r>
    <x v="307"/>
    <x v="10"/>
    <x v="639"/>
    <s v="&quot;CNR9153217&quot;"/>
    <x v="2"/>
    <s v="&quot;CID4641211&quot;"/>
    <x v="2"/>
    <x v="44"/>
    <s v="Rajiv Nagar"/>
    <x v="86"/>
    <n v="19.7"/>
    <s v="null"/>
    <s v="null"/>
    <s v="null"/>
    <s v="null"/>
    <s v="null"/>
    <s v="null"/>
    <n v="824"/>
    <n v="2.38"/>
    <x v="4"/>
    <x v="7"/>
    <s v="UPI"/>
  </r>
  <r>
    <x v="65"/>
    <x v="9"/>
    <x v="640"/>
    <s v="&quot;CNR2958687&quot;"/>
    <x v="2"/>
    <s v="&quot;CID1519444&quot;"/>
    <x v="2"/>
    <x v="65"/>
    <s v="Civil Lines Gurgaon"/>
    <x v="1"/>
    <n v="37.1"/>
    <s v="null"/>
    <s v="null"/>
    <s v="null"/>
    <s v="null"/>
    <s v="null"/>
    <s v="null"/>
    <n v="407"/>
    <n v="34.200000000000003"/>
    <x v="7"/>
    <x v="8"/>
    <s v="Cash"/>
  </r>
  <r>
    <x v="289"/>
    <x v="0"/>
    <x v="641"/>
    <s v="&quot;CNR9244093&quot;"/>
    <x v="2"/>
    <s v="&quot;CID2684363&quot;"/>
    <x v="1"/>
    <x v="129"/>
    <s v="Delhi Gate"/>
    <x v="116"/>
    <n v="19.8"/>
    <s v="null"/>
    <s v="null"/>
    <s v="null"/>
    <s v="null"/>
    <s v="null"/>
    <s v="null"/>
    <n v="752"/>
    <n v="3.59"/>
    <x v="11"/>
    <x v="6"/>
    <s v="Uber Wallet"/>
  </r>
  <r>
    <x v="200"/>
    <x v="1"/>
    <x v="642"/>
    <s v="&quot;CNR4505512&quot;"/>
    <x v="2"/>
    <s v="&quot;CID9972042&quot;"/>
    <x v="1"/>
    <x v="74"/>
    <s v="Karol Bagh"/>
    <x v="77"/>
    <n v="41.9"/>
    <s v="null"/>
    <s v="null"/>
    <s v="null"/>
    <s v="null"/>
    <s v="null"/>
    <s v="null"/>
    <n v="354"/>
    <n v="30.56"/>
    <x v="12"/>
    <x v="4"/>
    <s v="UPI"/>
  </r>
  <r>
    <x v="308"/>
    <x v="8"/>
    <x v="643"/>
    <s v="&quot;CNR2952471&quot;"/>
    <x v="2"/>
    <s v="&quot;CID7453414&quot;"/>
    <x v="1"/>
    <x v="76"/>
    <s v="Ashok Park Main"/>
    <x v="119"/>
    <n v="24.4"/>
    <s v="null"/>
    <s v="null"/>
    <s v="null"/>
    <s v="null"/>
    <s v="null"/>
    <s v="null"/>
    <n v="164"/>
    <n v="13.69"/>
    <x v="18"/>
    <x v="1"/>
    <s v="UPI"/>
  </r>
  <r>
    <x v="26"/>
    <x v="10"/>
    <x v="644"/>
    <s v="&quot;CNR6598077&quot;"/>
    <x v="2"/>
    <s v="&quot;CID6258739&quot;"/>
    <x v="4"/>
    <x v="79"/>
    <s v="Mansarovar Park"/>
    <x v="22"/>
    <n v="16.600000000000001"/>
    <s v="null"/>
    <s v="null"/>
    <s v="null"/>
    <s v="null"/>
    <s v="null"/>
    <s v="null"/>
    <n v="392"/>
    <n v="45.56"/>
    <x v="3"/>
    <x v="4"/>
    <s v="UPI"/>
  </r>
  <r>
    <x v="309"/>
    <x v="2"/>
    <x v="645"/>
    <s v="&quot;CNR9384775&quot;"/>
    <x v="3"/>
    <s v="&quot;CID3283799&quot;"/>
    <x v="5"/>
    <x v="106"/>
    <s v="Mayur Vihar"/>
    <x v="20"/>
    <s v="null"/>
    <s v="null"/>
    <s v="null"/>
    <n v="1"/>
    <s v="More than permitted people in there"/>
    <s v="null"/>
    <s v="null"/>
    <s v="null"/>
    <s v="null"/>
    <x v="0"/>
    <x v="0"/>
    <s v="null"/>
  </r>
  <r>
    <x v="93"/>
    <x v="10"/>
    <x v="646"/>
    <s v="&quot;CNR8339893&quot;"/>
    <x v="2"/>
    <s v="&quot;CID4931264&quot;"/>
    <x v="4"/>
    <x v="47"/>
    <s v="Vatika Chowk"/>
    <x v="96"/>
    <n v="28.7"/>
    <s v="null"/>
    <s v="null"/>
    <s v="null"/>
    <s v="null"/>
    <s v="null"/>
    <s v="null"/>
    <n v="389"/>
    <n v="42.16"/>
    <x v="12"/>
    <x v="3"/>
    <s v="Credit Card"/>
  </r>
  <r>
    <x v="77"/>
    <x v="6"/>
    <x v="647"/>
    <s v="&quot;CNR8642454&quot;"/>
    <x v="2"/>
    <s v="&quot;CID5873082&quot;"/>
    <x v="2"/>
    <x v="169"/>
    <s v="Shivaji Park"/>
    <x v="27"/>
    <n v="33.1"/>
    <s v="null"/>
    <s v="null"/>
    <s v="null"/>
    <s v="null"/>
    <s v="null"/>
    <s v="null"/>
    <n v="474"/>
    <n v="38.28"/>
    <x v="2"/>
    <x v="21"/>
    <s v="UPI"/>
  </r>
  <r>
    <x v="245"/>
    <x v="10"/>
    <x v="648"/>
    <s v="&quot;CNR4994271&quot;"/>
    <x v="3"/>
    <s v="&quot;CID7526547&quot;"/>
    <x v="2"/>
    <x v="163"/>
    <s v="Central Secretariat"/>
    <x v="74"/>
    <s v="null"/>
    <s v="null"/>
    <s v="null"/>
    <n v="1"/>
    <s v="More than permitted people in there"/>
    <s v="null"/>
    <s v="null"/>
    <s v="null"/>
    <s v="null"/>
    <x v="0"/>
    <x v="0"/>
    <s v="null"/>
  </r>
  <r>
    <x v="243"/>
    <x v="7"/>
    <x v="649"/>
    <s v="&quot;CNR1394951&quot;"/>
    <x v="2"/>
    <s v="&quot;CID3357025&quot;"/>
    <x v="4"/>
    <x v="35"/>
    <s v="IMT Manesar"/>
    <x v="38"/>
    <n v="43.2"/>
    <s v="null"/>
    <s v="null"/>
    <s v="null"/>
    <s v="null"/>
    <s v="null"/>
    <s v="null"/>
    <n v="199"/>
    <n v="31.51"/>
    <x v="7"/>
    <x v="2"/>
    <s v="UPI"/>
  </r>
  <r>
    <x v="169"/>
    <x v="8"/>
    <x v="650"/>
    <s v="&quot;CNR1407529&quot;"/>
    <x v="0"/>
    <s v="&quot;CID6340251&quot;"/>
    <x v="2"/>
    <x v="18"/>
    <s v="Panipat"/>
    <x v="0"/>
    <s v="null"/>
    <s v="null"/>
    <s v="null"/>
    <s v="null"/>
    <s v="null"/>
    <s v="null"/>
    <s v="null"/>
    <s v="null"/>
    <s v="null"/>
    <x v="0"/>
    <x v="0"/>
    <s v="null"/>
  </r>
  <r>
    <x v="152"/>
    <x v="1"/>
    <x v="651"/>
    <s v="&quot;CNR4753901&quot;"/>
    <x v="2"/>
    <s v="&quot;CID5097394&quot;"/>
    <x v="2"/>
    <x v="127"/>
    <s v="Preet Vihar"/>
    <x v="117"/>
    <n v="16.899999999999999"/>
    <s v="null"/>
    <s v="null"/>
    <s v="null"/>
    <s v="null"/>
    <s v="null"/>
    <s v="null"/>
    <n v="1428"/>
    <n v="42.45"/>
    <x v="5"/>
    <x v="6"/>
    <s v="Uber Wallet"/>
  </r>
  <r>
    <x v="164"/>
    <x v="3"/>
    <x v="652"/>
    <s v="&quot;CNR9691213&quot;"/>
    <x v="2"/>
    <s v="&quot;CID3621515&quot;"/>
    <x v="0"/>
    <x v="12"/>
    <s v="Jor Bagh"/>
    <x v="39"/>
    <n v="26.8"/>
    <s v="null"/>
    <s v="null"/>
    <s v="null"/>
    <s v="null"/>
    <s v="null"/>
    <s v="null"/>
    <n v="85"/>
    <n v="16.059999999999999"/>
    <x v="13"/>
    <x v="4"/>
    <s v="Cash"/>
  </r>
  <r>
    <x v="239"/>
    <x v="4"/>
    <x v="653"/>
    <s v="&quot;CNR8384151&quot;"/>
    <x v="0"/>
    <s v="&quot;CID1220681&quot;"/>
    <x v="1"/>
    <x v="170"/>
    <s v="Ghitorni Village"/>
    <x v="0"/>
    <s v="null"/>
    <s v="null"/>
    <s v="null"/>
    <s v="null"/>
    <s v="null"/>
    <s v="null"/>
    <s v="null"/>
    <s v="null"/>
    <s v="null"/>
    <x v="0"/>
    <x v="0"/>
    <s v="null"/>
  </r>
  <r>
    <x v="189"/>
    <x v="5"/>
    <x v="654"/>
    <s v="&quot;CNR3021480&quot;"/>
    <x v="2"/>
    <s v="&quot;CID4650265&quot;"/>
    <x v="4"/>
    <x v="114"/>
    <s v="Rajiv Nagar"/>
    <x v="65"/>
    <n v="22.5"/>
    <s v="null"/>
    <s v="null"/>
    <s v="null"/>
    <s v="null"/>
    <s v="null"/>
    <s v="null"/>
    <n v="550"/>
    <n v="38.24"/>
    <x v="12"/>
    <x v="10"/>
    <s v="UPI"/>
  </r>
  <r>
    <x v="310"/>
    <x v="0"/>
    <x v="655"/>
    <s v="&quot;CNR5099092&quot;"/>
    <x v="2"/>
    <s v="&quot;CID6408750&quot;"/>
    <x v="2"/>
    <x v="136"/>
    <s v="Noida Extension"/>
    <x v="11"/>
    <n v="20.5"/>
    <s v="null"/>
    <s v="null"/>
    <s v="null"/>
    <s v="null"/>
    <s v="null"/>
    <s v="null"/>
    <n v="988"/>
    <n v="22.13"/>
    <x v="6"/>
    <x v="4"/>
    <s v="UPI"/>
  </r>
  <r>
    <x v="282"/>
    <x v="11"/>
    <x v="656"/>
    <s v="&quot;CNR9417908&quot;"/>
    <x v="0"/>
    <s v="&quot;CID1765887&quot;"/>
    <x v="1"/>
    <x v="119"/>
    <s v="Indirapuram"/>
    <x v="0"/>
    <s v="null"/>
    <s v="null"/>
    <s v="null"/>
    <s v="null"/>
    <s v="null"/>
    <s v="null"/>
    <s v="null"/>
    <s v="null"/>
    <s v="null"/>
    <x v="0"/>
    <x v="0"/>
    <s v="null"/>
  </r>
  <r>
    <x v="260"/>
    <x v="9"/>
    <x v="657"/>
    <s v="&quot;CNR5725380&quot;"/>
    <x v="2"/>
    <s v="&quot;CID7776460&quot;"/>
    <x v="5"/>
    <x v="88"/>
    <s v="Faridabad Sector 15"/>
    <x v="93"/>
    <n v="32.1"/>
    <s v="null"/>
    <s v="null"/>
    <s v="null"/>
    <s v="null"/>
    <s v="null"/>
    <s v="null"/>
    <n v="112"/>
    <n v="20.079999999999998"/>
    <x v="15"/>
    <x v="1"/>
    <s v="Cash"/>
  </r>
  <r>
    <x v="213"/>
    <x v="3"/>
    <x v="658"/>
    <s v="&quot;CNR9210257&quot;"/>
    <x v="3"/>
    <s v="&quot;CID8880509&quot;"/>
    <x v="4"/>
    <x v="89"/>
    <s v="Faridabad Sector 15"/>
    <x v="94"/>
    <s v="null"/>
    <s v="null"/>
    <s v="null"/>
    <n v="1"/>
    <s v="The customer was coughing/sick"/>
    <s v="null"/>
    <s v="null"/>
    <s v="null"/>
    <s v="null"/>
    <x v="0"/>
    <x v="0"/>
    <s v="null"/>
  </r>
  <r>
    <x v="159"/>
    <x v="5"/>
    <x v="659"/>
    <s v="&quot;CNR9628662&quot;"/>
    <x v="2"/>
    <s v="&quot;CID5384137&quot;"/>
    <x v="4"/>
    <x v="162"/>
    <s v="Laxmi Nagar"/>
    <x v="98"/>
    <n v="29.7"/>
    <s v="null"/>
    <s v="null"/>
    <s v="null"/>
    <s v="null"/>
    <s v="null"/>
    <s v="null"/>
    <n v="81"/>
    <n v="45.98"/>
    <x v="19"/>
    <x v="12"/>
    <s v="UPI"/>
  </r>
  <r>
    <x v="311"/>
    <x v="8"/>
    <x v="660"/>
    <s v="&quot;CNR4861079&quot;"/>
    <x v="2"/>
    <s v="&quot;CID8412868&quot;"/>
    <x v="5"/>
    <x v="150"/>
    <s v="ITO"/>
    <x v="91"/>
    <n v="42.8"/>
    <s v="null"/>
    <s v="null"/>
    <s v="null"/>
    <s v="null"/>
    <s v="null"/>
    <s v="null"/>
    <n v="262"/>
    <n v="10.94"/>
    <x v="6"/>
    <x v="6"/>
    <s v="UPI"/>
  </r>
  <r>
    <x v="146"/>
    <x v="2"/>
    <x v="661"/>
    <s v="&quot;CNR6840765&quot;"/>
    <x v="2"/>
    <s v="&quot;CID6985236&quot;"/>
    <x v="2"/>
    <x v="43"/>
    <s v="Punjabi Bagh"/>
    <x v="19"/>
    <n v="31"/>
    <s v="null"/>
    <s v="null"/>
    <s v="null"/>
    <s v="null"/>
    <s v="null"/>
    <s v="null"/>
    <n v="259"/>
    <n v="49.84"/>
    <x v="8"/>
    <x v="3"/>
    <s v="Uber Wallet"/>
  </r>
  <r>
    <x v="121"/>
    <x v="6"/>
    <x v="662"/>
    <s v="&quot;CNR7149289&quot;"/>
    <x v="2"/>
    <s v="&quot;CID2607906&quot;"/>
    <x v="3"/>
    <x v="35"/>
    <s v="Rohini West"/>
    <x v="39"/>
    <n v="33.1"/>
    <s v="null"/>
    <s v="null"/>
    <s v="null"/>
    <s v="null"/>
    <s v="null"/>
    <s v="null"/>
    <n v="1350"/>
    <n v="24.97"/>
    <x v="7"/>
    <x v="18"/>
    <s v="Cash"/>
  </r>
  <r>
    <x v="9"/>
    <x v="7"/>
    <x v="663"/>
    <s v="&quot;CNR5646656&quot;"/>
    <x v="2"/>
    <s v="&quot;CID7110646&quot;"/>
    <x v="3"/>
    <x v="19"/>
    <s v="Kashmere Gate"/>
    <x v="119"/>
    <n v="23.9"/>
    <s v="null"/>
    <s v="null"/>
    <s v="null"/>
    <s v="null"/>
    <s v="null"/>
    <s v="null"/>
    <n v="302"/>
    <n v="32.94"/>
    <x v="2"/>
    <x v="7"/>
    <s v="Cash"/>
  </r>
  <r>
    <x v="221"/>
    <x v="8"/>
    <x v="664"/>
    <s v="&quot;CNR9029118&quot;"/>
    <x v="2"/>
    <s v="&quot;CID1178335&quot;"/>
    <x v="1"/>
    <x v="35"/>
    <s v="Arjangarh"/>
    <x v="89"/>
    <n v="23.1"/>
    <s v="null"/>
    <s v="null"/>
    <s v="null"/>
    <s v="null"/>
    <s v="null"/>
    <s v="null"/>
    <n v="414"/>
    <n v="22.9"/>
    <x v="17"/>
    <x v="14"/>
    <s v="UPI"/>
  </r>
  <r>
    <x v="138"/>
    <x v="9"/>
    <x v="665"/>
    <s v="&quot;CNR1382273&quot;"/>
    <x v="2"/>
    <s v="&quot;CID4784516&quot;"/>
    <x v="1"/>
    <x v="53"/>
    <s v="Chandni Chowk"/>
    <x v="83"/>
    <n v="25.1"/>
    <s v="null"/>
    <s v="null"/>
    <s v="null"/>
    <s v="null"/>
    <s v="null"/>
    <s v="null"/>
    <n v="135"/>
    <n v="29.53"/>
    <x v="6"/>
    <x v="3"/>
    <s v="Cash"/>
  </r>
  <r>
    <x v="134"/>
    <x v="1"/>
    <x v="666"/>
    <s v="&quot;CNR6853176&quot;"/>
    <x v="2"/>
    <s v="&quot;CID9879542&quot;"/>
    <x v="2"/>
    <x v="60"/>
    <s v="Ashok Park Main"/>
    <x v="105"/>
    <n v="21.4"/>
    <s v="null"/>
    <s v="null"/>
    <s v="null"/>
    <s v="null"/>
    <s v="null"/>
    <s v="null"/>
    <n v="212"/>
    <n v="32.840000000000003"/>
    <x v="3"/>
    <x v="7"/>
    <s v="Credit Card"/>
  </r>
  <r>
    <x v="294"/>
    <x v="4"/>
    <x v="667"/>
    <s v="&quot;CNR4173313&quot;"/>
    <x v="2"/>
    <s v="&quot;CID3059204&quot;"/>
    <x v="2"/>
    <x v="143"/>
    <s v="Model Town"/>
    <x v="123"/>
    <n v="32.6"/>
    <s v="null"/>
    <s v="null"/>
    <s v="null"/>
    <s v="null"/>
    <s v="null"/>
    <s v="null"/>
    <n v="865"/>
    <n v="3.77"/>
    <x v="3"/>
    <x v="8"/>
    <s v="UPI"/>
  </r>
  <r>
    <x v="161"/>
    <x v="9"/>
    <x v="668"/>
    <s v="&quot;CNR6569520&quot;"/>
    <x v="2"/>
    <s v="&quot;CID8847335&quot;"/>
    <x v="3"/>
    <x v="96"/>
    <s v="Shahdara"/>
    <x v="66"/>
    <n v="36.9"/>
    <s v="null"/>
    <s v="null"/>
    <s v="null"/>
    <s v="null"/>
    <s v="null"/>
    <s v="null"/>
    <n v="255"/>
    <n v="24.12"/>
    <x v="6"/>
    <x v="8"/>
    <s v="UPI"/>
  </r>
  <r>
    <x v="105"/>
    <x v="11"/>
    <x v="669"/>
    <s v="&quot;CNR4180467&quot;"/>
    <x v="2"/>
    <s v="&quot;CID9145538&quot;"/>
    <x v="5"/>
    <x v="73"/>
    <s v="Kashmere Gate ISBT"/>
    <x v="14"/>
    <n v="32.6"/>
    <s v="null"/>
    <s v="null"/>
    <s v="null"/>
    <s v="null"/>
    <s v="null"/>
    <s v="null"/>
    <n v="273"/>
    <n v="38.01"/>
    <x v="3"/>
    <x v="6"/>
    <s v="Credit Card"/>
  </r>
  <r>
    <x v="51"/>
    <x v="1"/>
    <x v="670"/>
    <s v="&quot;CNR2790295&quot;"/>
    <x v="1"/>
    <s v="&quot;CID1412150&quot;"/>
    <x v="2"/>
    <x v="166"/>
    <s v="RK Puram"/>
    <x v="10"/>
    <n v="17.2"/>
    <s v="null"/>
    <s v="null"/>
    <s v="null"/>
    <s v="null"/>
    <n v="1"/>
    <s v="Vehicle Breakdown"/>
    <n v="545"/>
    <n v="1.67"/>
    <x v="0"/>
    <x v="0"/>
    <s v="UPI"/>
  </r>
  <r>
    <x v="196"/>
    <x v="1"/>
    <x v="671"/>
    <s v="&quot;CNR7051731&quot;"/>
    <x v="2"/>
    <s v="&quot;CID4562056&quot;"/>
    <x v="3"/>
    <x v="107"/>
    <s v="India Gate"/>
    <x v="10"/>
    <n v="27.3"/>
    <s v="null"/>
    <s v="null"/>
    <s v="null"/>
    <s v="null"/>
    <s v="null"/>
    <s v="null"/>
    <n v="477"/>
    <n v="14.39"/>
    <x v="14"/>
    <x v="9"/>
    <s v="Credit Card"/>
  </r>
  <r>
    <x v="312"/>
    <x v="3"/>
    <x v="672"/>
    <s v="&quot;CNR7941158&quot;"/>
    <x v="2"/>
    <s v="&quot;CID5590862&quot;"/>
    <x v="2"/>
    <x v="16"/>
    <s v="Sarai Kale Khan"/>
    <x v="126"/>
    <n v="33.9"/>
    <s v="null"/>
    <s v="null"/>
    <s v="null"/>
    <s v="null"/>
    <s v="null"/>
    <s v="null"/>
    <n v="197"/>
    <n v="7.33"/>
    <x v="4"/>
    <x v="4"/>
    <s v="UPI"/>
  </r>
  <r>
    <x v="249"/>
    <x v="5"/>
    <x v="673"/>
    <s v="&quot;CNR6060166&quot;"/>
    <x v="2"/>
    <s v="&quot;CID4821084&quot;"/>
    <x v="5"/>
    <x v="151"/>
    <s v="Kadarpur"/>
    <x v="34"/>
    <n v="23.7"/>
    <s v="null"/>
    <s v="null"/>
    <s v="null"/>
    <s v="null"/>
    <s v="null"/>
    <s v="null"/>
    <n v="366"/>
    <n v="38.630000000000003"/>
    <x v="14"/>
    <x v="5"/>
    <s v="Credit Card"/>
  </r>
  <r>
    <x v="313"/>
    <x v="2"/>
    <x v="674"/>
    <s v="&quot;CNR3654081&quot;"/>
    <x v="2"/>
    <s v="&quot;CID2244993&quot;"/>
    <x v="5"/>
    <x v="151"/>
    <s v="Khan Market"/>
    <x v="67"/>
    <n v="19.7"/>
    <s v="null"/>
    <s v="null"/>
    <s v="null"/>
    <s v="null"/>
    <s v="null"/>
    <s v="null"/>
    <n v="1595"/>
    <n v="42.13"/>
    <x v="5"/>
    <x v="8"/>
    <s v="UPI"/>
  </r>
  <r>
    <x v="205"/>
    <x v="2"/>
    <x v="675"/>
    <s v="&quot;CNR5873302&quot;"/>
    <x v="2"/>
    <s v="&quot;CID9655995&quot;"/>
    <x v="1"/>
    <x v="105"/>
    <s v="Ambience Mall"/>
    <x v="88"/>
    <n v="16.600000000000001"/>
    <s v="null"/>
    <s v="null"/>
    <s v="null"/>
    <s v="null"/>
    <s v="null"/>
    <s v="null"/>
    <n v="391"/>
    <n v="24.16"/>
    <x v="8"/>
    <x v="3"/>
    <s v="Credit Card"/>
  </r>
  <r>
    <x v="16"/>
    <x v="8"/>
    <x v="676"/>
    <s v="&quot;CNR2376738&quot;"/>
    <x v="2"/>
    <s v="&quot;CID3235147&quot;"/>
    <x v="1"/>
    <x v="79"/>
    <s v="DLF Phase 3"/>
    <x v="66"/>
    <n v="27.9"/>
    <s v="null"/>
    <s v="null"/>
    <s v="null"/>
    <s v="null"/>
    <s v="null"/>
    <s v="null"/>
    <n v="313"/>
    <n v="33.08"/>
    <x v="7"/>
    <x v="6"/>
    <s v="UPI"/>
  </r>
  <r>
    <x v="191"/>
    <x v="9"/>
    <x v="677"/>
    <s v="&quot;CNR9602212&quot;"/>
    <x v="2"/>
    <s v="&quot;CID5828701&quot;"/>
    <x v="4"/>
    <x v="2"/>
    <s v="Lok Kalyan Marg"/>
    <x v="121"/>
    <n v="28.1"/>
    <s v="null"/>
    <s v="null"/>
    <s v="null"/>
    <s v="null"/>
    <s v="null"/>
    <s v="null"/>
    <n v="402"/>
    <n v="45.13"/>
    <x v="14"/>
    <x v="2"/>
    <s v="UPI"/>
  </r>
  <r>
    <x v="266"/>
    <x v="9"/>
    <x v="678"/>
    <s v="&quot;CNR6592194&quot;"/>
    <x v="2"/>
    <s v="&quot;CID5470490&quot;"/>
    <x v="1"/>
    <x v="72"/>
    <s v="Ardee City"/>
    <x v="51"/>
    <n v="30.1"/>
    <s v="null"/>
    <s v="null"/>
    <s v="null"/>
    <s v="null"/>
    <s v="null"/>
    <s v="null"/>
    <n v="62"/>
    <n v="14.15"/>
    <x v="7"/>
    <x v="3"/>
    <s v="Cash"/>
  </r>
  <r>
    <x v="156"/>
    <x v="7"/>
    <x v="679"/>
    <s v="&quot;CNR7634326&quot;"/>
    <x v="4"/>
    <s v="&quot;CID9472411&quot;"/>
    <x v="4"/>
    <x v="97"/>
    <s v="AIIMS"/>
    <x v="40"/>
    <s v="null"/>
    <n v="1"/>
    <s v="Driver is not moving towards pickup location"/>
    <s v="null"/>
    <s v="null"/>
    <s v="null"/>
    <s v="null"/>
    <s v="null"/>
    <s v="null"/>
    <x v="0"/>
    <x v="0"/>
    <s v="null"/>
  </r>
  <r>
    <x v="142"/>
    <x v="7"/>
    <x v="680"/>
    <s v="&quot;CNR2442969&quot;"/>
    <x v="2"/>
    <s v="&quot;CID6529917&quot;"/>
    <x v="2"/>
    <x v="118"/>
    <s v="Sarojini Nagar"/>
    <x v="86"/>
    <n v="37.200000000000003"/>
    <s v="null"/>
    <s v="null"/>
    <s v="null"/>
    <s v="null"/>
    <s v="null"/>
    <s v="null"/>
    <n v="602"/>
    <n v="9.9"/>
    <x v="1"/>
    <x v="13"/>
    <s v="UPI"/>
  </r>
  <r>
    <x v="189"/>
    <x v="5"/>
    <x v="681"/>
    <s v="&quot;CNR2445755&quot;"/>
    <x v="1"/>
    <s v="&quot;CID9195579&quot;"/>
    <x v="2"/>
    <x v="150"/>
    <s v="AIIMS"/>
    <x v="31"/>
    <n v="28.9"/>
    <s v="null"/>
    <s v="null"/>
    <s v="null"/>
    <s v="null"/>
    <n v="1"/>
    <s v="Customer Demand"/>
    <n v="545"/>
    <n v="6.09"/>
    <x v="0"/>
    <x v="0"/>
    <s v="UPI"/>
  </r>
  <r>
    <x v="314"/>
    <x v="9"/>
    <x v="682"/>
    <s v="&quot;CNR2715860&quot;"/>
    <x v="2"/>
    <s v="&quot;CID6891894&quot;"/>
    <x v="5"/>
    <x v="73"/>
    <s v="Rajiv Chowk"/>
    <x v="2"/>
    <n v="27.8"/>
    <s v="null"/>
    <s v="null"/>
    <s v="null"/>
    <s v="null"/>
    <s v="null"/>
    <s v="null"/>
    <n v="560"/>
    <n v="25.68"/>
    <x v="14"/>
    <x v="10"/>
    <s v="Cash"/>
  </r>
  <r>
    <x v="74"/>
    <x v="0"/>
    <x v="683"/>
    <s v="&quot;CNR1203467&quot;"/>
    <x v="1"/>
    <s v="&quot;CID6344325&quot;"/>
    <x v="2"/>
    <x v="169"/>
    <s v="Greater Noida"/>
    <x v="58"/>
    <n v="16.5"/>
    <s v="null"/>
    <s v="null"/>
    <s v="null"/>
    <s v="null"/>
    <n v="1"/>
    <s v="Vehicle Breakdown"/>
    <n v="1383"/>
    <n v="5.41"/>
    <x v="0"/>
    <x v="0"/>
    <s v="UPI"/>
  </r>
  <r>
    <x v="151"/>
    <x v="4"/>
    <x v="684"/>
    <s v="&quot;CNR2694709&quot;"/>
    <x v="2"/>
    <s v="&quot;CID5054240&quot;"/>
    <x v="4"/>
    <x v="130"/>
    <s v="Vishwavidyalaya"/>
    <x v="120"/>
    <n v="39.299999999999997"/>
    <s v="null"/>
    <s v="null"/>
    <s v="null"/>
    <s v="null"/>
    <s v="null"/>
    <s v="null"/>
    <n v="439"/>
    <n v="44.05"/>
    <x v="2"/>
    <x v="4"/>
    <s v="Cash"/>
  </r>
  <r>
    <x v="150"/>
    <x v="0"/>
    <x v="685"/>
    <s v="&quot;CNR7417664&quot;"/>
    <x v="0"/>
    <s v="&quot;CID2502556&quot;"/>
    <x v="4"/>
    <x v="5"/>
    <s v="Paharganj"/>
    <x v="0"/>
    <s v="null"/>
    <s v="null"/>
    <s v="null"/>
    <s v="null"/>
    <s v="null"/>
    <s v="null"/>
    <s v="null"/>
    <s v="null"/>
    <s v="null"/>
    <x v="0"/>
    <x v="0"/>
    <s v="null"/>
  </r>
  <r>
    <x v="315"/>
    <x v="1"/>
    <x v="686"/>
    <s v="&quot;CNR8464596&quot;"/>
    <x v="2"/>
    <s v="&quot;CID3292156&quot;"/>
    <x v="4"/>
    <x v="87"/>
    <s v="Punjabi Bagh"/>
    <x v="104"/>
    <n v="32"/>
    <s v="null"/>
    <s v="null"/>
    <s v="null"/>
    <s v="null"/>
    <s v="null"/>
    <s v="null"/>
    <n v="83"/>
    <n v="16.64"/>
    <x v="6"/>
    <x v="5"/>
    <s v="Uber Wallet"/>
  </r>
  <r>
    <x v="44"/>
    <x v="4"/>
    <x v="687"/>
    <s v="&quot;CNR3139965&quot;"/>
    <x v="1"/>
    <s v="&quot;CID4038754&quot;"/>
    <x v="4"/>
    <x v="100"/>
    <s v="Akshardham"/>
    <x v="131"/>
    <n v="13.2"/>
    <s v="null"/>
    <s v="null"/>
    <s v="null"/>
    <s v="null"/>
    <n v="1"/>
    <s v="Customer Demand"/>
    <n v="745"/>
    <n v="9.56"/>
    <x v="0"/>
    <x v="0"/>
    <s v="Cash"/>
  </r>
  <r>
    <x v="152"/>
    <x v="1"/>
    <x v="688"/>
    <s v="&quot;CNR2915357&quot;"/>
    <x v="2"/>
    <s v="&quot;CID2023665&quot;"/>
    <x v="3"/>
    <x v="150"/>
    <s v="Madipur"/>
    <x v="47"/>
    <n v="19.5"/>
    <s v="null"/>
    <s v="null"/>
    <s v="null"/>
    <s v="null"/>
    <s v="null"/>
    <s v="null"/>
    <n v="171"/>
    <n v="32.47"/>
    <x v="1"/>
    <x v="16"/>
    <s v="Credit Card"/>
  </r>
  <r>
    <x v="63"/>
    <x v="7"/>
    <x v="689"/>
    <s v="&quot;CNR9066364&quot;"/>
    <x v="0"/>
    <s v="&quot;CID8737089&quot;"/>
    <x v="2"/>
    <x v="70"/>
    <s v="Botanical Garden"/>
    <x v="0"/>
    <s v="null"/>
    <s v="null"/>
    <s v="null"/>
    <s v="null"/>
    <s v="null"/>
    <s v="null"/>
    <s v="null"/>
    <s v="null"/>
    <s v="null"/>
    <x v="0"/>
    <x v="0"/>
    <s v="null"/>
  </r>
  <r>
    <x v="73"/>
    <x v="3"/>
    <x v="690"/>
    <s v="&quot;CNR5895057&quot;"/>
    <x v="2"/>
    <s v="&quot;CID2439467&quot;"/>
    <x v="6"/>
    <x v="60"/>
    <s v="Saidulajab"/>
    <x v="111"/>
    <n v="16.8"/>
    <s v="null"/>
    <s v="null"/>
    <s v="null"/>
    <s v="null"/>
    <s v="null"/>
    <s v="null"/>
    <n v="401"/>
    <n v="22.96"/>
    <x v="8"/>
    <x v="10"/>
    <s v="Uber Wallet"/>
  </r>
  <r>
    <x v="16"/>
    <x v="8"/>
    <x v="691"/>
    <s v="&quot;CNR2540295&quot;"/>
    <x v="3"/>
    <s v="&quot;CID9167744&quot;"/>
    <x v="2"/>
    <x v="23"/>
    <s v="Kherki Daula Toll"/>
    <x v="73"/>
    <s v="null"/>
    <s v="null"/>
    <s v="null"/>
    <n v="1"/>
    <s v="More than permitted people in there"/>
    <s v="null"/>
    <s v="null"/>
    <s v="null"/>
    <s v="null"/>
    <x v="0"/>
    <x v="0"/>
    <s v="null"/>
  </r>
  <r>
    <x v="168"/>
    <x v="4"/>
    <x v="692"/>
    <s v="&quot;CNR6162893&quot;"/>
    <x v="2"/>
    <s v="&quot;CID9150546&quot;"/>
    <x v="3"/>
    <x v="43"/>
    <s v="Nehru Place"/>
    <x v="114"/>
    <n v="43.9"/>
    <s v="null"/>
    <s v="null"/>
    <s v="null"/>
    <s v="null"/>
    <s v="null"/>
    <s v="null"/>
    <n v="1320"/>
    <n v="39.700000000000003"/>
    <x v="1"/>
    <x v="1"/>
    <s v="Debit Card"/>
  </r>
  <r>
    <x v="66"/>
    <x v="1"/>
    <x v="693"/>
    <s v="&quot;CNR6566275&quot;"/>
    <x v="2"/>
    <s v="&quot;CID2823911&quot;"/>
    <x v="1"/>
    <x v="36"/>
    <s v="Kirti Nagar"/>
    <x v="12"/>
    <n v="24.3"/>
    <s v="null"/>
    <s v="null"/>
    <s v="null"/>
    <s v="null"/>
    <s v="null"/>
    <s v="null"/>
    <n v="1614"/>
    <n v="34.5"/>
    <x v="14"/>
    <x v="3"/>
    <s v="Debit Card"/>
  </r>
  <r>
    <x v="1"/>
    <x v="1"/>
    <x v="694"/>
    <s v="&quot;CNR2559267&quot;"/>
    <x v="2"/>
    <s v="&quot;CID6233700&quot;"/>
    <x v="1"/>
    <x v="146"/>
    <s v="Chirag Delhi"/>
    <x v="137"/>
    <n v="26.8"/>
    <s v="null"/>
    <s v="null"/>
    <s v="null"/>
    <s v="null"/>
    <s v="null"/>
    <s v="null"/>
    <n v="879"/>
    <n v="22.24"/>
    <x v="17"/>
    <x v="3"/>
    <s v="Cash"/>
  </r>
  <r>
    <x v="175"/>
    <x v="8"/>
    <x v="695"/>
    <s v="&quot;CNR4332459&quot;"/>
    <x v="2"/>
    <s v="&quot;CID1542415&quot;"/>
    <x v="5"/>
    <x v="41"/>
    <s v="Adarsh Nagar"/>
    <x v="27"/>
    <n v="19"/>
    <s v="null"/>
    <s v="null"/>
    <s v="null"/>
    <s v="null"/>
    <s v="null"/>
    <s v="null"/>
    <n v="218"/>
    <n v="23.13"/>
    <x v="17"/>
    <x v="10"/>
    <s v="Cash"/>
  </r>
  <r>
    <x v="316"/>
    <x v="11"/>
    <x v="696"/>
    <s v="&quot;CNR3914491&quot;"/>
    <x v="2"/>
    <s v="&quot;CID1731276&quot;"/>
    <x v="4"/>
    <x v="75"/>
    <s v="Keshav Puram"/>
    <x v="10"/>
    <n v="39.5"/>
    <s v="null"/>
    <s v="null"/>
    <s v="null"/>
    <s v="null"/>
    <s v="null"/>
    <s v="null"/>
    <n v="165"/>
    <n v="39.31"/>
    <x v="14"/>
    <x v="7"/>
    <s v="Cash"/>
  </r>
  <r>
    <x v="180"/>
    <x v="0"/>
    <x v="697"/>
    <s v="&quot;CNR8735322&quot;"/>
    <x v="2"/>
    <s v="&quot;CID6677999&quot;"/>
    <x v="2"/>
    <x v="167"/>
    <s v="MG Road"/>
    <x v="75"/>
    <n v="23.2"/>
    <s v="null"/>
    <s v="null"/>
    <s v="null"/>
    <s v="null"/>
    <s v="null"/>
    <s v="null"/>
    <n v="221"/>
    <n v="49.17"/>
    <x v="10"/>
    <x v="3"/>
    <s v="Cash"/>
  </r>
  <r>
    <x v="86"/>
    <x v="0"/>
    <x v="698"/>
    <s v="&quot;CNR7157762&quot;"/>
    <x v="2"/>
    <s v="&quot;CID8627938&quot;"/>
    <x v="2"/>
    <x v="143"/>
    <s v="Ghitorni Village"/>
    <x v="27"/>
    <n v="19"/>
    <s v="null"/>
    <s v="null"/>
    <s v="null"/>
    <s v="null"/>
    <s v="null"/>
    <s v="null"/>
    <n v="474"/>
    <n v="46.22"/>
    <x v="6"/>
    <x v="4"/>
    <s v="Credit Card"/>
  </r>
  <r>
    <x v="169"/>
    <x v="8"/>
    <x v="699"/>
    <s v="&quot;CNR1620017&quot;"/>
    <x v="3"/>
    <s v="&quot;CID4868040&quot;"/>
    <x v="2"/>
    <x v="130"/>
    <s v="Jahangirpuri"/>
    <x v="39"/>
    <s v="null"/>
    <s v="null"/>
    <s v="null"/>
    <n v="1"/>
    <s v="The customer was coughing/sick"/>
    <s v="null"/>
    <s v="null"/>
    <s v="null"/>
    <s v="null"/>
    <x v="0"/>
    <x v="0"/>
    <s v="null"/>
  </r>
  <r>
    <x v="135"/>
    <x v="0"/>
    <x v="700"/>
    <s v="&quot;CNR9189398&quot;"/>
    <x v="2"/>
    <s v="&quot;CID5623131&quot;"/>
    <x v="4"/>
    <x v="51"/>
    <s v="Greater Kailash"/>
    <x v="66"/>
    <n v="23.4"/>
    <s v="null"/>
    <s v="null"/>
    <s v="null"/>
    <s v="null"/>
    <s v="null"/>
    <s v="null"/>
    <n v="820"/>
    <n v="22.06"/>
    <x v="4"/>
    <x v="8"/>
    <s v="UPI"/>
  </r>
  <r>
    <x v="281"/>
    <x v="1"/>
    <x v="701"/>
    <s v="&quot;CNR9306152&quot;"/>
    <x v="0"/>
    <s v="&quot;CID9461842&quot;"/>
    <x v="3"/>
    <x v="44"/>
    <s v="Civil Lines Gurgaon"/>
    <x v="0"/>
    <s v="null"/>
    <s v="null"/>
    <s v="null"/>
    <s v="null"/>
    <s v="null"/>
    <s v="null"/>
    <s v="null"/>
    <s v="null"/>
    <s v="null"/>
    <x v="0"/>
    <x v="0"/>
    <s v="null"/>
  </r>
  <r>
    <x v="317"/>
    <x v="7"/>
    <x v="702"/>
    <s v="&quot;CNR4146504&quot;"/>
    <x v="3"/>
    <s v="&quot;CID3064978&quot;"/>
    <x v="2"/>
    <x v="150"/>
    <s v="Kashmere Gate ISBT"/>
    <x v="24"/>
    <s v="null"/>
    <s v="null"/>
    <s v="null"/>
    <n v="1"/>
    <s v="Customer related issue"/>
    <s v="null"/>
    <s v="null"/>
    <s v="null"/>
    <s v="null"/>
    <x v="0"/>
    <x v="0"/>
    <s v="null"/>
  </r>
  <r>
    <x v="318"/>
    <x v="3"/>
    <x v="703"/>
    <s v="&quot;CNR4778731&quot;"/>
    <x v="2"/>
    <s v="&quot;CID7610889&quot;"/>
    <x v="4"/>
    <x v="96"/>
    <s v="Jama Masjid"/>
    <x v="69"/>
    <n v="40"/>
    <s v="null"/>
    <s v="null"/>
    <s v="null"/>
    <s v="null"/>
    <s v="null"/>
    <s v="null"/>
    <n v="358"/>
    <n v="23.98"/>
    <x v="14"/>
    <x v="2"/>
    <s v="Cash"/>
  </r>
  <r>
    <x v="247"/>
    <x v="10"/>
    <x v="704"/>
    <s v="&quot;CNR2738265&quot;"/>
    <x v="3"/>
    <s v="&quot;CID9926474&quot;"/>
    <x v="4"/>
    <x v="154"/>
    <s v="Delhi Gate"/>
    <x v="106"/>
    <s v="null"/>
    <s v="null"/>
    <s v="null"/>
    <n v="1"/>
    <s v="More than permitted people in there"/>
    <s v="null"/>
    <s v="null"/>
    <s v="null"/>
    <s v="null"/>
    <x v="0"/>
    <x v="0"/>
    <s v="null"/>
  </r>
  <r>
    <x v="89"/>
    <x v="4"/>
    <x v="705"/>
    <s v="&quot;CNR6987972&quot;"/>
    <x v="2"/>
    <s v="&quot;CID6481982&quot;"/>
    <x v="3"/>
    <x v="125"/>
    <s v="Cyber Hub"/>
    <x v="51"/>
    <n v="36.4"/>
    <s v="null"/>
    <s v="null"/>
    <s v="null"/>
    <s v="null"/>
    <s v="null"/>
    <s v="null"/>
    <n v="489"/>
    <n v="45.72"/>
    <x v="7"/>
    <x v="1"/>
    <s v="UPI"/>
  </r>
  <r>
    <x v="313"/>
    <x v="2"/>
    <x v="706"/>
    <s v="&quot;CNR8436777&quot;"/>
    <x v="1"/>
    <s v="&quot;CID7175114&quot;"/>
    <x v="5"/>
    <x v="107"/>
    <s v="Shastri Nagar"/>
    <x v="5"/>
    <n v="19.899999999999999"/>
    <s v="null"/>
    <s v="null"/>
    <s v="null"/>
    <s v="null"/>
    <n v="1"/>
    <s v="Other Issue"/>
    <n v="367"/>
    <n v="5.57"/>
    <x v="0"/>
    <x v="0"/>
    <s v="UPI"/>
  </r>
  <r>
    <x v="319"/>
    <x v="0"/>
    <x v="707"/>
    <s v="&quot;CNR3219966&quot;"/>
    <x v="1"/>
    <s v="&quot;CID1752407&quot;"/>
    <x v="5"/>
    <x v="131"/>
    <s v="Kashmere Gate"/>
    <x v="33"/>
    <n v="16.899999999999999"/>
    <s v="null"/>
    <s v="null"/>
    <s v="null"/>
    <s v="null"/>
    <n v="1"/>
    <s v="Other Issue"/>
    <n v="1682"/>
    <n v="7.6"/>
    <x v="0"/>
    <x v="0"/>
    <s v="Debit Card"/>
  </r>
  <r>
    <x v="297"/>
    <x v="3"/>
    <x v="708"/>
    <s v="&quot;CNR5313160&quot;"/>
    <x v="0"/>
    <s v="&quot;CID9145519&quot;"/>
    <x v="5"/>
    <x v="160"/>
    <s v="Basai Dhankot"/>
    <x v="0"/>
    <s v="null"/>
    <s v="null"/>
    <s v="null"/>
    <s v="null"/>
    <s v="null"/>
    <s v="null"/>
    <s v="null"/>
    <s v="null"/>
    <s v="null"/>
    <x v="0"/>
    <x v="0"/>
    <s v="null"/>
  </r>
  <r>
    <x v="320"/>
    <x v="4"/>
    <x v="709"/>
    <s v="&quot;CNR4346750&quot;"/>
    <x v="2"/>
    <s v="&quot;CID8170921&quot;"/>
    <x v="3"/>
    <x v="106"/>
    <s v="Indraprastha"/>
    <x v="45"/>
    <n v="43.5"/>
    <s v="null"/>
    <s v="null"/>
    <s v="null"/>
    <s v="null"/>
    <s v="null"/>
    <s v="null"/>
    <n v="55"/>
    <n v="3.02"/>
    <x v="2"/>
    <x v="14"/>
    <s v="Uber Wallet"/>
  </r>
  <r>
    <x v="32"/>
    <x v="5"/>
    <x v="710"/>
    <s v="&quot;CNR7596432&quot;"/>
    <x v="4"/>
    <s v="&quot;CID7432968&quot;"/>
    <x v="5"/>
    <x v="6"/>
    <s v="Tis Hazari"/>
    <x v="139"/>
    <s v="null"/>
    <n v="1"/>
    <s v="Wrong Address"/>
    <s v="null"/>
    <s v="null"/>
    <s v="null"/>
    <s v="null"/>
    <s v="null"/>
    <s v="null"/>
    <x v="0"/>
    <x v="0"/>
    <s v="null"/>
  </r>
  <r>
    <x v="113"/>
    <x v="5"/>
    <x v="711"/>
    <s v="&quot;CNR7297791&quot;"/>
    <x v="3"/>
    <s v="&quot;CID7281986&quot;"/>
    <x v="3"/>
    <x v="108"/>
    <s v="Model Town"/>
    <x v="60"/>
    <s v="null"/>
    <s v="null"/>
    <s v="null"/>
    <n v="1"/>
    <s v="The customer was coughing/sick"/>
    <s v="null"/>
    <s v="null"/>
    <s v="null"/>
    <s v="null"/>
    <x v="0"/>
    <x v="0"/>
    <s v="null"/>
  </r>
  <r>
    <x v="181"/>
    <x v="0"/>
    <x v="712"/>
    <s v="&quot;CNR9425600&quot;"/>
    <x v="2"/>
    <s v="&quot;CID5989176&quot;"/>
    <x v="1"/>
    <x v="35"/>
    <s v="Hauz Khas"/>
    <x v="125"/>
    <n v="29.3"/>
    <s v="null"/>
    <s v="null"/>
    <s v="null"/>
    <s v="null"/>
    <s v="null"/>
    <s v="null"/>
    <n v="395"/>
    <n v="14.95"/>
    <x v="12"/>
    <x v="6"/>
    <s v="UPI"/>
  </r>
  <r>
    <x v="35"/>
    <x v="9"/>
    <x v="713"/>
    <s v="&quot;CNR3823257&quot;"/>
    <x v="2"/>
    <s v="&quot;CID1508646&quot;"/>
    <x v="2"/>
    <x v="141"/>
    <s v="Kanhaiya Nagar"/>
    <x v="35"/>
    <n v="21.2"/>
    <s v="null"/>
    <s v="null"/>
    <s v="null"/>
    <s v="null"/>
    <s v="null"/>
    <s v="null"/>
    <n v="69"/>
    <n v="7.76"/>
    <x v="5"/>
    <x v="7"/>
    <s v="Cash"/>
  </r>
  <r>
    <x v="8"/>
    <x v="4"/>
    <x v="714"/>
    <s v="&quot;CNR8967861&quot;"/>
    <x v="4"/>
    <s v="&quot;CID3540282&quot;"/>
    <x v="3"/>
    <x v="62"/>
    <s v="Nehru Place"/>
    <x v="137"/>
    <s v="null"/>
    <n v="1"/>
    <s v="Driver is not moving towards pickup location"/>
    <s v="null"/>
    <s v="null"/>
    <s v="null"/>
    <s v="null"/>
    <s v="null"/>
    <s v="null"/>
    <x v="0"/>
    <x v="0"/>
    <s v="null"/>
  </r>
  <r>
    <x v="200"/>
    <x v="1"/>
    <x v="715"/>
    <s v="&quot;CNR4252538&quot;"/>
    <x v="2"/>
    <s v="&quot;CID8409955&quot;"/>
    <x v="1"/>
    <x v="84"/>
    <s v="Paharganj"/>
    <x v="28"/>
    <n v="33.1"/>
    <s v="null"/>
    <s v="null"/>
    <s v="null"/>
    <s v="null"/>
    <s v="null"/>
    <s v="null"/>
    <n v="265"/>
    <n v="7.95"/>
    <x v="12"/>
    <x v="7"/>
    <s v="Cash"/>
  </r>
  <r>
    <x v="182"/>
    <x v="3"/>
    <x v="716"/>
    <s v="&quot;CNR1211238&quot;"/>
    <x v="3"/>
    <s v="&quot;CID5244516&quot;"/>
    <x v="1"/>
    <x v="31"/>
    <s v="GTB Nagar"/>
    <x v="116"/>
    <s v="null"/>
    <s v="null"/>
    <s v="null"/>
    <n v="1"/>
    <s v="Customer related issue"/>
    <s v="null"/>
    <s v="null"/>
    <s v="null"/>
    <s v="null"/>
    <x v="0"/>
    <x v="0"/>
    <s v="null"/>
  </r>
  <r>
    <x v="115"/>
    <x v="11"/>
    <x v="717"/>
    <s v="&quot;CNR8958442&quot;"/>
    <x v="2"/>
    <s v="&quot;CID6015541&quot;"/>
    <x v="4"/>
    <x v="166"/>
    <s v="Khandsa"/>
    <x v="43"/>
    <n v="43.9"/>
    <s v="null"/>
    <s v="null"/>
    <s v="null"/>
    <s v="null"/>
    <s v="null"/>
    <s v="null"/>
    <n v="302"/>
    <n v="44.57"/>
    <x v="7"/>
    <x v="4"/>
    <s v="UPI"/>
  </r>
  <r>
    <x v="195"/>
    <x v="3"/>
    <x v="718"/>
    <s v="&quot;CNR2025421&quot;"/>
    <x v="2"/>
    <s v="&quot;CID1492057&quot;"/>
    <x v="1"/>
    <x v="133"/>
    <s v="Badshahpur"/>
    <x v="119"/>
    <n v="23.9"/>
    <s v="null"/>
    <s v="null"/>
    <s v="null"/>
    <s v="null"/>
    <s v="null"/>
    <s v="null"/>
    <n v="464"/>
    <n v="10.81"/>
    <x v="3"/>
    <x v="8"/>
    <s v="UPI"/>
  </r>
  <r>
    <x v="124"/>
    <x v="3"/>
    <x v="719"/>
    <s v="&quot;CNR1840812&quot;"/>
    <x v="1"/>
    <s v="&quot;CID2497733&quot;"/>
    <x v="5"/>
    <x v="2"/>
    <s v="Shahdara"/>
    <x v="25"/>
    <n v="24.3"/>
    <s v="null"/>
    <s v="null"/>
    <s v="null"/>
    <s v="null"/>
    <n v="1"/>
    <s v="Other Issue"/>
    <n v="545"/>
    <n v="8.39"/>
    <x v="0"/>
    <x v="0"/>
    <s v="Credit Card"/>
  </r>
  <r>
    <x v="321"/>
    <x v="6"/>
    <x v="592"/>
    <s v="&quot;CNR8182182&quot;"/>
    <x v="2"/>
    <s v="&quot;CID4994675&quot;"/>
    <x v="4"/>
    <x v="65"/>
    <s v="Rithala"/>
    <x v="100"/>
    <n v="30.7"/>
    <s v="null"/>
    <s v="null"/>
    <s v="null"/>
    <s v="null"/>
    <s v="null"/>
    <s v="null"/>
    <n v="224"/>
    <n v="24.44"/>
    <x v="6"/>
    <x v="6"/>
    <s v="Cash"/>
  </r>
  <r>
    <x v="322"/>
    <x v="10"/>
    <x v="720"/>
    <s v="&quot;CNR9939552&quot;"/>
    <x v="2"/>
    <s v="&quot;CID2876086&quot;"/>
    <x v="2"/>
    <x v="47"/>
    <s v="Shahdara"/>
    <x v="44"/>
    <n v="41.4"/>
    <s v="null"/>
    <s v="null"/>
    <s v="null"/>
    <s v="null"/>
    <s v="null"/>
    <s v="null"/>
    <n v="237"/>
    <n v="23.63"/>
    <x v="14"/>
    <x v="1"/>
    <s v="UPI"/>
  </r>
  <r>
    <x v="125"/>
    <x v="2"/>
    <x v="721"/>
    <s v="&quot;CNR6613512&quot;"/>
    <x v="2"/>
    <s v="&quot;CID1661297&quot;"/>
    <x v="2"/>
    <x v="156"/>
    <s v="Mundka"/>
    <x v="104"/>
    <n v="36.700000000000003"/>
    <s v="null"/>
    <s v="null"/>
    <s v="null"/>
    <s v="null"/>
    <s v="null"/>
    <s v="null"/>
    <n v="699"/>
    <n v="48.74"/>
    <x v="14"/>
    <x v="8"/>
    <s v="UPI"/>
  </r>
  <r>
    <x v="312"/>
    <x v="3"/>
    <x v="722"/>
    <s v="&quot;CNR4613739&quot;"/>
    <x v="2"/>
    <s v="&quot;CID9468231&quot;"/>
    <x v="3"/>
    <x v="71"/>
    <s v="Nirman Vihar"/>
    <x v="97"/>
    <n v="21.8"/>
    <s v="null"/>
    <s v="null"/>
    <s v="null"/>
    <s v="null"/>
    <s v="null"/>
    <s v="null"/>
    <n v="158"/>
    <n v="26.74"/>
    <x v="16"/>
    <x v="2"/>
    <s v="Uber Wallet"/>
  </r>
  <r>
    <x v="137"/>
    <x v="9"/>
    <x v="723"/>
    <s v="&quot;CNR8974635&quot;"/>
    <x v="4"/>
    <s v="&quot;CID8044093&quot;"/>
    <x v="3"/>
    <x v="14"/>
    <s v="Tilak Nagar"/>
    <x v="126"/>
    <s v="null"/>
    <n v="1"/>
    <s v="Change of plans"/>
    <s v="null"/>
    <s v="null"/>
    <s v="null"/>
    <s v="null"/>
    <s v="null"/>
    <s v="null"/>
    <x v="0"/>
    <x v="0"/>
    <s v="null"/>
  </r>
  <r>
    <x v="323"/>
    <x v="4"/>
    <x v="724"/>
    <s v="&quot;CNR8549497&quot;"/>
    <x v="3"/>
    <s v="&quot;CID3887828&quot;"/>
    <x v="3"/>
    <x v="92"/>
    <s v="Rajiv Nagar"/>
    <x v="50"/>
    <s v="null"/>
    <s v="null"/>
    <s v="null"/>
    <n v="1"/>
    <s v="More than permitted people in there"/>
    <s v="null"/>
    <s v="null"/>
    <s v="null"/>
    <s v="null"/>
    <x v="0"/>
    <x v="0"/>
    <s v="null"/>
  </r>
  <r>
    <x v="283"/>
    <x v="7"/>
    <x v="725"/>
    <s v="&quot;CNR9728645&quot;"/>
    <x v="2"/>
    <s v="&quot;CID9950053&quot;"/>
    <x v="2"/>
    <x v="127"/>
    <s v="Chirag Delhi"/>
    <x v="101"/>
    <n v="36.5"/>
    <s v="null"/>
    <s v="null"/>
    <s v="null"/>
    <s v="null"/>
    <s v="null"/>
    <s v="null"/>
    <n v="202"/>
    <n v="37.39"/>
    <x v="10"/>
    <x v="6"/>
    <s v="UPI"/>
  </r>
  <r>
    <x v="257"/>
    <x v="9"/>
    <x v="726"/>
    <s v="&quot;CNR5387110&quot;"/>
    <x v="4"/>
    <s v="&quot;CID6918354&quot;"/>
    <x v="5"/>
    <x v="51"/>
    <s v="IGI Airport"/>
    <x v="140"/>
    <s v="null"/>
    <n v="1"/>
    <s v="AC is not working"/>
    <s v="null"/>
    <s v="null"/>
    <s v="null"/>
    <s v="null"/>
    <s v="null"/>
    <s v="null"/>
    <x v="0"/>
    <x v="0"/>
    <s v="null"/>
  </r>
  <r>
    <x v="226"/>
    <x v="10"/>
    <x v="727"/>
    <s v="&quot;CNR9784011&quot;"/>
    <x v="0"/>
    <s v="&quot;CID5022682&quot;"/>
    <x v="1"/>
    <x v="130"/>
    <s v="Bhikaji Cama Place"/>
    <x v="0"/>
    <s v="null"/>
    <s v="null"/>
    <s v="null"/>
    <s v="null"/>
    <s v="null"/>
    <s v="null"/>
    <s v="null"/>
    <s v="null"/>
    <s v="null"/>
    <x v="0"/>
    <x v="0"/>
    <s v="null"/>
  </r>
  <r>
    <x v="19"/>
    <x v="9"/>
    <x v="728"/>
    <s v="&quot;CNR8547679&quot;"/>
    <x v="2"/>
    <s v="&quot;CID3104034&quot;"/>
    <x v="5"/>
    <x v="141"/>
    <s v="Chirag Delhi"/>
    <x v="96"/>
    <n v="17.3"/>
    <s v="null"/>
    <s v="null"/>
    <s v="null"/>
    <s v="null"/>
    <s v="null"/>
    <s v="null"/>
    <n v="798"/>
    <n v="13.98"/>
    <x v="7"/>
    <x v="8"/>
    <s v="UPI"/>
  </r>
  <r>
    <x v="128"/>
    <x v="5"/>
    <x v="729"/>
    <s v="&quot;CNR8180065&quot;"/>
    <x v="2"/>
    <s v="&quot;CID4649453&quot;"/>
    <x v="2"/>
    <x v="12"/>
    <s v="Golf Course Road"/>
    <x v="65"/>
    <n v="41.6"/>
    <s v="null"/>
    <s v="null"/>
    <s v="null"/>
    <s v="null"/>
    <s v="null"/>
    <s v="null"/>
    <n v="264"/>
    <n v="34.07"/>
    <x v="13"/>
    <x v="18"/>
    <s v="Debit Card"/>
  </r>
  <r>
    <x v="140"/>
    <x v="1"/>
    <x v="730"/>
    <s v="&quot;CNR1113690&quot;"/>
    <x v="2"/>
    <s v="&quot;CID8230386&quot;"/>
    <x v="1"/>
    <x v="135"/>
    <s v="Lal Quila"/>
    <x v="62"/>
    <n v="18.8"/>
    <s v="null"/>
    <s v="null"/>
    <s v="null"/>
    <s v="null"/>
    <s v="null"/>
    <s v="null"/>
    <n v="324"/>
    <n v="43.53"/>
    <x v="5"/>
    <x v="7"/>
    <s v="UPI"/>
  </r>
  <r>
    <x v="245"/>
    <x v="10"/>
    <x v="731"/>
    <s v="&quot;CNR4980155&quot;"/>
    <x v="2"/>
    <s v="&quot;CID4601365&quot;"/>
    <x v="5"/>
    <x v="141"/>
    <s v="IIT Delhi"/>
    <x v="62"/>
    <n v="43.5"/>
    <s v="null"/>
    <s v="null"/>
    <s v="null"/>
    <s v="null"/>
    <s v="null"/>
    <s v="null"/>
    <n v="500"/>
    <n v="36.770000000000003"/>
    <x v="6"/>
    <x v="4"/>
    <s v="UPI"/>
  </r>
  <r>
    <x v="165"/>
    <x v="2"/>
    <x v="732"/>
    <s v="&quot;CNR6932352&quot;"/>
    <x v="2"/>
    <s v="&quot;CID6010357&quot;"/>
    <x v="4"/>
    <x v="120"/>
    <s v="Sohna Road"/>
    <x v="79"/>
    <n v="44.9"/>
    <s v="null"/>
    <s v="null"/>
    <s v="null"/>
    <s v="null"/>
    <s v="null"/>
    <s v="null"/>
    <n v="440"/>
    <n v="28.46"/>
    <x v="14"/>
    <x v="9"/>
    <s v="UPI"/>
  </r>
  <r>
    <x v="138"/>
    <x v="9"/>
    <x v="733"/>
    <s v="&quot;CNR2960807&quot;"/>
    <x v="3"/>
    <s v="&quot;CID7147857&quot;"/>
    <x v="1"/>
    <x v="111"/>
    <s v="Tilak Nagar"/>
    <x v="131"/>
    <s v="null"/>
    <s v="null"/>
    <s v="null"/>
    <n v="1"/>
    <s v="The customer was coughing/sick"/>
    <s v="null"/>
    <s v="null"/>
    <s v="null"/>
    <s v="null"/>
    <x v="0"/>
    <x v="0"/>
    <s v="null"/>
  </r>
  <r>
    <x v="134"/>
    <x v="1"/>
    <x v="734"/>
    <s v="&quot;CNR3206791&quot;"/>
    <x v="2"/>
    <s v="&quot;CID7154060&quot;"/>
    <x v="2"/>
    <x v="124"/>
    <s v="Ardee City"/>
    <x v="7"/>
    <n v="37.700000000000003"/>
    <s v="null"/>
    <s v="null"/>
    <s v="null"/>
    <s v="null"/>
    <s v="null"/>
    <s v="null"/>
    <n v="460"/>
    <n v="33.840000000000003"/>
    <x v="3"/>
    <x v="10"/>
    <s v="UPI"/>
  </r>
  <r>
    <x v="324"/>
    <x v="4"/>
    <x v="735"/>
    <s v="&quot;CNR1699886&quot;"/>
    <x v="0"/>
    <s v="&quot;CID5132568&quot;"/>
    <x v="1"/>
    <x v="170"/>
    <s v="Noida Film City"/>
    <x v="0"/>
    <s v="null"/>
    <s v="null"/>
    <s v="null"/>
    <s v="null"/>
    <s v="null"/>
    <s v="null"/>
    <s v="null"/>
    <s v="null"/>
    <s v="null"/>
    <x v="0"/>
    <x v="0"/>
    <s v="null"/>
  </r>
  <r>
    <x v="49"/>
    <x v="9"/>
    <x v="736"/>
    <s v="&quot;CNR6763949&quot;"/>
    <x v="1"/>
    <s v="&quot;CID3481963&quot;"/>
    <x v="3"/>
    <x v="16"/>
    <s v="Greater Noida"/>
    <x v="65"/>
    <n v="29.2"/>
    <s v="null"/>
    <s v="null"/>
    <s v="null"/>
    <s v="null"/>
    <n v="1"/>
    <s v="Vehicle Breakdown"/>
    <n v="374"/>
    <n v="11.17"/>
    <x v="0"/>
    <x v="0"/>
    <s v="Credit Card"/>
  </r>
  <r>
    <x v="60"/>
    <x v="0"/>
    <x v="737"/>
    <s v="&quot;CNR4575541&quot;"/>
    <x v="3"/>
    <s v="&quot;CID8855641&quot;"/>
    <x v="1"/>
    <x v="134"/>
    <s v="Ashram"/>
    <x v="102"/>
    <s v="null"/>
    <s v="null"/>
    <s v="null"/>
    <n v="1"/>
    <s v="Customer related issue"/>
    <s v="null"/>
    <s v="null"/>
    <s v="null"/>
    <s v="null"/>
    <x v="0"/>
    <x v="0"/>
    <s v="null"/>
  </r>
  <r>
    <x v="202"/>
    <x v="8"/>
    <x v="738"/>
    <s v="&quot;CNR7353983&quot;"/>
    <x v="2"/>
    <s v="&quot;CID2934266&quot;"/>
    <x v="4"/>
    <x v="107"/>
    <s v="Noida Sector 18"/>
    <x v="105"/>
    <n v="37.9"/>
    <s v="null"/>
    <s v="null"/>
    <s v="null"/>
    <s v="null"/>
    <s v="null"/>
    <s v="null"/>
    <n v="1940"/>
    <n v="27.6"/>
    <x v="3"/>
    <x v="3"/>
    <s v="Cash"/>
  </r>
  <r>
    <x v="162"/>
    <x v="6"/>
    <x v="739"/>
    <s v="&quot;CNR2551232&quot;"/>
    <x v="2"/>
    <s v="&quot;CID4921473&quot;"/>
    <x v="2"/>
    <x v="138"/>
    <s v="Old Gurgaon"/>
    <x v="66"/>
    <n v="35.299999999999997"/>
    <s v="null"/>
    <s v="null"/>
    <s v="null"/>
    <s v="null"/>
    <s v="null"/>
    <s v="null"/>
    <n v="1216"/>
    <n v="44.04"/>
    <x v="14"/>
    <x v="11"/>
    <s v="UPI"/>
  </r>
  <r>
    <x v="132"/>
    <x v="5"/>
    <x v="740"/>
    <s v="&quot;CNR4355189&quot;"/>
    <x v="2"/>
    <s v="&quot;CID3667293&quot;"/>
    <x v="5"/>
    <x v="112"/>
    <s v="Sarojini Nagar"/>
    <x v="17"/>
    <n v="33.299999999999997"/>
    <s v="null"/>
    <s v="null"/>
    <s v="null"/>
    <s v="null"/>
    <s v="null"/>
    <s v="null"/>
    <n v="187"/>
    <n v="40.04"/>
    <x v="14"/>
    <x v="6"/>
    <s v="UPI"/>
  </r>
  <r>
    <x v="131"/>
    <x v="3"/>
    <x v="741"/>
    <s v="&quot;CNR6074821&quot;"/>
    <x v="2"/>
    <s v="&quot;CID3220681&quot;"/>
    <x v="2"/>
    <x v="52"/>
    <s v="Pataudi Chowk"/>
    <x v="35"/>
    <n v="17.2"/>
    <s v="null"/>
    <s v="null"/>
    <s v="null"/>
    <s v="null"/>
    <s v="null"/>
    <s v="null"/>
    <n v="478"/>
    <n v="48.62"/>
    <x v="6"/>
    <x v="17"/>
    <s v="UPI"/>
  </r>
  <r>
    <x v="243"/>
    <x v="7"/>
    <x v="742"/>
    <s v="&quot;CNR7321457&quot;"/>
    <x v="2"/>
    <s v="&quot;CID2601371&quot;"/>
    <x v="5"/>
    <x v="85"/>
    <s v="Madipur"/>
    <x v="58"/>
    <n v="34.4"/>
    <s v="null"/>
    <s v="null"/>
    <s v="null"/>
    <s v="null"/>
    <s v="null"/>
    <s v="null"/>
    <n v="791"/>
    <n v="6.07"/>
    <x v="3"/>
    <x v="19"/>
    <s v="Credit Card"/>
  </r>
  <r>
    <x v="56"/>
    <x v="5"/>
    <x v="743"/>
    <s v="&quot;CNR8268251&quot;"/>
    <x v="2"/>
    <s v="&quot;CID6015431&quot;"/>
    <x v="1"/>
    <x v="65"/>
    <s v="Paharganj"/>
    <x v="57"/>
    <n v="44.2"/>
    <s v="null"/>
    <s v="null"/>
    <s v="null"/>
    <s v="null"/>
    <s v="null"/>
    <s v="null"/>
    <n v="636"/>
    <n v="15.26"/>
    <x v="14"/>
    <x v="4"/>
    <s v="UPI"/>
  </r>
  <r>
    <x v="50"/>
    <x v="0"/>
    <x v="744"/>
    <s v="&quot;CNR2007488&quot;"/>
    <x v="2"/>
    <s v="&quot;CID5503761&quot;"/>
    <x v="0"/>
    <x v="137"/>
    <s v="Nirman Vihar"/>
    <x v="67"/>
    <n v="17.3"/>
    <s v="null"/>
    <s v="null"/>
    <s v="null"/>
    <s v="null"/>
    <s v="null"/>
    <s v="null"/>
    <n v="499"/>
    <n v="36.76"/>
    <x v="2"/>
    <x v="6"/>
    <s v="UPI"/>
  </r>
  <r>
    <x v="5"/>
    <x v="5"/>
    <x v="745"/>
    <s v="&quot;CNR2608343&quot;"/>
    <x v="3"/>
    <s v="&quot;CID5304970&quot;"/>
    <x v="5"/>
    <x v="50"/>
    <s v="Gurgaon Sector 56"/>
    <x v="1"/>
    <s v="null"/>
    <s v="null"/>
    <s v="null"/>
    <n v="1"/>
    <s v="The customer was coughing/sick"/>
    <s v="null"/>
    <s v="null"/>
    <s v="null"/>
    <s v="null"/>
    <x v="0"/>
    <x v="0"/>
    <s v="null"/>
  </r>
  <r>
    <x v="322"/>
    <x v="10"/>
    <x v="746"/>
    <s v="&quot;CNR6412163&quot;"/>
    <x v="3"/>
    <s v="&quot;CID3199156&quot;"/>
    <x v="4"/>
    <x v="67"/>
    <s v="INA Market"/>
    <x v="4"/>
    <s v="null"/>
    <s v="null"/>
    <s v="null"/>
    <n v="1"/>
    <s v="Personal &amp; Car related issues"/>
    <s v="null"/>
    <s v="null"/>
    <s v="null"/>
    <s v="null"/>
    <x v="0"/>
    <x v="0"/>
    <s v="null"/>
  </r>
  <r>
    <x v="254"/>
    <x v="5"/>
    <x v="747"/>
    <s v="&quot;CNR4316002&quot;"/>
    <x v="2"/>
    <s v="&quot;CID1378252&quot;"/>
    <x v="3"/>
    <x v="126"/>
    <s v="Welcome"/>
    <x v="62"/>
    <n v="37.700000000000003"/>
    <s v="null"/>
    <s v="null"/>
    <s v="null"/>
    <s v="null"/>
    <s v="null"/>
    <s v="null"/>
    <n v="1350"/>
    <n v="11.48"/>
    <x v="12"/>
    <x v="1"/>
    <s v="Uber Wallet"/>
  </r>
  <r>
    <x v="82"/>
    <x v="3"/>
    <x v="748"/>
    <s v="&quot;CNR1102112&quot;"/>
    <x v="2"/>
    <s v="&quot;CID4474837&quot;"/>
    <x v="0"/>
    <x v="17"/>
    <s v="Dwarka Mor"/>
    <x v="83"/>
    <n v="31.8"/>
    <s v="null"/>
    <s v="null"/>
    <s v="null"/>
    <s v="null"/>
    <s v="null"/>
    <s v="null"/>
    <n v="461"/>
    <n v="12.59"/>
    <x v="5"/>
    <x v="7"/>
    <s v="UPI"/>
  </r>
  <r>
    <x v="136"/>
    <x v="10"/>
    <x v="749"/>
    <s v="&quot;CNR6818363&quot;"/>
    <x v="2"/>
    <s v="&quot;CID8095753&quot;"/>
    <x v="5"/>
    <x v="26"/>
    <s v="Rajiv Chowk"/>
    <x v="20"/>
    <n v="44.7"/>
    <s v="null"/>
    <s v="null"/>
    <s v="null"/>
    <s v="null"/>
    <s v="null"/>
    <s v="null"/>
    <n v="170"/>
    <n v="31.74"/>
    <x v="5"/>
    <x v="10"/>
    <s v="Credit Card"/>
  </r>
  <r>
    <x v="325"/>
    <x v="5"/>
    <x v="750"/>
    <s v="&quot;CNR9343046&quot;"/>
    <x v="3"/>
    <s v="&quot;CID5372136&quot;"/>
    <x v="5"/>
    <x v="81"/>
    <s v="Mehrauli"/>
    <x v="90"/>
    <s v="null"/>
    <s v="null"/>
    <s v="null"/>
    <n v="1"/>
    <s v="Personal &amp; Car related issues"/>
    <s v="null"/>
    <s v="null"/>
    <s v="null"/>
    <s v="null"/>
    <x v="0"/>
    <x v="0"/>
    <s v="null"/>
  </r>
  <r>
    <x v="208"/>
    <x v="2"/>
    <x v="751"/>
    <s v="&quot;CNR2528612&quot;"/>
    <x v="3"/>
    <s v="&quot;CID7944156&quot;"/>
    <x v="2"/>
    <x v="77"/>
    <s v="Jor Bagh"/>
    <x v="18"/>
    <s v="null"/>
    <s v="null"/>
    <s v="null"/>
    <n v="1"/>
    <s v="Personal &amp; Car related issues"/>
    <s v="null"/>
    <s v="null"/>
    <s v="null"/>
    <s v="null"/>
    <x v="0"/>
    <x v="0"/>
    <s v="null"/>
  </r>
  <r>
    <x v="34"/>
    <x v="8"/>
    <x v="752"/>
    <s v="&quot;CNR6237606&quot;"/>
    <x v="0"/>
    <s v="&quot;CID5288041&quot;"/>
    <x v="1"/>
    <x v="76"/>
    <s v="Vaishali"/>
    <x v="0"/>
    <s v="null"/>
    <s v="null"/>
    <s v="null"/>
    <s v="null"/>
    <s v="null"/>
    <s v="null"/>
    <s v="null"/>
    <s v="null"/>
    <s v="null"/>
    <x v="0"/>
    <x v="0"/>
    <s v="null"/>
  </r>
  <r>
    <x v="316"/>
    <x v="11"/>
    <x v="753"/>
    <s v="&quot;CNR4223072&quot;"/>
    <x v="2"/>
    <s v="&quot;CID3839108&quot;"/>
    <x v="1"/>
    <x v="38"/>
    <s v="Okhla"/>
    <x v="70"/>
    <n v="37.799999999999997"/>
    <s v="null"/>
    <s v="null"/>
    <s v="null"/>
    <s v="null"/>
    <s v="null"/>
    <s v="null"/>
    <n v="558"/>
    <n v="38.700000000000003"/>
    <x v="6"/>
    <x v="1"/>
    <s v="UPI"/>
  </r>
  <r>
    <x v="32"/>
    <x v="5"/>
    <x v="754"/>
    <s v="&quot;CNR3468589&quot;"/>
    <x v="2"/>
    <s v="&quot;CID8662732&quot;"/>
    <x v="2"/>
    <x v="14"/>
    <s v="Noida Film City"/>
    <x v="7"/>
    <n v="32.4"/>
    <s v="null"/>
    <s v="null"/>
    <s v="null"/>
    <s v="null"/>
    <s v="null"/>
    <s v="null"/>
    <n v="288"/>
    <n v="4.38"/>
    <x v="6"/>
    <x v="13"/>
    <s v="UPI"/>
  </r>
  <r>
    <x v="228"/>
    <x v="0"/>
    <x v="755"/>
    <s v="&quot;CNR1334676&quot;"/>
    <x v="4"/>
    <s v="&quot;CID6137231&quot;"/>
    <x v="4"/>
    <x v="139"/>
    <s v="Uttam Nagar"/>
    <x v="31"/>
    <s v="null"/>
    <n v="1"/>
    <s v="Driver is not moving towards pickup location"/>
    <s v="null"/>
    <s v="null"/>
    <s v="null"/>
    <s v="null"/>
    <s v="null"/>
    <s v="null"/>
    <x v="0"/>
    <x v="0"/>
    <s v="null"/>
  </r>
  <r>
    <x v="53"/>
    <x v="6"/>
    <x v="756"/>
    <s v="&quot;CNR8286595&quot;"/>
    <x v="3"/>
    <s v="&quot;CID3688360&quot;"/>
    <x v="1"/>
    <x v="77"/>
    <s v="AIIMS"/>
    <x v="80"/>
    <s v="null"/>
    <s v="null"/>
    <s v="null"/>
    <n v="1"/>
    <s v="Personal &amp; Car related issues"/>
    <s v="null"/>
    <s v="null"/>
    <s v="null"/>
    <s v="null"/>
    <x v="0"/>
    <x v="0"/>
    <s v="null"/>
  </r>
  <r>
    <x v="6"/>
    <x v="6"/>
    <x v="757"/>
    <s v="&quot;CNR9470390&quot;"/>
    <x v="2"/>
    <s v="&quot;CID4005123&quot;"/>
    <x v="4"/>
    <x v="55"/>
    <s v="Yamuna Bank"/>
    <x v="79"/>
    <n v="29.5"/>
    <s v="null"/>
    <s v="null"/>
    <s v="null"/>
    <s v="null"/>
    <s v="null"/>
    <s v="null"/>
    <n v="133"/>
    <n v="29.31"/>
    <x v="5"/>
    <x v="14"/>
    <s v="Credit Card"/>
  </r>
  <r>
    <x v="172"/>
    <x v="11"/>
    <x v="758"/>
    <s v="&quot;CNR1837756&quot;"/>
    <x v="2"/>
    <s v="&quot;CID1952359&quot;"/>
    <x v="3"/>
    <x v="12"/>
    <s v="AIIMS"/>
    <x v="75"/>
    <n v="28.5"/>
    <s v="null"/>
    <s v="null"/>
    <s v="null"/>
    <s v="null"/>
    <s v="null"/>
    <s v="null"/>
    <n v="123"/>
    <n v="2.35"/>
    <x v="13"/>
    <x v="4"/>
    <s v="Cash"/>
  </r>
  <r>
    <x v="95"/>
    <x v="6"/>
    <x v="759"/>
    <s v="&quot;CNR9140671&quot;"/>
    <x v="0"/>
    <s v="&quot;CID3961912&quot;"/>
    <x v="1"/>
    <x v="80"/>
    <s v="Paharganj"/>
    <x v="0"/>
    <s v="null"/>
    <s v="null"/>
    <s v="null"/>
    <s v="null"/>
    <s v="null"/>
    <s v="null"/>
    <s v="null"/>
    <s v="null"/>
    <s v="null"/>
    <x v="0"/>
    <x v="0"/>
    <s v="null"/>
  </r>
  <r>
    <x v="80"/>
    <x v="11"/>
    <x v="760"/>
    <s v="&quot;CNR1525767&quot;"/>
    <x v="2"/>
    <s v="&quot;CID4267626&quot;"/>
    <x v="2"/>
    <x v="131"/>
    <s v="Madipur"/>
    <x v="93"/>
    <n v="30.3"/>
    <s v="null"/>
    <s v="null"/>
    <s v="null"/>
    <s v="null"/>
    <s v="null"/>
    <s v="null"/>
    <n v="629"/>
    <n v="41.18"/>
    <x v="6"/>
    <x v="6"/>
    <s v="Uber Wallet"/>
  </r>
  <r>
    <x v="66"/>
    <x v="1"/>
    <x v="761"/>
    <s v="&quot;CNR2997075&quot;"/>
    <x v="2"/>
    <s v="&quot;CID4383879&quot;"/>
    <x v="3"/>
    <x v="151"/>
    <s v="Hauz Khas"/>
    <x v="130"/>
    <n v="40.700000000000003"/>
    <s v="null"/>
    <s v="null"/>
    <s v="null"/>
    <s v="null"/>
    <s v="null"/>
    <s v="null"/>
    <n v="201"/>
    <n v="49.37"/>
    <x v="12"/>
    <x v="5"/>
    <s v="Cash"/>
  </r>
  <r>
    <x v="100"/>
    <x v="0"/>
    <x v="762"/>
    <s v="&quot;CNR1197334&quot;"/>
    <x v="2"/>
    <s v="&quot;CID4811646&quot;"/>
    <x v="3"/>
    <x v="140"/>
    <s v="Sarai Kale Khan"/>
    <x v="106"/>
    <n v="29.7"/>
    <s v="null"/>
    <s v="null"/>
    <s v="null"/>
    <s v="null"/>
    <s v="null"/>
    <s v="null"/>
    <n v="419"/>
    <n v="38.83"/>
    <x v="8"/>
    <x v="3"/>
    <s v="Cash"/>
  </r>
  <r>
    <x v="0"/>
    <x v="0"/>
    <x v="763"/>
    <s v="&quot;CNR7693001&quot;"/>
    <x v="2"/>
    <s v="&quot;CID3162922&quot;"/>
    <x v="1"/>
    <x v="105"/>
    <s v="Manesar"/>
    <x v="29"/>
    <n v="32.9"/>
    <s v="null"/>
    <s v="null"/>
    <s v="null"/>
    <s v="null"/>
    <s v="null"/>
    <s v="null"/>
    <n v="759"/>
    <n v="7.37"/>
    <x v="2"/>
    <x v="6"/>
    <s v="Debit Card"/>
  </r>
  <r>
    <x v="103"/>
    <x v="1"/>
    <x v="764"/>
    <s v="&quot;CNR1253094&quot;"/>
    <x v="2"/>
    <s v="&quot;CID5987358&quot;"/>
    <x v="2"/>
    <x v="88"/>
    <s v="Narsinghpur"/>
    <x v="71"/>
    <n v="29.5"/>
    <s v="null"/>
    <s v="null"/>
    <s v="null"/>
    <s v="null"/>
    <s v="null"/>
    <s v="null"/>
    <n v="399"/>
    <n v="48.69"/>
    <x v="6"/>
    <x v="7"/>
    <s v="Credit Card"/>
  </r>
  <r>
    <x v="117"/>
    <x v="11"/>
    <x v="765"/>
    <s v="&quot;CNR8396447&quot;"/>
    <x v="2"/>
    <s v="&quot;CID7092427&quot;"/>
    <x v="5"/>
    <x v="8"/>
    <s v="Rohini West"/>
    <x v="111"/>
    <n v="42.3"/>
    <s v="null"/>
    <s v="null"/>
    <s v="null"/>
    <s v="null"/>
    <s v="null"/>
    <s v="null"/>
    <n v="276"/>
    <n v="18.510000000000002"/>
    <x v="2"/>
    <x v="3"/>
    <s v="UPI"/>
  </r>
  <r>
    <x v="292"/>
    <x v="8"/>
    <x v="766"/>
    <s v="&quot;CNR5564154&quot;"/>
    <x v="2"/>
    <s v="&quot;CID1161874&quot;"/>
    <x v="4"/>
    <x v="129"/>
    <s v="IIT Delhi"/>
    <x v="93"/>
    <n v="25.7"/>
    <s v="null"/>
    <s v="null"/>
    <s v="null"/>
    <s v="null"/>
    <s v="null"/>
    <s v="null"/>
    <n v="1354"/>
    <n v="36.020000000000003"/>
    <x v="8"/>
    <x v="9"/>
    <s v="Cash"/>
  </r>
  <r>
    <x v="318"/>
    <x v="3"/>
    <x v="767"/>
    <s v="&quot;CNR9257342&quot;"/>
    <x v="2"/>
    <s v="&quot;CID3040152&quot;"/>
    <x v="4"/>
    <x v="113"/>
    <s v="Vaishali"/>
    <x v="76"/>
    <n v="16"/>
    <s v="null"/>
    <s v="null"/>
    <s v="null"/>
    <s v="null"/>
    <s v="null"/>
    <s v="null"/>
    <n v="529"/>
    <n v="7.92"/>
    <x v="16"/>
    <x v="5"/>
    <s v="Debit Card"/>
  </r>
  <r>
    <x v="250"/>
    <x v="10"/>
    <x v="768"/>
    <s v="&quot;CNR1402875&quot;"/>
    <x v="4"/>
    <s v="&quot;CID6416624&quot;"/>
    <x v="2"/>
    <x v="73"/>
    <s v="Narsinghpur"/>
    <x v="18"/>
    <s v="null"/>
    <n v="1"/>
    <s v="Driver is not moving towards pickup location"/>
    <s v="null"/>
    <s v="null"/>
    <s v="null"/>
    <s v="null"/>
    <s v="null"/>
    <s v="null"/>
    <x v="0"/>
    <x v="0"/>
    <s v="null"/>
  </r>
  <r>
    <x v="230"/>
    <x v="4"/>
    <x v="769"/>
    <s v="&quot;CNR2843953&quot;"/>
    <x v="3"/>
    <s v="&quot;CID1482677&quot;"/>
    <x v="6"/>
    <x v="28"/>
    <s v="Punjabi Bagh"/>
    <x v="72"/>
    <s v="null"/>
    <s v="null"/>
    <s v="null"/>
    <n v="1"/>
    <s v="More than permitted people in there"/>
    <s v="null"/>
    <s v="null"/>
    <s v="null"/>
    <s v="null"/>
    <x v="0"/>
    <x v="0"/>
    <s v="null"/>
  </r>
  <r>
    <x v="324"/>
    <x v="4"/>
    <x v="770"/>
    <s v="&quot;CNR7222740&quot;"/>
    <x v="2"/>
    <s v="&quot;CID7203480&quot;"/>
    <x v="2"/>
    <x v="125"/>
    <s v="Narsinghpur"/>
    <x v="7"/>
    <n v="16.399999999999999"/>
    <s v="null"/>
    <s v="null"/>
    <s v="null"/>
    <s v="null"/>
    <s v="null"/>
    <s v="null"/>
    <n v="306"/>
    <n v="20.57"/>
    <x v="10"/>
    <x v="4"/>
    <s v="UPI"/>
  </r>
  <r>
    <x v="239"/>
    <x v="4"/>
    <x v="771"/>
    <s v="&quot;CNR9899113&quot;"/>
    <x v="2"/>
    <s v="&quot;CID8801951&quot;"/>
    <x v="0"/>
    <x v="103"/>
    <s v="Ghitorni Village"/>
    <x v="6"/>
    <n v="38.200000000000003"/>
    <s v="null"/>
    <s v="null"/>
    <s v="null"/>
    <s v="null"/>
    <s v="null"/>
    <s v="null"/>
    <n v="535"/>
    <n v="49.73"/>
    <x v="12"/>
    <x v="1"/>
    <s v="Cash"/>
  </r>
  <r>
    <x v="199"/>
    <x v="11"/>
    <x v="772"/>
    <s v="&quot;CNR6812400&quot;"/>
    <x v="2"/>
    <s v="&quot;CID4486632&quot;"/>
    <x v="2"/>
    <x v="26"/>
    <s v="Sonipat"/>
    <x v="141"/>
    <n v="30.5"/>
    <s v="null"/>
    <s v="null"/>
    <s v="null"/>
    <s v="null"/>
    <s v="null"/>
    <s v="null"/>
    <n v="200"/>
    <n v="26.7"/>
    <x v="13"/>
    <x v="14"/>
    <s v="Cash"/>
  </r>
  <r>
    <x v="9"/>
    <x v="7"/>
    <x v="773"/>
    <s v="&quot;CNR4150977&quot;"/>
    <x v="2"/>
    <s v="&quot;CID2327849&quot;"/>
    <x v="5"/>
    <x v="51"/>
    <s v="Shastri Park"/>
    <x v="104"/>
    <n v="17.100000000000001"/>
    <s v="null"/>
    <s v="null"/>
    <s v="null"/>
    <s v="null"/>
    <s v="null"/>
    <s v="null"/>
    <n v="362"/>
    <n v="38.89"/>
    <x v="5"/>
    <x v="14"/>
    <s v="Credit Card"/>
  </r>
  <r>
    <x v="229"/>
    <x v="8"/>
    <x v="774"/>
    <s v="&quot;CNR3734242&quot;"/>
    <x v="2"/>
    <s v="&quot;CID3756393&quot;"/>
    <x v="2"/>
    <x v="123"/>
    <s v="Vaishali"/>
    <x v="64"/>
    <n v="23"/>
    <s v="null"/>
    <s v="null"/>
    <s v="null"/>
    <s v="null"/>
    <s v="null"/>
    <s v="null"/>
    <n v="337"/>
    <n v="30.05"/>
    <x v="2"/>
    <x v="14"/>
    <s v="Cash"/>
  </r>
  <r>
    <x v="116"/>
    <x v="10"/>
    <x v="775"/>
    <s v="&quot;CNR1225583&quot;"/>
    <x v="2"/>
    <s v="&quot;CID5214580&quot;"/>
    <x v="4"/>
    <x v="134"/>
    <s v="Shastri Park"/>
    <x v="14"/>
    <n v="41.7"/>
    <s v="null"/>
    <s v="null"/>
    <s v="null"/>
    <s v="null"/>
    <s v="null"/>
    <s v="null"/>
    <n v="558"/>
    <n v="26.69"/>
    <x v="3"/>
    <x v="3"/>
    <s v="Cash"/>
  </r>
  <r>
    <x v="169"/>
    <x v="8"/>
    <x v="776"/>
    <s v="&quot;CNR5229368&quot;"/>
    <x v="2"/>
    <s v="&quot;CID2357762&quot;"/>
    <x v="4"/>
    <x v="103"/>
    <s v="Malviya Nagar"/>
    <x v="83"/>
    <n v="16.2"/>
    <s v="null"/>
    <s v="null"/>
    <s v="null"/>
    <s v="null"/>
    <s v="null"/>
    <s v="null"/>
    <n v="800"/>
    <n v="48.89"/>
    <x v="6"/>
    <x v="10"/>
    <s v="UPI"/>
  </r>
  <r>
    <x v="326"/>
    <x v="3"/>
    <x v="777"/>
    <s v="&quot;CNR1514107&quot;"/>
    <x v="2"/>
    <s v="&quot;CID5502329&quot;"/>
    <x v="1"/>
    <x v="86"/>
    <s v="Ardee City"/>
    <x v="36"/>
    <n v="24.1"/>
    <s v="null"/>
    <s v="null"/>
    <s v="null"/>
    <s v="null"/>
    <s v="null"/>
    <s v="null"/>
    <n v="654"/>
    <n v="49.07"/>
    <x v="1"/>
    <x v="15"/>
    <s v="UPI"/>
  </r>
  <r>
    <x v="96"/>
    <x v="2"/>
    <x v="778"/>
    <s v="&quot;CNR5802013&quot;"/>
    <x v="2"/>
    <s v="&quot;CID4814890&quot;"/>
    <x v="4"/>
    <x v="147"/>
    <s v="Patel Chowk"/>
    <x v="136"/>
    <n v="23.3"/>
    <s v="null"/>
    <s v="null"/>
    <s v="null"/>
    <s v="null"/>
    <s v="null"/>
    <s v="null"/>
    <n v="171"/>
    <n v="16.41"/>
    <x v="6"/>
    <x v="19"/>
    <s v="UPI"/>
  </r>
  <r>
    <x v="210"/>
    <x v="0"/>
    <x v="779"/>
    <s v="&quot;CNR9109548&quot;"/>
    <x v="2"/>
    <s v="&quot;CID9473312&quot;"/>
    <x v="0"/>
    <x v="81"/>
    <s v="Vidhan Sabha"/>
    <x v="6"/>
    <n v="25.4"/>
    <s v="null"/>
    <s v="null"/>
    <s v="null"/>
    <s v="null"/>
    <s v="null"/>
    <s v="null"/>
    <n v="471"/>
    <n v="49.85"/>
    <x v="17"/>
    <x v="10"/>
    <s v="UPI"/>
  </r>
  <r>
    <x v="294"/>
    <x v="4"/>
    <x v="780"/>
    <s v="&quot;CNR2660023&quot;"/>
    <x v="0"/>
    <s v="&quot;CID8266020&quot;"/>
    <x v="2"/>
    <x v="108"/>
    <s v="Vasant Kunj"/>
    <x v="0"/>
    <s v="null"/>
    <s v="null"/>
    <s v="null"/>
    <s v="null"/>
    <s v="null"/>
    <s v="null"/>
    <s v="null"/>
    <s v="null"/>
    <s v="null"/>
    <x v="0"/>
    <x v="0"/>
    <s v="null"/>
  </r>
  <r>
    <x v="276"/>
    <x v="11"/>
    <x v="781"/>
    <s v="&quot;CNR5332569&quot;"/>
    <x v="3"/>
    <s v="&quot;CID7862170&quot;"/>
    <x v="2"/>
    <x v="107"/>
    <s v="Basai Dhankot"/>
    <x v="39"/>
    <s v="null"/>
    <s v="null"/>
    <s v="null"/>
    <n v="1"/>
    <s v="Customer related issue"/>
    <s v="null"/>
    <s v="null"/>
    <s v="null"/>
    <s v="null"/>
    <x v="0"/>
    <x v="0"/>
    <s v="null"/>
  </r>
  <r>
    <x v="304"/>
    <x v="1"/>
    <x v="782"/>
    <s v="&quot;CNR6582244&quot;"/>
    <x v="2"/>
    <s v="&quot;CID1946537&quot;"/>
    <x v="3"/>
    <x v="125"/>
    <s v="Maidan Garhi"/>
    <x v="9"/>
    <n v="41"/>
    <s v="null"/>
    <s v="null"/>
    <s v="null"/>
    <s v="null"/>
    <s v="null"/>
    <s v="null"/>
    <n v="326"/>
    <n v="36.43"/>
    <x v="13"/>
    <x v="13"/>
    <s v="UPI"/>
  </r>
  <r>
    <x v="169"/>
    <x v="8"/>
    <x v="783"/>
    <s v="&quot;CNR9225401&quot;"/>
    <x v="2"/>
    <s v="&quot;CID6351880&quot;"/>
    <x v="1"/>
    <x v="132"/>
    <s v="Vasant Kunj"/>
    <x v="10"/>
    <n v="21"/>
    <s v="null"/>
    <s v="null"/>
    <s v="null"/>
    <s v="null"/>
    <s v="null"/>
    <s v="null"/>
    <n v="142"/>
    <n v="12.32"/>
    <x v="12"/>
    <x v="4"/>
    <s v="UPI"/>
  </r>
  <r>
    <x v="210"/>
    <x v="0"/>
    <x v="784"/>
    <s v="&quot;CNR9779407&quot;"/>
    <x v="2"/>
    <s v="&quot;CID9017905&quot;"/>
    <x v="4"/>
    <x v="96"/>
    <s v="Saket"/>
    <x v="110"/>
    <n v="35"/>
    <s v="null"/>
    <s v="null"/>
    <s v="null"/>
    <s v="null"/>
    <s v="null"/>
    <s v="null"/>
    <n v="234"/>
    <n v="21.61"/>
    <x v="1"/>
    <x v="2"/>
    <s v="Cash"/>
  </r>
  <r>
    <x v="204"/>
    <x v="7"/>
    <x v="785"/>
    <s v="&quot;CNR7499719&quot;"/>
    <x v="1"/>
    <s v="&quot;CID7731156&quot;"/>
    <x v="5"/>
    <x v="28"/>
    <s v="Raj Nagar Extension"/>
    <x v="39"/>
    <n v="20.8"/>
    <s v="null"/>
    <s v="null"/>
    <s v="null"/>
    <s v="null"/>
    <n v="1"/>
    <s v="Customer Demand"/>
    <n v="483"/>
    <n v="3.88"/>
    <x v="0"/>
    <x v="0"/>
    <s v="Uber Wallet"/>
  </r>
  <r>
    <x v="42"/>
    <x v="11"/>
    <x v="786"/>
    <s v="&quot;CNR1119582&quot;"/>
    <x v="2"/>
    <s v="&quot;CID5402994&quot;"/>
    <x v="3"/>
    <x v="74"/>
    <s v="Janakpuri"/>
    <x v="4"/>
    <n v="21.1"/>
    <s v="null"/>
    <s v="null"/>
    <s v="null"/>
    <s v="null"/>
    <s v="null"/>
    <s v="null"/>
    <n v="203"/>
    <n v="14.94"/>
    <x v="8"/>
    <x v="2"/>
    <s v="UPI"/>
  </r>
  <r>
    <x v="103"/>
    <x v="1"/>
    <x v="787"/>
    <s v="&quot;CNR8016519&quot;"/>
    <x v="2"/>
    <s v="&quot;CID6857817&quot;"/>
    <x v="5"/>
    <x v="68"/>
    <s v="Govindpuri"/>
    <x v="114"/>
    <n v="18.7"/>
    <s v="null"/>
    <s v="null"/>
    <s v="null"/>
    <s v="null"/>
    <s v="null"/>
    <s v="null"/>
    <n v="1117"/>
    <n v="7.03"/>
    <x v="10"/>
    <x v="7"/>
    <s v="UPI"/>
  </r>
  <r>
    <x v="153"/>
    <x v="8"/>
    <x v="788"/>
    <s v="&quot;CNR9644415&quot;"/>
    <x v="2"/>
    <s v="&quot;CID5577509&quot;"/>
    <x v="1"/>
    <x v="136"/>
    <s v="South Extension"/>
    <x v="37"/>
    <n v="16.5"/>
    <s v="null"/>
    <s v="null"/>
    <s v="null"/>
    <s v="null"/>
    <s v="null"/>
    <s v="null"/>
    <n v="394"/>
    <n v="37.69"/>
    <x v="1"/>
    <x v="8"/>
    <s v="Cash"/>
  </r>
  <r>
    <x v="108"/>
    <x v="2"/>
    <x v="789"/>
    <s v="&quot;CNR5456664&quot;"/>
    <x v="0"/>
    <s v="&quot;CID4715517&quot;"/>
    <x v="4"/>
    <x v="159"/>
    <s v="Seelampur"/>
    <x v="0"/>
    <s v="null"/>
    <s v="null"/>
    <s v="null"/>
    <s v="null"/>
    <s v="null"/>
    <s v="null"/>
    <s v="null"/>
    <s v="null"/>
    <s v="null"/>
    <x v="0"/>
    <x v="0"/>
    <s v="null"/>
  </r>
  <r>
    <x v="327"/>
    <x v="6"/>
    <x v="790"/>
    <s v="&quot;CNR4729656&quot;"/>
    <x v="2"/>
    <s v="&quot;CID2582691&quot;"/>
    <x v="3"/>
    <x v="22"/>
    <s v="Botanical Garden"/>
    <x v="33"/>
    <n v="16.899999999999999"/>
    <s v="null"/>
    <s v="null"/>
    <s v="null"/>
    <s v="null"/>
    <s v="null"/>
    <s v="null"/>
    <n v="354"/>
    <n v="41.21"/>
    <x v="2"/>
    <x v="14"/>
    <s v="UPI"/>
  </r>
  <r>
    <x v="307"/>
    <x v="10"/>
    <x v="791"/>
    <s v="&quot;CNR6652189&quot;"/>
    <x v="3"/>
    <s v="&quot;CID6423494&quot;"/>
    <x v="4"/>
    <x v="46"/>
    <s v="Noida Sector 18"/>
    <x v="25"/>
    <s v="null"/>
    <s v="null"/>
    <s v="null"/>
    <n v="1"/>
    <s v="More than permitted people in there"/>
    <s v="null"/>
    <s v="null"/>
    <s v="null"/>
    <s v="null"/>
    <x v="0"/>
    <x v="0"/>
    <s v="null"/>
  </r>
  <r>
    <x v="270"/>
    <x v="9"/>
    <x v="792"/>
    <s v="&quot;CNR2437908&quot;"/>
    <x v="2"/>
    <s v="&quot;CID6838450&quot;"/>
    <x v="3"/>
    <x v="148"/>
    <s v="IMT Manesar"/>
    <x v="120"/>
    <n v="24.9"/>
    <s v="null"/>
    <s v="null"/>
    <s v="null"/>
    <s v="null"/>
    <s v="null"/>
    <s v="null"/>
    <n v="184"/>
    <n v="29.02"/>
    <x v="10"/>
    <x v="5"/>
    <s v="UPI"/>
  </r>
  <r>
    <x v="328"/>
    <x v="7"/>
    <x v="793"/>
    <s v="&quot;CNR5603997&quot;"/>
    <x v="2"/>
    <s v="&quot;CID3412071&quot;"/>
    <x v="4"/>
    <x v="12"/>
    <s v="Dwarka Mor"/>
    <x v="50"/>
    <n v="28.3"/>
    <s v="null"/>
    <s v="null"/>
    <s v="null"/>
    <s v="null"/>
    <s v="null"/>
    <s v="null"/>
    <n v="163"/>
    <n v="13.87"/>
    <x v="2"/>
    <x v="20"/>
    <s v="Cash"/>
  </r>
  <r>
    <x v="2"/>
    <x v="2"/>
    <x v="794"/>
    <s v="&quot;CNR9904285&quot;"/>
    <x v="2"/>
    <s v="&quot;CID1832976&quot;"/>
    <x v="1"/>
    <x v="0"/>
    <s v="Huda City Centre"/>
    <x v="40"/>
    <n v="36.1"/>
    <s v="null"/>
    <s v="null"/>
    <s v="null"/>
    <s v="null"/>
    <s v="null"/>
    <s v="null"/>
    <n v="221"/>
    <n v="41.05"/>
    <x v="2"/>
    <x v="5"/>
    <s v="Debit Card"/>
  </r>
  <r>
    <x v="110"/>
    <x v="9"/>
    <x v="795"/>
    <s v="&quot;CNR2349802&quot;"/>
    <x v="2"/>
    <s v="&quot;CID9824071&quot;"/>
    <x v="2"/>
    <x v="134"/>
    <s v="IFFCO Chowk"/>
    <x v="66"/>
    <n v="21.6"/>
    <s v="null"/>
    <s v="null"/>
    <s v="null"/>
    <s v="null"/>
    <s v="null"/>
    <s v="null"/>
    <n v="994"/>
    <n v="7.78"/>
    <x v="3"/>
    <x v="6"/>
    <s v="Credit Card"/>
  </r>
  <r>
    <x v="9"/>
    <x v="7"/>
    <x v="796"/>
    <s v="&quot;CNR3812162&quot;"/>
    <x v="2"/>
    <s v="&quot;CID7474910&quot;"/>
    <x v="2"/>
    <x v="120"/>
    <s v="Botanical Garden"/>
    <x v="105"/>
    <n v="43.2"/>
    <s v="null"/>
    <s v="null"/>
    <s v="null"/>
    <s v="null"/>
    <s v="null"/>
    <s v="null"/>
    <n v="266"/>
    <n v="36.270000000000003"/>
    <x v="13"/>
    <x v="10"/>
    <s v="UPI"/>
  </r>
  <r>
    <x v="171"/>
    <x v="11"/>
    <x v="797"/>
    <s v="&quot;CNR6718124&quot;"/>
    <x v="3"/>
    <s v="&quot;CID1617069&quot;"/>
    <x v="5"/>
    <x v="63"/>
    <s v="New Colony"/>
    <x v="47"/>
    <s v="null"/>
    <s v="null"/>
    <s v="null"/>
    <n v="1"/>
    <s v="More than permitted people in there"/>
    <s v="null"/>
    <s v="null"/>
    <s v="null"/>
    <s v="null"/>
    <x v="0"/>
    <x v="0"/>
    <s v="null"/>
  </r>
  <r>
    <x v="54"/>
    <x v="9"/>
    <x v="798"/>
    <s v="&quot;CNR6519969&quot;"/>
    <x v="3"/>
    <s v="&quot;CID1271357&quot;"/>
    <x v="3"/>
    <x v="96"/>
    <s v="Jor Bagh"/>
    <x v="89"/>
    <s v="null"/>
    <s v="null"/>
    <s v="null"/>
    <n v="1"/>
    <s v="The customer was coughing/sick"/>
    <s v="null"/>
    <s v="null"/>
    <s v="null"/>
    <s v="null"/>
    <x v="0"/>
    <x v="0"/>
    <s v="null"/>
  </r>
  <r>
    <x v="42"/>
    <x v="11"/>
    <x v="799"/>
    <s v="&quot;CNR8247998&quot;"/>
    <x v="0"/>
    <s v="&quot;CID2775210&quot;"/>
    <x v="1"/>
    <x v="86"/>
    <s v="Subhash Chowk"/>
    <x v="0"/>
    <s v="null"/>
    <s v="null"/>
    <s v="null"/>
    <s v="null"/>
    <s v="null"/>
    <s v="null"/>
    <s v="null"/>
    <s v="null"/>
    <s v="null"/>
    <x v="0"/>
    <x v="0"/>
    <s v="null"/>
  </r>
  <r>
    <x v="192"/>
    <x v="11"/>
    <x v="800"/>
    <s v="&quot;CNR7880156&quot;"/>
    <x v="2"/>
    <s v="&quot;CID9349348&quot;"/>
    <x v="4"/>
    <x v="120"/>
    <s v="Subhash Nagar"/>
    <x v="62"/>
    <n v="19.600000000000001"/>
    <s v="null"/>
    <s v="null"/>
    <s v="null"/>
    <s v="null"/>
    <s v="null"/>
    <s v="null"/>
    <n v="111"/>
    <n v="16.940000000000001"/>
    <x v="13"/>
    <x v="8"/>
    <s v="Cash"/>
  </r>
  <r>
    <x v="147"/>
    <x v="0"/>
    <x v="801"/>
    <s v="&quot;CNR8040531&quot;"/>
    <x v="2"/>
    <s v="&quot;CID2273432&quot;"/>
    <x v="3"/>
    <x v="44"/>
    <s v="Huda City Centre"/>
    <x v="72"/>
    <n v="28"/>
    <s v="null"/>
    <s v="null"/>
    <s v="null"/>
    <s v="null"/>
    <s v="null"/>
    <s v="null"/>
    <n v="442"/>
    <n v="38.08"/>
    <x v="2"/>
    <x v="3"/>
    <s v="UPI"/>
  </r>
  <r>
    <x v="329"/>
    <x v="3"/>
    <x v="802"/>
    <s v="&quot;CNR5118917&quot;"/>
    <x v="4"/>
    <s v="&quot;CID4154067&quot;"/>
    <x v="5"/>
    <x v="111"/>
    <s v="Patel Chowk"/>
    <x v="128"/>
    <s v="null"/>
    <n v="1"/>
    <s v="Driver is not moving towards pickup location"/>
    <s v="null"/>
    <s v="null"/>
    <s v="null"/>
    <s v="null"/>
    <s v="null"/>
    <s v="null"/>
    <x v="0"/>
    <x v="0"/>
    <s v="null"/>
  </r>
  <r>
    <x v="108"/>
    <x v="2"/>
    <x v="803"/>
    <s v="&quot;CNR5790131&quot;"/>
    <x v="2"/>
    <s v="&quot;CID4605629&quot;"/>
    <x v="2"/>
    <x v="39"/>
    <s v="Welcome"/>
    <x v="128"/>
    <n v="24.2"/>
    <s v="null"/>
    <s v="null"/>
    <s v="null"/>
    <s v="null"/>
    <s v="null"/>
    <s v="null"/>
    <n v="169"/>
    <n v="7.46"/>
    <x v="12"/>
    <x v="5"/>
    <s v="UPI"/>
  </r>
  <r>
    <x v="113"/>
    <x v="5"/>
    <x v="804"/>
    <s v="&quot;CNR8312838&quot;"/>
    <x v="2"/>
    <s v="&quot;CID3210950&quot;"/>
    <x v="2"/>
    <x v="0"/>
    <s v="Udyog Vihar Phase 4"/>
    <x v="91"/>
    <n v="23.8"/>
    <s v="null"/>
    <s v="null"/>
    <s v="null"/>
    <s v="null"/>
    <s v="null"/>
    <s v="null"/>
    <n v="98"/>
    <n v="20.8"/>
    <x v="5"/>
    <x v="13"/>
    <s v="Debit Card"/>
  </r>
  <r>
    <x v="30"/>
    <x v="9"/>
    <x v="805"/>
    <s v="&quot;CNR8307726&quot;"/>
    <x v="0"/>
    <s v="&quot;CID5691528&quot;"/>
    <x v="3"/>
    <x v="52"/>
    <s v="Udyog Vihar Phase 4"/>
    <x v="0"/>
    <s v="null"/>
    <s v="null"/>
    <s v="null"/>
    <s v="null"/>
    <s v="null"/>
    <s v="null"/>
    <s v="null"/>
    <s v="null"/>
    <s v="null"/>
    <x v="0"/>
    <x v="0"/>
    <s v="null"/>
  </r>
  <r>
    <x v="126"/>
    <x v="9"/>
    <x v="806"/>
    <s v="&quot;CNR3232014&quot;"/>
    <x v="3"/>
    <s v="&quot;CID6616993&quot;"/>
    <x v="1"/>
    <x v="117"/>
    <s v="Welcome"/>
    <x v="56"/>
    <s v="null"/>
    <s v="null"/>
    <s v="null"/>
    <n v="1"/>
    <s v="The customer was coughing/sick"/>
    <s v="null"/>
    <s v="null"/>
    <s v="null"/>
    <s v="null"/>
    <x v="0"/>
    <x v="0"/>
    <s v="null"/>
  </r>
  <r>
    <x v="306"/>
    <x v="10"/>
    <x v="807"/>
    <s v="&quot;CNR8002052&quot;"/>
    <x v="2"/>
    <s v="&quot;CID4254414&quot;"/>
    <x v="2"/>
    <x v="143"/>
    <s v="Jahangirpuri"/>
    <x v="86"/>
    <n v="29"/>
    <s v="null"/>
    <s v="null"/>
    <s v="null"/>
    <s v="null"/>
    <s v="null"/>
    <s v="null"/>
    <n v="1311"/>
    <n v="8.24"/>
    <x v="6"/>
    <x v="5"/>
    <s v="UPI"/>
  </r>
  <r>
    <x v="197"/>
    <x v="6"/>
    <x v="808"/>
    <s v="&quot;CNR8045058&quot;"/>
    <x v="2"/>
    <s v="&quot;CID7712950&quot;"/>
    <x v="3"/>
    <x v="33"/>
    <s v="Dilshad Garden"/>
    <x v="91"/>
    <n v="34.200000000000003"/>
    <s v="null"/>
    <s v="null"/>
    <s v="null"/>
    <s v="null"/>
    <s v="null"/>
    <s v="null"/>
    <n v="805"/>
    <n v="28.75"/>
    <x v="20"/>
    <x v="6"/>
    <s v="Uber Wallet"/>
  </r>
  <r>
    <x v="166"/>
    <x v="3"/>
    <x v="809"/>
    <s v="&quot;CNR5682531&quot;"/>
    <x v="3"/>
    <s v="&quot;CID7080169&quot;"/>
    <x v="4"/>
    <x v="169"/>
    <s v="IMT Manesar"/>
    <x v="31"/>
    <s v="null"/>
    <s v="null"/>
    <s v="null"/>
    <n v="1"/>
    <s v="The customer was coughing/sick"/>
    <s v="null"/>
    <s v="null"/>
    <s v="null"/>
    <s v="null"/>
    <x v="0"/>
    <x v="0"/>
    <s v="null"/>
  </r>
  <r>
    <x v="237"/>
    <x v="0"/>
    <x v="810"/>
    <s v="&quot;CNR5102449&quot;"/>
    <x v="4"/>
    <s v="&quot;CID9555252&quot;"/>
    <x v="3"/>
    <x v="4"/>
    <s v="DLF City Court"/>
    <x v="114"/>
    <s v="null"/>
    <n v="1"/>
    <s v="Change of plans"/>
    <s v="null"/>
    <s v="null"/>
    <s v="null"/>
    <s v="null"/>
    <s v="null"/>
    <s v="null"/>
    <x v="0"/>
    <x v="0"/>
    <s v="null"/>
  </r>
  <r>
    <x v="281"/>
    <x v="1"/>
    <x v="811"/>
    <s v="&quot;CNR9643938&quot;"/>
    <x v="0"/>
    <s v="&quot;CID8686033&quot;"/>
    <x v="0"/>
    <x v="101"/>
    <s v="Noida Extension"/>
    <x v="0"/>
    <s v="null"/>
    <s v="null"/>
    <s v="null"/>
    <s v="null"/>
    <s v="null"/>
    <s v="null"/>
    <s v="null"/>
    <s v="null"/>
    <s v="null"/>
    <x v="0"/>
    <x v="0"/>
    <s v="null"/>
  </r>
  <r>
    <x v="155"/>
    <x v="9"/>
    <x v="812"/>
    <s v="&quot;CNR9794903&quot;"/>
    <x v="0"/>
    <s v="&quot;CID4483406&quot;"/>
    <x v="1"/>
    <x v="37"/>
    <s v="Cyber Hub"/>
    <x v="0"/>
    <s v="null"/>
    <s v="null"/>
    <s v="null"/>
    <s v="null"/>
    <s v="null"/>
    <s v="null"/>
    <s v="null"/>
    <s v="null"/>
    <s v="null"/>
    <x v="0"/>
    <x v="0"/>
    <s v="null"/>
  </r>
  <r>
    <x v="58"/>
    <x v="0"/>
    <x v="813"/>
    <s v="&quot;CNR7515601&quot;"/>
    <x v="3"/>
    <s v="&quot;CID6549525&quot;"/>
    <x v="5"/>
    <x v="109"/>
    <s v="Lok Kalyan Marg"/>
    <x v="94"/>
    <s v="null"/>
    <s v="null"/>
    <s v="null"/>
    <n v="1"/>
    <s v="Personal &amp; Car related issues"/>
    <s v="null"/>
    <s v="null"/>
    <s v="null"/>
    <s v="null"/>
    <x v="0"/>
    <x v="0"/>
    <s v="null"/>
  </r>
  <r>
    <x v="237"/>
    <x v="0"/>
    <x v="814"/>
    <s v="&quot;CNR5029264&quot;"/>
    <x v="3"/>
    <s v="&quot;CID1832188&quot;"/>
    <x v="4"/>
    <x v="49"/>
    <s v="Kaushambi"/>
    <x v="30"/>
    <s v="null"/>
    <s v="null"/>
    <s v="null"/>
    <n v="1"/>
    <s v="Customer related issue"/>
    <s v="null"/>
    <s v="null"/>
    <s v="null"/>
    <s v="null"/>
    <x v="0"/>
    <x v="0"/>
    <s v="null"/>
  </r>
  <r>
    <x v="177"/>
    <x v="5"/>
    <x v="815"/>
    <s v="&quot;CNR6064614&quot;"/>
    <x v="2"/>
    <s v="&quot;CID8940207&quot;"/>
    <x v="5"/>
    <x v="110"/>
    <s v="Ghitorni Village"/>
    <x v="50"/>
    <n v="35.6"/>
    <s v="null"/>
    <s v="null"/>
    <s v="null"/>
    <s v="null"/>
    <s v="null"/>
    <s v="null"/>
    <n v="396"/>
    <n v="30.69"/>
    <x v="11"/>
    <x v="4"/>
    <s v="Uber Wallet"/>
  </r>
  <r>
    <x v="322"/>
    <x v="10"/>
    <x v="816"/>
    <s v="&quot;CNR1014333&quot;"/>
    <x v="3"/>
    <s v="&quot;CID1321465&quot;"/>
    <x v="5"/>
    <x v="98"/>
    <s v="Noida Extension"/>
    <x v="10"/>
    <s v="null"/>
    <s v="null"/>
    <s v="null"/>
    <n v="1"/>
    <s v="Personal &amp; Car related issues"/>
    <s v="null"/>
    <s v="null"/>
    <s v="null"/>
    <s v="null"/>
    <x v="0"/>
    <x v="0"/>
    <s v="null"/>
  </r>
  <r>
    <x v="229"/>
    <x v="8"/>
    <x v="817"/>
    <s v="&quot;CNR4378110&quot;"/>
    <x v="2"/>
    <s v="&quot;CID5808772&quot;"/>
    <x v="3"/>
    <x v="53"/>
    <s v="Sultanpur"/>
    <x v="78"/>
    <n v="34.200000000000003"/>
    <s v="null"/>
    <s v="null"/>
    <s v="null"/>
    <s v="null"/>
    <s v="null"/>
    <s v="null"/>
    <n v="827"/>
    <n v="9.44"/>
    <x v="13"/>
    <x v="2"/>
    <s v="Uber Wallet"/>
  </r>
  <r>
    <x v="209"/>
    <x v="2"/>
    <x v="818"/>
    <s v="&quot;CNR6262050&quot;"/>
    <x v="2"/>
    <s v="&quot;CID1519615&quot;"/>
    <x v="4"/>
    <x v="32"/>
    <s v="Golf Course Road"/>
    <x v="30"/>
    <n v="37"/>
    <s v="null"/>
    <s v="null"/>
    <s v="null"/>
    <s v="null"/>
    <s v="null"/>
    <s v="null"/>
    <n v="269"/>
    <n v="11.46"/>
    <x v="16"/>
    <x v="14"/>
    <s v="UPI"/>
  </r>
  <r>
    <x v="64"/>
    <x v="7"/>
    <x v="819"/>
    <s v="&quot;CNR3852879&quot;"/>
    <x v="2"/>
    <s v="&quot;CID3865550&quot;"/>
    <x v="4"/>
    <x v="98"/>
    <s v="Ashok Vihar"/>
    <x v="15"/>
    <n v="35.799999999999997"/>
    <s v="null"/>
    <s v="null"/>
    <s v="null"/>
    <s v="null"/>
    <s v="null"/>
    <s v="null"/>
    <n v="910"/>
    <n v="18.670000000000002"/>
    <x v="14"/>
    <x v="3"/>
    <s v="Debit Card"/>
  </r>
  <r>
    <x v="138"/>
    <x v="9"/>
    <x v="820"/>
    <s v="&quot;CNR8612043&quot;"/>
    <x v="2"/>
    <s v="&quot;CID9079035&quot;"/>
    <x v="0"/>
    <x v="27"/>
    <s v="New Colony"/>
    <x v="96"/>
    <n v="37.5"/>
    <s v="null"/>
    <s v="null"/>
    <s v="null"/>
    <s v="null"/>
    <s v="null"/>
    <s v="null"/>
    <n v="215"/>
    <n v="44.66"/>
    <x v="8"/>
    <x v="10"/>
    <s v="Credit Card"/>
  </r>
  <r>
    <x v="205"/>
    <x v="2"/>
    <x v="821"/>
    <s v="&quot;CNR7090590&quot;"/>
    <x v="3"/>
    <s v="&quot;CID7765452&quot;"/>
    <x v="4"/>
    <x v="155"/>
    <s v="Uttam Nagar"/>
    <x v="55"/>
    <s v="null"/>
    <s v="null"/>
    <s v="null"/>
    <n v="1"/>
    <s v="The customer was coughing/sick"/>
    <s v="null"/>
    <s v="null"/>
    <s v="null"/>
    <s v="null"/>
    <x v="0"/>
    <x v="0"/>
    <s v="null"/>
  </r>
  <r>
    <x v="330"/>
    <x v="0"/>
    <x v="822"/>
    <s v="&quot;CNR9596957&quot;"/>
    <x v="2"/>
    <s v="&quot;CID9489055&quot;"/>
    <x v="4"/>
    <x v="73"/>
    <s v="Model Town"/>
    <x v="34"/>
    <n v="28.7"/>
    <s v="null"/>
    <s v="null"/>
    <s v="null"/>
    <s v="null"/>
    <s v="null"/>
    <s v="null"/>
    <n v="613"/>
    <n v="28.5"/>
    <x v="6"/>
    <x v="8"/>
    <s v="UPI"/>
  </r>
  <r>
    <x v="89"/>
    <x v="4"/>
    <x v="823"/>
    <s v="&quot;CNR3903771&quot;"/>
    <x v="0"/>
    <s v="&quot;CID2090352&quot;"/>
    <x v="1"/>
    <x v="141"/>
    <s v="Netaji Subhash Place"/>
    <x v="0"/>
    <s v="null"/>
    <s v="null"/>
    <s v="null"/>
    <s v="null"/>
    <s v="null"/>
    <s v="null"/>
    <s v="null"/>
    <s v="null"/>
    <s v="null"/>
    <x v="0"/>
    <x v="0"/>
    <s v="null"/>
  </r>
  <r>
    <x v="228"/>
    <x v="0"/>
    <x v="824"/>
    <s v="&quot;CNR1411238&quot;"/>
    <x v="2"/>
    <s v="&quot;CID1130305&quot;"/>
    <x v="2"/>
    <x v="171"/>
    <s v="Rajiv Nagar"/>
    <x v="44"/>
    <n v="16.2"/>
    <s v="null"/>
    <s v="null"/>
    <s v="null"/>
    <s v="null"/>
    <s v="null"/>
    <s v="null"/>
    <n v="393"/>
    <n v="9.39"/>
    <x v="10"/>
    <x v="6"/>
    <s v="UPI"/>
  </r>
  <r>
    <x v="206"/>
    <x v="10"/>
    <x v="825"/>
    <s v="&quot;CNR7088895&quot;"/>
    <x v="1"/>
    <s v="&quot;CID5439093&quot;"/>
    <x v="5"/>
    <x v="89"/>
    <s v="New Colony"/>
    <x v="30"/>
    <n v="22.7"/>
    <s v="null"/>
    <s v="null"/>
    <s v="null"/>
    <s v="null"/>
    <n v="1"/>
    <s v="Vehicle Breakdown"/>
    <n v="315"/>
    <n v="19.670000000000002"/>
    <x v="0"/>
    <x v="0"/>
    <s v="Cash"/>
  </r>
  <r>
    <x v="270"/>
    <x v="9"/>
    <x v="826"/>
    <s v="&quot;CNR6374018&quot;"/>
    <x v="2"/>
    <s v="&quot;CID9501499&quot;"/>
    <x v="5"/>
    <x v="68"/>
    <s v="Nehru Place"/>
    <x v="57"/>
    <n v="28.1"/>
    <s v="null"/>
    <s v="null"/>
    <s v="null"/>
    <s v="null"/>
    <s v="null"/>
    <s v="null"/>
    <n v="64"/>
    <n v="45.95"/>
    <x v="2"/>
    <x v="4"/>
    <s v="Credit Card"/>
  </r>
  <r>
    <x v="327"/>
    <x v="6"/>
    <x v="827"/>
    <s v="&quot;CNR1293051&quot;"/>
    <x v="4"/>
    <s v="&quot;CID7350062&quot;"/>
    <x v="0"/>
    <x v="135"/>
    <s v="Bahadurgarh"/>
    <x v="123"/>
    <s v="null"/>
    <n v="1"/>
    <s v="Change of plans"/>
    <s v="null"/>
    <s v="null"/>
    <s v="null"/>
    <s v="null"/>
    <s v="null"/>
    <s v="null"/>
    <x v="0"/>
    <x v="0"/>
    <s v="null"/>
  </r>
  <r>
    <x v="56"/>
    <x v="5"/>
    <x v="828"/>
    <s v="&quot;CNR4054173&quot;"/>
    <x v="3"/>
    <s v="&quot;CID2327200&quot;"/>
    <x v="3"/>
    <x v="55"/>
    <s v="Paharganj"/>
    <x v="6"/>
    <s v="null"/>
    <s v="null"/>
    <s v="null"/>
    <n v="1"/>
    <s v="Customer related issue"/>
    <s v="null"/>
    <s v="null"/>
    <s v="null"/>
    <s v="null"/>
    <x v="0"/>
    <x v="0"/>
    <s v="null"/>
  </r>
  <r>
    <x v="219"/>
    <x v="7"/>
    <x v="829"/>
    <s v="&quot;CNR2377415&quot;"/>
    <x v="0"/>
    <s v="&quot;CID4491822&quot;"/>
    <x v="4"/>
    <x v="77"/>
    <s v="Rajiv Chowk"/>
    <x v="0"/>
    <s v="null"/>
    <s v="null"/>
    <s v="null"/>
    <s v="null"/>
    <s v="null"/>
    <s v="null"/>
    <s v="null"/>
    <s v="null"/>
    <s v="null"/>
    <x v="0"/>
    <x v="0"/>
    <s v="null"/>
  </r>
  <r>
    <x v="104"/>
    <x v="1"/>
    <x v="830"/>
    <s v="&quot;CNR7738075&quot;"/>
    <x v="2"/>
    <s v="&quot;CID4932452&quot;"/>
    <x v="2"/>
    <x v="113"/>
    <s v="Shastri Park"/>
    <x v="73"/>
    <n v="33.5"/>
    <s v="null"/>
    <s v="null"/>
    <s v="null"/>
    <s v="null"/>
    <s v="null"/>
    <s v="null"/>
    <n v="229"/>
    <n v="23.54"/>
    <x v="13"/>
    <x v="11"/>
    <s v="UPI"/>
  </r>
  <r>
    <x v="239"/>
    <x v="4"/>
    <x v="831"/>
    <s v="&quot;CNR7783758&quot;"/>
    <x v="2"/>
    <s v="&quot;CID5342012&quot;"/>
    <x v="2"/>
    <x v="94"/>
    <s v="Sikanderpur"/>
    <x v="118"/>
    <n v="16.5"/>
    <s v="null"/>
    <s v="null"/>
    <s v="null"/>
    <s v="null"/>
    <s v="null"/>
    <s v="null"/>
    <n v="200"/>
    <n v="37.57"/>
    <x v="9"/>
    <x v="14"/>
    <s v="Cash"/>
  </r>
  <r>
    <x v="231"/>
    <x v="1"/>
    <x v="832"/>
    <s v="&quot;CNR4013019&quot;"/>
    <x v="2"/>
    <s v="&quot;CID9594819&quot;"/>
    <x v="4"/>
    <x v="42"/>
    <s v="Adarsh Nagar"/>
    <x v="36"/>
    <n v="17.7"/>
    <s v="null"/>
    <s v="null"/>
    <s v="null"/>
    <s v="null"/>
    <s v="null"/>
    <s v="null"/>
    <n v="417"/>
    <n v="48.34"/>
    <x v="4"/>
    <x v="3"/>
    <s v="Cash"/>
  </r>
  <r>
    <x v="297"/>
    <x v="3"/>
    <x v="833"/>
    <s v="&quot;CNR8881470&quot;"/>
    <x v="3"/>
    <s v="&quot;CID4932698&quot;"/>
    <x v="4"/>
    <x v="39"/>
    <s v="India Gate"/>
    <x v="90"/>
    <s v="null"/>
    <s v="null"/>
    <s v="null"/>
    <n v="1"/>
    <s v="More than permitted people in there"/>
    <s v="null"/>
    <s v="null"/>
    <s v="null"/>
    <s v="null"/>
    <x v="0"/>
    <x v="0"/>
    <s v="null"/>
  </r>
  <r>
    <x v="265"/>
    <x v="2"/>
    <x v="834"/>
    <s v="&quot;CNR2815251&quot;"/>
    <x v="2"/>
    <s v="&quot;CID6116938&quot;"/>
    <x v="2"/>
    <x v="13"/>
    <s v="Okhla"/>
    <x v="117"/>
    <n v="35.299999999999997"/>
    <s v="null"/>
    <s v="null"/>
    <s v="null"/>
    <s v="null"/>
    <s v="null"/>
    <s v="null"/>
    <n v="292"/>
    <n v="13.21"/>
    <x v="13"/>
    <x v="7"/>
    <s v="UPI"/>
  </r>
  <r>
    <x v="65"/>
    <x v="9"/>
    <x v="835"/>
    <s v="&quot;CNR6067092&quot;"/>
    <x v="2"/>
    <s v="&quot;CID7593764&quot;"/>
    <x v="3"/>
    <x v="36"/>
    <s v="Ghitorni"/>
    <x v="22"/>
    <n v="15.1"/>
    <s v="null"/>
    <s v="null"/>
    <s v="null"/>
    <s v="null"/>
    <s v="null"/>
    <s v="null"/>
    <n v="1284"/>
    <n v="33.159999999999997"/>
    <x v="20"/>
    <x v="7"/>
    <s v="Debit Card"/>
  </r>
  <r>
    <x v="213"/>
    <x v="3"/>
    <x v="836"/>
    <s v="&quot;CNR7740942&quot;"/>
    <x v="4"/>
    <s v="&quot;CID6210867&quot;"/>
    <x v="1"/>
    <x v="20"/>
    <s v="Vinobapuri"/>
    <x v="114"/>
    <s v="null"/>
    <n v="1"/>
    <s v="Change of plans"/>
    <s v="null"/>
    <s v="null"/>
    <s v="null"/>
    <s v="null"/>
    <s v="null"/>
    <s v="null"/>
    <x v="0"/>
    <x v="0"/>
    <s v="null"/>
  </r>
  <r>
    <x v="91"/>
    <x v="9"/>
    <x v="837"/>
    <s v="&quot;CNR4635469&quot;"/>
    <x v="2"/>
    <s v="&quot;CID6486028&quot;"/>
    <x v="5"/>
    <x v="42"/>
    <s v="Saket"/>
    <x v="41"/>
    <n v="21.2"/>
    <s v="null"/>
    <s v="null"/>
    <s v="null"/>
    <s v="null"/>
    <s v="null"/>
    <s v="null"/>
    <n v="791"/>
    <n v="17.309999999999999"/>
    <x v="10"/>
    <x v="7"/>
    <s v="UPI"/>
  </r>
  <r>
    <x v="169"/>
    <x v="8"/>
    <x v="838"/>
    <s v="&quot;CNR9773621&quot;"/>
    <x v="2"/>
    <s v="&quot;CID4796051&quot;"/>
    <x v="4"/>
    <x v="60"/>
    <s v="Ardee City"/>
    <x v="26"/>
    <n v="42.2"/>
    <s v="null"/>
    <s v="null"/>
    <s v="null"/>
    <s v="null"/>
    <s v="null"/>
    <s v="null"/>
    <n v="304"/>
    <n v="37.93"/>
    <x v="14"/>
    <x v="6"/>
    <s v="Cash"/>
  </r>
  <r>
    <x v="28"/>
    <x v="11"/>
    <x v="839"/>
    <s v="&quot;CNR5623982&quot;"/>
    <x v="2"/>
    <s v="&quot;CID1867596&quot;"/>
    <x v="5"/>
    <x v="107"/>
    <s v="Nehru Place"/>
    <x v="54"/>
    <n v="41.5"/>
    <s v="null"/>
    <s v="null"/>
    <s v="null"/>
    <s v="null"/>
    <s v="null"/>
    <s v="null"/>
    <n v="404"/>
    <n v="37.4"/>
    <x v="19"/>
    <x v="4"/>
    <s v="Cash"/>
  </r>
  <r>
    <x v="253"/>
    <x v="7"/>
    <x v="840"/>
    <s v="&quot;CNR7255873&quot;"/>
    <x v="0"/>
    <s v="&quot;CID7144242&quot;"/>
    <x v="1"/>
    <x v="49"/>
    <s v="Basai Dhankot"/>
    <x v="0"/>
    <s v="null"/>
    <s v="null"/>
    <s v="null"/>
    <s v="null"/>
    <s v="null"/>
    <s v="null"/>
    <s v="null"/>
    <s v="null"/>
    <s v="null"/>
    <x v="0"/>
    <x v="0"/>
    <s v="null"/>
  </r>
  <r>
    <x v="53"/>
    <x v="6"/>
    <x v="841"/>
    <s v="&quot;CNR9997247&quot;"/>
    <x v="2"/>
    <s v="&quot;CID4663643&quot;"/>
    <x v="2"/>
    <x v="64"/>
    <s v="ITO"/>
    <x v="12"/>
    <n v="32.700000000000003"/>
    <s v="null"/>
    <s v="null"/>
    <s v="null"/>
    <s v="null"/>
    <s v="null"/>
    <s v="null"/>
    <n v="109"/>
    <n v="28.6"/>
    <x v="20"/>
    <x v="6"/>
    <s v="Cash"/>
  </r>
  <r>
    <x v="162"/>
    <x v="6"/>
    <x v="842"/>
    <s v="&quot;CNR9550265&quot;"/>
    <x v="2"/>
    <s v="&quot;CID4241778&quot;"/>
    <x v="5"/>
    <x v="115"/>
    <s v="Saidulajab"/>
    <x v="71"/>
    <n v="15.4"/>
    <s v="null"/>
    <s v="null"/>
    <s v="null"/>
    <s v="null"/>
    <s v="null"/>
    <s v="null"/>
    <n v="506"/>
    <n v="38.659999999999997"/>
    <x v="2"/>
    <x v="2"/>
    <s v="Cash"/>
  </r>
  <r>
    <x v="26"/>
    <x v="10"/>
    <x v="843"/>
    <s v="&quot;CNR2984723&quot;"/>
    <x v="2"/>
    <s v="&quot;CID1804405&quot;"/>
    <x v="0"/>
    <x v="49"/>
    <s v="Paharganj"/>
    <x v="65"/>
    <n v="32"/>
    <s v="null"/>
    <s v="null"/>
    <s v="null"/>
    <s v="null"/>
    <s v="null"/>
    <s v="null"/>
    <n v="150"/>
    <n v="39.67"/>
    <x v="6"/>
    <x v="2"/>
    <s v="Cash"/>
  </r>
  <r>
    <x v="302"/>
    <x v="10"/>
    <x v="844"/>
    <s v="&quot;CNR1617944&quot;"/>
    <x v="3"/>
    <s v="&quot;CID6098062&quot;"/>
    <x v="1"/>
    <x v="111"/>
    <s v="Paschim Vihar"/>
    <x v="137"/>
    <s v="null"/>
    <s v="null"/>
    <s v="null"/>
    <n v="1"/>
    <s v="Customer related issue"/>
    <s v="null"/>
    <s v="null"/>
    <s v="null"/>
    <s v="null"/>
    <x v="0"/>
    <x v="0"/>
    <s v="null"/>
  </r>
  <r>
    <x v="259"/>
    <x v="0"/>
    <x v="845"/>
    <s v="&quot;CNR1040980&quot;"/>
    <x v="2"/>
    <s v="&quot;CID5571818&quot;"/>
    <x v="2"/>
    <x v="119"/>
    <s v="Sikanderpur"/>
    <x v="76"/>
    <n v="19.5"/>
    <s v="null"/>
    <s v="null"/>
    <s v="null"/>
    <s v="null"/>
    <s v="null"/>
    <s v="null"/>
    <n v="196"/>
    <n v="42.26"/>
    <x v="4"/>
    <x v="8"/>
    <s v="UPI"/>
  </r>
  <r>
    <x v="331"/>
    <x v="4"/>
    <x v="846"/>
    <s v="&quot;CNR9355722&quot;"/>
    <x v="3"/>
    <s v="&quot;CID7457062&quot;"/>
    <x v="1"/>
    <x v="28"/>
    <s v="Seelampur"/>
    <x v="87"/>
    <s v="null"/>
    <s v="null"/>
    <s v="null"/>
    <n v="1"/>
    <s v="The customer was coughing/sick"/>
    <s v="null"/>
    <s v="null"/>
    <s v="null"/>
    <s v="null"/>
    <x v="0"/>
    <x v="0"/>
    <s v="null"/>
  </r>
  <r>
    <x v="83"/>
    <x v="2"/>
    <x v="847"/>
    <s v="&quot;CNR9745285&quot;"/>
    <x v="2"/>
    <s v="&quot;CID9345233&quot;"/>
    <x v="2"/>
    <x v="146"/>
    <s v="Tughlakabad"/>
    <x v="122"/>
    <n v="28.9"/>
    <s v="null"/>
    <s v="null"/>
    <s v="null"/>
    <s v="null"/>
    <s v="null"/>
    <s v="null"/>
    <n v="655"/>
    <n v="28.14"/>
    <x v="12"/>
    <x v="5"/>
    <s v="UPI"/>
  </r>
  <r>
    <x v="116"/>
    <x v="10"/>
    <x v="848"/>
    <s v="&quot;CNR2190713&quot;"/>
    <x v="1"/>
    <s v="&quot;CID4844037&quot;"/>
    <x v="5"/>
    <x v="103"/>
    <s v="Rohini West"/>
    <x v="20"/>
    <n v="21.1"/>
    <s v="null"/>
    <s v="null"/>
    <s v="null"/>
    <s v="null"/>
    <n v="1"/>
    <s v="Customer Demand"/>
    <n v="789"/>
    <n v="12.12"/>
    <x v="0"/>
    <x v="0"/>
    <s v="Cash"/>
  </r>
  <r>
    <x v="35"/>
    <x v="9"/>
    <x v="849"/>
    <s v="&quot;CNR8421118&quot;"/>
    <x v="2"/>
    <s v="&quot;CID4903185&quot;"/>
    <x v="1"/>
    <x v="73"/>
    <s v="Arjangarh"/>
    <x v="20"/>
    <n v="27.9"/>
    <s v="null"/>
    <s v="null"/>
    <s v="null"/>
    <s v="null"/>
    <s v="null"/>
    <s v="null"/>
    <n v="408"/>
    <n v="48.57"/>
    <x v="5"/>
    <x v="8"/>
    <s v="UPI"/>
  </r>
  <r>
    <x v="305"/>
    <x v="6"/>
    <x v="850"/>
    <s v="&quot;CNR8515605&quot;"/>
    <x v="2"/>
    <s v="&quot;CID2540657&quot;"/>
    <x v="1"/>
    <x v="116"/>
    <s v="RK Puram"/>
    <x v="121"/>
    <n v="41.5"/>
    <s v="null"/>
    <s v="null"/>
    <s v="null"/>
    <s v="null"/>
    <s v="null"/>
    <s v="null"/>
    <n v="397"/>
    <n v="30.58"/>
    <x v="8"/>
    <x v="4"/>
    <s v="UPI"/>
  </r>
  <r>
    <x v="100"/>
    <x v="0"/>
    <x v="851"/>
    <s v="&quot;CNR5333516&quot;"/>
    <x v="2"/>
    <s v="&quot;CID5665850&quot;"/>
    <x v="2"/>
    <x v="34"/>
    <s v="Rajouri Garden"/>
    <x v="119"/>
    <n v="37.6"/>
    <s v="null"/>
    <s v="null"/>
    <s v="null"/>
    <s v="null"/>
    <s v="null"/>
    <s v="null"/>
    <n v="1079"/>
    <n v="18.739999999999998"/>
    <x v="7"/>
    <x v="19"/>
    <s v="UPI"/>
  </r>
  <r>
    <x v="8"/>
    <x v="4"/>
    <x v="852"/>
    <s v="&quot;CNR8297132&quot;"/>
    <x v="3"/>
    <s v="&quot;CID9988553&quot;"/>
    <x v="5"/>
    <x v="83"/>
    <s v="Kherki Daula Toll"/>
    <x v="1"/>
    <s v="null"/>
    <s v="null"/>
    <s v="null"/>
    <n v="1"/>
    <s v="More than permitted people in there"/>
    <s v="null"/>
    <s v="null"/>
    <s v="null"/>
    <s v="null"/>
    <x v="0"/>
    <x v="0"/>
    <s v="null"/>
  </r>
  <r>
    <x v="54"/>
    <x v="9"/>
    <x v="853"/>
    <s v="&quot;CNR9164552&quot;"/>
    <x v="2"/>
    <s v="&quot;CID8275193&quot;"/>
    <x v="1"/>
    <x v="70"/>
    <s v="South Extension"/>
    <x v="104"/>
    <n v="26.5"/>
    <s v="null"/>
    <s v="null"/>
    <s v="null"/>
    <s v="null"/>
    <s v="null"/>
    <s v="null"/>
    <n v="247"/>
    <n v="42.88"/>
    <x v="14"/>
    <x v="3"/>
    <s v="Cash"/>
  </r>
  <r>
    <x v="64"/>
    <x v="7"/>
    <x v="854"/>
    <s v="&quot;CNR8485090&quot;"/>
    <x v="2"/>
    <s v="&quot;CID5216991&quot;"/>
    <x v="0"/>
    <x v="164"/>
    <s v="Chanakyapuri"/>
    <x v="43"/>
    <n v="44.7"/>
    <s v="null"/>
    <s v="null"/>
    <s v="null"/>
    <s v="null"/>
    <s v="null"/>
    <s v="null"/>
    <n v="150"/>
    <n v="12.82"/>
    <x v="15"/>
    <x v="4"/>
    <s v="UPI"/>
  </r>
  <r>
    <x v="332"/>
    <x v="2"/>
    <x v="855"/>
    <s v="&quot;CNR3607314&quot;"/>
    <x v="2"/>
    <s v="&quot;CID8023764&quot;"/>
    <x v="1"/>
    <x v="59"/>
    <s v="Netaji Subhash Place"/>
    <x v="117"/>
    <n v="27.2"/>
    <s v="null"/>
    <s v="null"/>
    <s v="null"/>
    <s v="null"/>
    <s v="null"/>
    <s v="null"/>
    <n v="532"/>
    <n v="18.48"/>
    <x v="10"/>
    <x v="5"/>
    <s v="UPI"/>
  </r>
  <r>
    <x v="333"/>
    <x v="1"/>
    <x v="856"/>
    <s v="&quot;CNR9459818&quot;"/>
    <x v="0"/>
    <s v="&quot;CID6307222&quot;"/>
    <x v="1"/>
    <x v="172"/>
    <s v="Shahdara"/>
    <x v="0"/>
    <s v="null"/>
    <s v="null"/>
    <s v="null"/>
    <s v="null"/>
    <s v="null"/>
    <s v="null"/>
    <s v="null"/>
    <s v="null"/>
    <s v="null"/>
    <x v="0"/>
    <x v="0"/>
    <s v="null"/>
  </r>
  <r>
    <x v="105"/>
    <x v="11"/>
    <x v="857"/>
    <s v="&quot;CNR6353083&quot;"/>
    <x v="2"/>
    <s v="&quot;CID2779684&quot;"/>
    <x v="1"/>
    <x v="127"/>
    <s v="Greater Kailash"/>
    <x v="4"/>
    <n v="20.2"/>
    <s v="null"/>
    <s v="null"/>
    <s v="null"/>
    <s v="null"/>
    <s v="null"/>
    <s v="null"/>
    <n v="79"/>
    <n v="9.14"/>
    <x v="14"/>
    <x v="1"/>
    <s v="Credit Card"/>
  </r>
  <r>
    <x v="228"/>
    <x v="0"/>
    <x v="858"/>
    <s v="&quot;CNR4394990&quot;"/>
    <x v="2"/>
    <s v="&quot;CID2820306&quot;"/>
    <x v="2"/>
    <x v="171"/>
    <s v="Tughlakabad"/>
    <x v="29"/>
    <n v="29.4"/>
    <s v="null"/>
    <s v="null"/>
    <s v="null"/>
    <s v="null"/>
    <s v="null"/>
    <s v="null"/>
    <n v="693"/>
    <n v="3.81"/>
    <x v="14"/>
    <x v="4"/>
    <s v="UPI"/>
  </r>
  <r>
    <x v="334"/>
    <x v="1"/>
    <x v="646"/>
    <s v="&quot;CNR6830353&quot;"/>
    <x v="2"/>
    <s v="&quot;CID9470650&quot;"/>
    <x v="5"/>
    <x v="54"/>
    <s v="Connaught Place"/>
    <x v="89"/>
    <n v="22.7"/>
    <s v="null"/>
    <s v="null"/>
    <s v="null"/>
    <s v="null"/>
    <s v="null"/>
    <s v="null"/>
    <n v="116"/>
    <n v="26.65"/>
    <x v="14"/>
    <x v="2"/>
    <s v="UPI"/>
  </r>
  <r>
    <x v="139"/>
    <x v="10"/>
    <x v="859"/>
    <s v="&quot;CNR7853278&quot;"/>
    <x v="2"/>
    <s v="&quot;CID5735140&quot;"/>
    <x v="3"/>
    <x v="39"/>
    <s v="Chhatarpur"/>
    <x v="80"/>
    <n v="42.6"/>
    <s v="null"/>
    <s v="null"/>
    <s v="null"/>
    <s v="null"/>
    <s v="null"/>
    <s v="null"/>
    <n v="822"/>
    <n v="43.07"/>
    <x v="2"/>
    <x v="4"/>
    <s v="Cash"/>
  </r>
  <r>
    <x v="197"/>
    <x v="6"/>
    <x v="62"/>
    <s v="&quot;CNR7582563&quot;"/>
    <x v="1"/>
    <s v="&quot;CID3253580&quot;"/>
    <x v="4"/>
    <x v="150"/>
    <s v="Aya Nagar"/>
    <x v="63"/>
    <n v="26.3"/>
    <s v="null"/>
    <s v="null"/>
    <s v="null"/>
    <s v="null"/>
    <n v="1"/>
    <s v="Other Issue"/>
    <n v="859"/>
    <n v="10.75"/>
    <x v="0"/>
    <x v="0"/>
    <s v="Uber Wallet"/>
  </r>
  <r>
    <x v="268"/>
    <x v="9"/>
    <x v="860"/>
    <s v="&quot;CNR3011900&quot;"/>
    <x v="0"/>
    <s v="&quot;CID3543348&quot;"/>
    <x v="2"/>
    <x v="31"/>
    <s v="Indirapuram"/>
    <x v="0"/>
    <s v="null"/>
    <s v="null"/>
    <s v="null"/>
    <s v="null"/>
    <s v="null"/>
    <s v="null"/>
    <s v="null"/>
    <s v="null"/>
    <s v="null"/>
    <x v="0"/>
    <x v="0"/>
    <s v="null"/>
  </r>
  <r>
    <x v="42"/>
    <x v="11"/>
    <x v="861"/>
    <s v="&quot;CNR7757647&quot;"/>
    <x v="3"/>
    <s v="&quot;CID2322190&quot;"/>
    <x v="2"/>
    <x v="6"/>
    <s v="Palam Vihar"/>
    <x v="108"/>
    <s v="null"/>
    <s v="null"/>
    <s v="null"/>
    <n v="1"/>
    <s v="More than permitted people in there"/>
    <s v="null"/>
    <s v="null"/>
    <s v="null"/>
    <s v="null"/>
    <x v="0"/>
    <x v="0"/>
    <s v="null"/>
  </r>
  <r>
    <x v="7"/>
    <x v="0"/>
    <x v="862"/>
    <s v="&quot;CNR2454128&quot;"/>
    <x v="3"/>
    <s v="&quot;CID7437817&quot;"/>
    <x v="2"/>
    <x v="123"/>
    <s v="Pragati Maidan"/>
    <x v="20"/>
    <s v="null"/>
    <s v="null"/>
    <s v="null"/>
    <n v="1"/>
    <s v="Customer related issue"/>
    <s v="null"/>
    <s v="null"/>
    <s v="null"/>
    <s v="null"/>
    <x v="0"/>
    <x v="0"/>
    <s v="null"/>
  </r>
  <r>
    <x v="159"/>
    <x v="5"/>
    <x v="863"/>
    <s v="&quot;CNR2835469&quot;"/>
    <x v="3"/>
    <s v="&quot;CID5414240&quot;"/>
    <x v="3"/>
    <x v="65"/>
    <s v="Anand Vihar ISBT"/>
    <x v="48"/>
    <s v="null"/>
    <s v="null"/>
    <s v="null"/>
    <n v="1"/>
    <s v="Customer related issue"/>
    <s v="null"/>
    <s v="null"/>
    <s v="null"/>
    <s v="null"/>
    <x v="0"/>
    <x v="0"/>
    <s v="null"/>
  </r>
  <r>
    <x v="4"/>
    <x v="4"/>
    <x v="864"/>
    <s v="&quot;CNR4660448&quot;"/>
    <x v="2"/>
    <s v="&quot;CID4787728&quot;"/>
    <x v="5"/>
    <x v="170"/>
    <s v="Shahdara"/>
    <x v="116"/>
    <n v="21.5"/>
    <s v="null"/>
    <s v="null"/>
    <s v="null"/>
    <s v="null"/>
    <s v="null"/>
    <s v="null"/>
    <n v="1149"/>
    <n v="19.57"/>
    <x v="5"/>
    <x v="3"/>
    <s v="Cash"/>
  </r>
  <r>
    <x v="35"/>
    <x v="9"/>
    <x v="865"/>
    <s v="&quot;CNR2181948&quot;"/>
    <x v="2"/>
    <s v="&quot;CID8304340&quot;"/>
    <x v="2"/>
    <x v="16"/>
    <s v="Udyog Bhawan"/>
    <x v="50"/>
    <n v="23"/>
    <s v="null"/>
    <s v="null"/>
    <s v="null"/>
    <s v="null"/>
    <s v="null"/>
    <s v="null"/>
    <n v="213"/>
    <n v="42.06"/>
    <x v="7"/>
    <x v="4"/>
    <s v="UPI"/>
  </r>
  <r>
    <x v="240"/>
    <x v="2"/>
    <x v="866"/>
    <s v="&quot;CNR3242595&quot;"/>
    <x v="2"/>
    <s v="&quot;CID3390496&quot;"/>
    <x v="2"/>
    <x v="172"/>
    <s v="India Gate"/>
    <x v="83"/>
    <n v="28.8"/>
    <s v="null"/>
    <s v="null"/>
    <s v="null"/>
    <s v="null"/>
    <s v="null"/>
    <s v="null"/>
    <n v="135"/>
    <n v="31.41"/>
    <x v="6"/>
    <x v="12"/>
    <s v="UPI"/>
  </r>
  <r>
    <x v="127"/>
    <x v="1"/>
    <x v="867"/>
    <s v="&quot;CNR5225897&quot;"/>
    <x v="2"/>
    <s v="&quot;CID2289109&quot;"/>
    <x v="0"/>
    <x v="115"/>
    <s v="Ramesh Nagar"/>
    <x v="29"/>
    <n v="36.9"/>
    <s v="null"/>
    <s v="null"/>
    <s v="null"/>
    <s v="null"/>
    <s v="null"/>
    <s v="null"/>
    <n v="606"/>
    <n v="23.03"/>
    <x v="1"/>
    <x v="4"/>
    <s v="Cash"/>
  </r>
  <r>
    <x v="281"/>
    <x v="1"/>
    <x v="868"/>
    <s v="&quot;CNR8485525&quot;"/>
    <x v="2"/>
    <s v="&quot;CID3386400&quot;"/>
    <x v="5"/>
    <x v="40"/>
    <s v="Seelampur"/>
    <x v="70"/>
    <n v="21.5"/>
    <s v="null"/>
    <s v="null"/>
    <s v="null"/>
    <s v="null"/>
    <s v="null"/>
    <s v="null"/>
    <n v="1167"/>
    <n v="19.91"/>
    <x v="6"/>
    <x v="2"/>
    <s v="Cash"/>
  </r>
  <r>
    <x v="266"/>
    <x v="9"/>
    <x v="869"/>
    <s v="&quot;CNR6591899&quot;"/>
    <x v="2"/>
    <s v="&quot;CID7709961&quot;"/>
    <x v="3"/>
    <x v="167"/>
    <s v="Botanical Garden"/>
    <x v="109"/>
    <n v="19.8"/>
    <s v="null"/>
    <s v="null"/>
    <s v="null"/>
    <s v="null"/>
    <s v="null"/>
    <s v="null"/>
    <n v="341"/>
    <n v="34.89"/>
    <x v="2"/>
    <x v="1"/>
    <s v="Uber Wallet"/>
  </r>
  <r>
    <x v="216"/>
    <x v="1"/>
    <x v="870"/>
    <s v="&quot;CNR1918185&quot;"/>
    <x v="2"/>
    <s v="&quot;CID3329113&quot;"/>
    <x v="4"/>
    <x v="73"/>
    <s v="Subhash Nagar"/>
    <x v="55"/>
    <n v="20.2"/>
    <s v="null"/>
    <s v="null"/>
    <s v="null"/>
    <s v="null"/>
    <s v="null"/>
    <s v="null"/>
    <n v="693"/>
    <n v="49.23"/>
    <x v="12"/>
    <x v="7"/>
    <s v="Credit Card"/>
  </r>
  <r>
    <x v="26"/>
    <x v="10"/>
    <x v="871"/>
    <s v="&quot;CNR6083000&quot;"/>
    <x v="2"/>
    <s v="&quot;CID6880325&quot;"/>
    <x v="0"/>
    <x v="88"/>
    <s v="Malviya Nagar"/>
    <x v="7"/>
    <n v="15.2"/>
    <s v="null"/>
    <s v="null"/>
    <s v="null"/>
    <s v="null"/>
    <s v="null"/>
    <s v="null"/>
    <n v="327"/>
    <n v="3.18"/>
    <x v="14"/>
    <x v="4"/>
    <s v="UPI"/>
  </r>
  <r>
    <x v="309"/>
    <x v="2"/>
    <x v="872"/>
    <s v="&quot;CNR4409680&quot;"/>
    <x v="2"/>
    <s v="&quot;CID7806785&quot;"/>
    <x v="2"/>
    <x v="10"/>
    <s v="Chandni Chowk"/>
    <x v="11"/>
    <n v="25"/>
    <s v="null"/>
    <s v="null"/>
    <s v="null"/>
    <s v="null"/>
    <s v="null"/>
    <s v="null"/>
    <n v="268"/>
    <n v="12.76"/>
    <x v="14"/>
    <x v="10"/>
    <s v="UPI"/>
  </r>
  <r>
    <x v="281"/>
    <x v="1"/>
    <x v="873"/>
    <s v="&quot;CNR8888446&quot;"/>
    <x v="2"/>
    <s v="&quot;CID4564685&quot;"/>
    <x v="5"/>
    <x v="131"/>
    <s v="Uttam Nagar"/>
    <x v="135"/>
    <n v="31.8"/>
    <s v="null"/>
    <s v="null"/>
    <s v="null"/>
    <s v="null"/>
    <s v="null"/>
    <s v="null"/>
    <n v="187"/>
    <n v="20.3"/>
    <x v="14"/>
    <x v="6"/>
    <s v="Cash"/>
  </r>
  <r>
    <x v="146"/>
    <x v="2"/>
    <x v="874"/>
    <s v="&quot;CNR8702299&quot;"/>
    <x v="1"/>
    <s v="&quot;CID3726780&quot;"/>
    <x v="2"/>
    <x v="52"/>
    <s v="Pitampura"/>
    <x v="125"/>
    <n v="28"/>
    <s v="null"/>
    <s v="null"/>
    <s v="null"/>
    <s v="null"/>
    <n v="1"/>
    <s v="Other Issue"/>
    <n v="112"/>
    <n v="4.5999999999999996"/>
    <x v="0"/>
    <x v="0"/>
    <s v="UPI"/>
  </r>
  <r>
    <x v="176"/>
    <x v="3"/>
    <x v="875"/>
    <s v="&quot;CNR1347218&quot;"/>
    <x v="2"/>
    <s v="&quot;CID2714982&quot;"/>
    <x v="5"/>
    <x v="142"/>
    <s v="Satguru Ram Singh Marg"/>
    <x v="37"/>
    <n v="15.3"/>
    <s v="null"/>
    <s v="null"/>
    <s v="null"/>
    <s v="null"/>
    <s v="null"/>
    <s v="null"/>
    <n v="536"/>
    <n v="23.28"/>
    <x v="15"/>
    <x v="2"/>
    <s v="Credit Card"/>
  </r>
  <r>
    <x v="98"/>
    <x v="4"/>
    <x v="876"/>
    <s v="&quot;CNR8751630&quot;"/>
    <x v="3"/>
    <s v="&quot;CID6701309&quot;"/>
    <x v="4"/>
    <x v="23"/>
    <s v="Green Park"/>
    <x v="31"/>
    <s v="null"/>
    <s v="null"/>
    <s v="null"/>
    <n v="1"/>
    <s v="More than permitted people in there"/>
    <s v="null"/>
    <s v="null"/>
    <s v="null"/>
    <s v="null"/>
    <x v="0"/>
    <x v="0"/>
    <s v="null"/>
  </r>
  <r>
    <x v="265"/>
    <x v="2"/>
    <x v="877"/>
    <s v="&quot;CNR3359078&quot;"/>
    <x v="2"/>
    <s v="&quot;CID9059706&quot;"/>
    <x v="5"/>
    <x v="35"/>
    <s v="Gurgaon Sector 56"/>
    <x v="141"/>
    <n v="16.5"/>
    <s v="null"/>
    <s v="null"/>
    <s v="null"/>
    <s v="null"/>
    <s v="null"/>
    <s v="null"/>
    <n v="820"/>
    <n v="36.229999999999997"/>
    <x v="10"/>
    <x v="4"/>
    <s v="Cash"/>
  </r>
  <r>
    <x v="108"/>
    <x v="2"/>
    <x v="878"/>
    <s v="&quot;CNR9492527&quot;"/>
    <x v="2"/>
    <s v="&quot;CID9116359&quot;"/>
    <x v="5"/>
    <x v="3"/>
    <s v="Cyber Hub"/>
    <x v="17"/>
    <n v="16.899999999999999"/>
    <s v="null"/>
    <s v="null"/>
    <s v="null"/>
    <s v="null"/>
    <s v="null"/>
    <s v="null"/>
    <n v="191"/>
    <n v="24.2"/>
    <x v="2"/>
    <x v="7"/>
    <s v="Credit Card"/>
  </r>
  <r>
    <x v="2"/>
    <x v="2"/>
    <x v="879"/>
    <s v="&quot;CNR4639859&quot;"/>
    <x v="2"/>
    <s v="&quot;CID4052856&quot;"/>
    <x v="4"/>
    <x v="132"/>
    <s v="Adarsh Nagar"/>
    <x v="136"/>
    <n v="16.2"/>
    <s v="null"/>
    <s v="null"/>
    <s v="null"/>
    <s v="null"/>
    <s v="null"/>
    <s v="null"/>
    <n v="329"/>
    <n v="8.2799999999999994"/>
    <x v="12"/>
    <x v="2"/>
    <s v="Debit Card"/>
  </r>
  <r>
    <x v="148"/>
    <x v="6"/>
    <x v="880"/>
    <s v="&quot;CNR9095375&quot;"/>
    <x v="2"/>
    <s v="&quot;CID3382507&quot;"/>
    <x v="0"/>
    <x v="121"/>
    <s v="Jama Masjid"/>
    <x v="24"/>
    <n v="30.1"/>
    <s v="null"/>
    <s v="null"/>
    <s v="null"/>
    <s v="null"/>
    <s v="null"/>
    <s v="null"/>
    <n v="456"/>
    <n v="29.75"/>
    <x v="10"/>
    <x v="6"/>
    <s v="UPI"/>
  </r>
  <r>
    <x v="73"/>
    <x v="3"/>
    <x v="881"/>
    <s v="&quot;CNR4374938&quot;"/>
    <x v="2"/>
    <s v="&quot;CID6260372&quot;"/>
    <x v="1"/>
    <x v="104"/>
    <s v="Sohna Road"/>
    <x v="8"/>
    <n v="25.5"/>
    <s v="null"/>
    <s v="null"/>
    <s v="null"/>
    <s v="null"/>
    <s v="null"/>
    <s v="null"/>
    <n v="137"/>
    <n v="43.55"/>
    <x v="14"/>
    <x v="1"/>
    <s v="UPI"/>
  </r>
  <r>
    <x v="208"/>
    <x v="2"/>
    <x v="882"/>
    <s v="&quot;CNR9848189&quot;"/>
    <x v="4"/>
    <s v="&quot;CID4174741&quot;"/>
    <x v="3"/>
    <x v="75"/>
    <s v="Badarpur"/>
    <x v="50"/>
    <s v="null"/>
    <n v="1"/>
    <s v="Driver is not moving towards pickup location"/>
    <s v="null"/>
    <s v="null"/>
    <s v="null"/>
    <s v="null"/>
    <s v="null"/>
    <s v="null"/>
    <x v="0"/>
    <x v="0"/>
    <s v="null"/>
  </r>
  <r>
    <x v="43"/>
    <x v="2"/>
    <x v="883"/>
    <s v="&quot;CNR8659466&quot;"/>
    <x v="2"/>
    <s v="&quot;CID9420538&quot;"/>
    <x v="5"/>
    <x v="0"/>
    <s v="Karol Bagh"/>
    <x v="105"/>
    <n v="27.2"/>
    <s v="null"/>
    <s v="null"/>
    <s v="null"/>
    <s v="null"/>
    <s v="null"/>
    <s v="null"/>
    <n v="959"/>
    <n v="9.5399999999999991"/>
    <x v="10"/>
    <x v="11"/>
    <s v="UPI"/>
  </r>
  <r>
    <x v="221"/>
    <x v="8"/>
    <x v="884"/>
    <s v="&quot;CNR8715264&quot;"/>
    <x v="4"/>
    <s v="&quot;CID8960211&quot;"/>
    <x v="2"/>
    <x v="142"/>
    <s v="Karol Bagh"/>
    <x v="36"/>
    <s v="null"/>
    <n v="1"/>
    <s v="Driver is not moving towards pickup location"/>
    <s v="null"/>
    <s v="null"/>
    <s v="null"/>
    <s v="null"/>
    <s v="null"/>
    <s v="null"/>
    <x v="0"/>
    <x v="0"/>
    <s v="null"/>
  </r>
  <r>
    <x v="300"/>
    <x v="10"/>
    <x v="885"/>
    <s v="&quot;CNR9935747&quot;"/>
    <x v="0"/>
    <s v="&quot;CID6375103&quot;"/>
    <x v="5"/>
    <x v="87"/>
    <s v="Gwal Pahari"/>
    <x v="0"/>
    <s v="null"/>
    <s v="null"/>
    <s v="null"/>
    <s v="null"/>
    <s v="null"/>
    <s v="null"/>
    <s v="null"/>
    <s v="null"/>
    <s v="null"/>
    <x v="0"/>
    <x v="0"/>
    <s v="null"/>
  </r>
  <r>
    <x v="36"/>
    <x v="3"/>
    <x v="886"/>
    <s v="&quot;CNR8685135&quot;"/>
    <x v="2"/>
    <s v="&quot;CID2643458&quot;"/>
    <x v="2"/>
    <x v="40"/>
    <s v="Narsinghpur"/>
    <x v="6"/>
    <n v="31.9"/>
    <s v="null"/>
    <s v="null"/>
    <s v="null"/>
    <s v="null"/>
    <s v="null"/>
    <s v="null"/>
    <n v="55"/>
    <n v="15.62"/>
    <x v="5"/>
    <x v="6"/>
    <s v="Cash"/>
  </r>
  <r>
    <x v="19"/>
    <x v="9"/>
    <x v="887"/>
    <s v="&quot;CNR4974285&quot;"/>
    <x v="2"/>
    <s v="&quot;CID2169140&quot;"/>
    <x v="5"/>
    <x v="168"/>
    <s v="Rajiv Chowk"/>
    <x v="5"/>
    <n v="34.799999999999997"/>
    <s v="null"/>
    <s v="null"/>
    <s v="null"/>
    <s v="null"/>
    <s v="null"/>
    <s v="null"/>
    <n v="236"/>
    <n v="9.18"/>
    <x v="8"/>
    <x v="1"/>
    <s v="UPI"/>
  </r>
  <r>
    <x v="150"/>
    <x v="0"/>
    <x v="888"/>
    <s v="&quot;CNR7308560&quot;"/>
    <x v="3"/>
    <s v="&quot;CID9045762&quot;"/>
    <x v="5"/>
    <x v="26"/>
    <s v="Inderlok"/>
    <x v="50"/>
    <s v="null"/>
    <s v="null"/>
    <s v="null"/>
    <n v="1"/>
    <s v="More than permitted people in there"/>
    <s v="null"/>
    <s v="null"/>
    <s v="null"/>
    <s v="null"/>
    <x v="0"/>
    <x v="0"/>
    <s v="null"/>
  </r>
  <r>
    <x v="206"/>
    <x v="10"/>
    <x v="889"/>
    <s v="&quot;CNR7351111&quot;"/>
    <x v="1"/>
    <s v="&quot;CID9729883&quot;"/>
    <x v="1"/>
    <x v="44"/>
    <s v="Ashram"/>
    <x v="55"/>
    <n v="17.8"/>
    <s v="null"/>
    <s v="null"/>
    <s v="null"/>
    <s v="null"/>
    <n v="1"/>
    <s v="Vehicle Breakdown"/>
    <n v="147"/>
    <n v="4.99"/>
    <x v="0"/>
    <x v="0"/>
    <s v="UPI"/>
  </r>
  <r>
    <x v="48"/>
    <x v="3"/>
    <x v="890"/>
    <s v="&quot;CNR6977914&quot;"/>
    <x v="2"/>
    <s v="&quot;CID9574283&quot;"/>
    <x v="6"/>
    <x v="103"/>
    <s v="Vaishali"/>
    <x v="62"/>
    <n v="20.8"/>
    <s v="null"/>
    <s v="null"/>
    <s v="null"/>
    <s v="null"/>
    <s v="null"/>
    <s v="null"/>
    <n v="351"/>
    <n v="44.94"/>
    <x v="9"/>
    <x v="8"/>
    <s v="Cash"/>
  </r>
  <r>
    <x v="33"/>
    <x v="9"/>
    <x v="891"/>
    <s v="&quot;CNR3025545&quot;"/>
    <x v="3"/>
    <s v="&quot;CID3749271&quot;"/>
    <x v="2"/>
    <x v="164"/>
    <s v="Maidan Garhi"/>
    <x v="23"/>
    <s v="null"/>
    <s v="null"/>
    <s v="null"/>
    <n v="1"/>
    <s v="Customer related issue"/>
    <s v="null"/>
    <s v="null"/>
    <s v="null"/>
    <s v="null"/>
    <x v="0"/>
    <x v="0"/>
    <s v="null"/>
  </r>
  <r>
    <x v="102"/>
    <x v="6"/>
    <x v="892"/>
    <s v="&quot;CNR1878243&quot;"/>
    <x v="2"/>
    <s v="&quot;CID3914821&quot;"/>
    <x v="2"/>
    <x v="50"/>
    <s v="Punjabi Bagh"/>
    <x v="52"/>
    <n v="40.299999999999997"/>
    <s v="null"/>
    <s v="null"/>
    <s v="null"/>
    <s v="null"/>
    <s v="null"/>
    <s v="null"/>
    <n v="153"/>
    <n v="17.72"/>
    <x v="3"/>
    <x v="3"/>
    <s v="Cash"/>
  </r>
  <r>
    <x v="95"/>
    <x v="6"/>
    <x v="893"/>
    <s v="&quot;CNR2811416&quot;"/>
    <x v="2"/>
    <s v="&quot;CID3489874&quot;"/>
    <x v="5"/>
    <x v="132"/>
    <s v="Ghaziabad"/>
    <x v="98"/>
    <n v="22.1"/>
    <s v="null"/>
    <s v="null"/>
    <s v="null"/>
    <s v="null"/>
    <s v="null"/>
    <s v="null"/>
    <n v="458"/>
    <n v="8.14"/>
    <x v="15"/>
    <x v="3"/>
    <s v="UPI"/>
  </r>
  <r>
    <x v="86"/>
    <x v="0"/>
    <x v="894"/>
    <s v="&quot;CNR5002456&quot;"/>
    <x v="3"/>
    <s v="&quot;CID2958474&quot;"/>
    <x v="5"/>
    <x v="155"/>
    <s v="Noida Extension"/>
    <x v="42"/>
    <s v="null"/>
    <s v="null"/>
    <s v="null"/>
    <n v="1"/>
    <s v="The customer was coughing/sick"/>
    <s v="null"/>
    <s v="null"/>
    <s v="null"/>
    <s v="null"/>
    <x v="0"/>
    <x v="0"/>
    <s v="null"/>
  </r>
  <r>
    <x v="197"/>
    <x v="6"/>
    <x v="895"/>
    <s v="&quot;CNR3147660&quot;"/>
    <x v="3"/>
    <s v="&quot;CID4161249&quot;"/>
    <x v="2"/>
    <x v="155"/>
    <s v="Hauz Khas"/>
    <x v="47"/>
    <s v="null"/>
    <s v="null"/>
    <s v="null"/>
    <n v="1"/>
    <s v="More than permitted people in there"/>
    <s v="null"/>
    <s v="null"/>
    <s v="null"/>
    <s v="null"/>
    <x v="0"/>
    <x v="0"/>
    <s v="null"/>
  </r>
  <r>
    <x v="56"/>
    <x v="5"/>
    <x v="896"/>
    <s v="&quot;CNR2412286&quot;"/>
    <x v="4"/>
    <s v="&quot;CID1349136&quot;"/>
    <x v="1"/>
    <x v="21"/>
    <s v="Udyog Vihar"/>
    <x v="135"/>
    <s v="null"/>
    <n v="1"/>
    <s v="Wrong Address"/>
    <s v="null"/>
    <s v="null"/>
    <s v="null"/>
    <s v="null"/>
    <s v="null"/>
    <s v="null"/>
    <x v="0"/>
    <x v="0"/>
    <s v="null"/>
  </r>
  <r>
    <x v="256"/>
    <x v="0"/>
    <x v="897"/>
    <s v="&quot;CNR3807454&quot;"/>
    <x v="2"/>
    <s v="&quot;CID3957434&quot;"/>
    <x v="0"/>
    <x v="21"/>
    <s v="Ashok Park Main"/>
    <x v="89"/>
    <n v="33.9"/>
    <s v="null"/>
    <s v="null"/>
    <s v="null"/>
    <s v="null"/>
    <s v="null"/>
    <s v="null"/>
    <n v="216"/>
    <n v="34.42"/>
    <x v="11"/>
    <x v="1"/>
    <s v="UPI"/>
  </r>
  <r>
    <x v="28"/>
    <x v="11"/>
    <x v="898"/>
    <s v="&quot;CNR9517668&quot;"/>
    <x v="0"/>
    <s v="&quot;CID1867642&quot;"/>
    <x v="5"/>
    <x v="33"/>
    <s v="Botanical Garden"/>
    <x v="0"/>
    <s v="null"/>
    <s v="null"/>
    <s v="null"/>
    <s v="null"/>
    <s v="null"/>
    <s v="null"/>
    <s v="null"/>
    <s v="null"/>
    <s v="null"/>
    <x v="0"/>
    <x v="0"/>
    <s v="null"/>
  </r>
  <r>
    <x v="335"/>
    <x v="10"/>
    <x v="899"/>
    <s v="&quot;CNR2193483&quot;"/>
    <x v="2"/>
    <s v="&quot;CID5673861&quot;"/>
    <x v="1"/>
    <x v="160"/>
    <s v="Sohna Road"/>
    <x v="116"/>
    <n v="44.8"/>
    <s v="null"/>
    <s v="null"/>
    <s v="null"/>
    <s v="null"/>
    <s v="null"/>
    <s v="null"/>
    <n v="405"/>
    <n v="19.11"/>
    <x v="18"/>
    <x v="3"/>
    <s v="Debit Card"/>
  </r>
  <r>
    <x v="214"/>
    <x v="3"/>
    <x v="900"/>
    <s v="&quot;CNR6361535&quot;"/>
    <x v="4"/>
    <s v="&quot;CID9286934&quot;"/>
    <x v="5"/>
    <x v="165"/>
    <s v="Khan Market"/>
    <x v="59"/>
    <s v="null"/>
    <n v="1"/>
    <s v="Wrong Address"/>
    <s v="null"/>
    <s v="null"/>
    <s v="null"/>
    <s v="null"/>
    <s v="null"/>
    <s v="null"/>
    <x v="0"/>
    <x v="0"/>
    <s v="null"/>
  </r>
  <r>
    <x v="213"/>
    <x v="3"/>
    <x v="901"/>
    <s v="&quot;CNR5695370&quot;"/>
    <x v="4"/>
    <s v="&quot;CID6755589&quot;"/>
    <x v="5"/>
    <x v="119"/>
    <s v="Vaishali"/>
    <x v="103"/>
    <s v="null"/>
    <n v="1"/>
    <s v="Wrong Address"/>
    <s v="null"/>
    <s v="null"/>
    <s v="null"/>
    <s v="null"/>
    <s v="null"/>
    <s v="null"/>
    <x v="0"/>
    <x v="0"/>
    <s v="null"/>
  </r>
  <r>
    <x v="64"/>
    <x v="7"/>
    <x v="902"/>
    <s v="&quot;CNR6409248&quot;"/>
    <x v="2"/>
    <s v="&quot;CID9647825&quot;"/>
    <x v="5"/>
    <x v="108"/>
    <s v="Narsinghpur"/>
    <x v="53"/>
    <n v="39.6"/>
    <s v="null"/>
    <s v="null"/>
    <s v="null"/>
    <s v="null"/>
    <s v="null"/>
    <s v="null"/>
    <n v="97"/>
    <n v="8.69"/>
    <x v="16"/>
    <x v="5"/>
    <s v="Cash"/>
  </r>
  <r>
    <x v="3"/>
    <x v="3"/>
    <x v="903"/>
    <s v="&quot;CNR1196310&quot;"/>
    <x v="1"/>
    <s v="&quot;CID1163068&quot;"/>
    <x v="1"/>
    <x v="162"/>
    <s v="Udyog Vihar"/>
    <x v="55"/>
    <n v="16.7"/>
    <s v="null"/>
    <s v="null"/>
    <s v="null"/>
    <s v="null"/>
    <n v="1"/>
    <s v="Other Issue"/>
    <n v="630"/>
    <n v="17.600000000000001"/>
    <x v="0"/>
    <x v="0"/>
    <s v="Cash"/>
  </r>
  <r>
    <x v="81"/>
    <x v="6"/>
    <x v="904"/>
    <s v="&quot;CNR6740582&quot;"/>
    <x v="2"/>
    <s v="&quot;CID3832892&quot;"/>
    <x v="4"/>
    <x v="63"/>
    <s v="Pitampura"/>
    <x v="47"/>
    <n v="35.299999999999997"/>
    <s v="null"/>
    <s v="null"/>
    <s v="null"/>
    <s v="null"/>
    <s v="null"/>
    <s v="null"/>
    <n v="387"/>
    <n v="35.07"/>
    <x v="9"/>
    <x v="6"/>
    <s v="UPI"/>
  </r>
  <r>
    <x v="324"/>
    <x v="4"/>
    <x v="905"/>
    <s v="&quot;CNR6083410&quot;"/>
    <x v="2"/>
    <s v="&quot;CID9355857&quot;"/>
    <x v="5"/>
    <x v="64"/>
    <s v="Bhiwadi"/>
    <x v="93"/>
    <n v="21.7"/>
    <s v="null"/>
    <s v="null"/>
    <s v="null"/>
    <s v="null"/>
    <s v="null"/>
    <s v="null"/>
    <n v="358"/>
    <n v="8.7799999999999994"/>
    <x v="10"/>
    <x v="10"/>
    <s v="UPI"/>
  </r>
  <r>
    <x v="51"/>
    <x v="1"/>
    <x v="906"/>
    <s v="&quot;CNR7955907&quot;"/>
    <x v="1"/>
    <s v="&quot;CID2029974&quot;"/>
    <x v="5"/>
    <x v="163"/>
    <s v="Pragati Maidan"/>
    <x v="101"/>
    <n v="27.3"/>
    <s v="null"/>
    <s v="null"/>
    <s v="null"/>
    <s v="null"/>
    <n v="1"/>
    <s v="Vehicle Breakdown"/>
    <n v="327"/>
    <n v="8.98"/>
    <x v="0"/>
    <x v="0"/>
    <s v="UPI"/>
  </r>
  <r>
    <x v="15"/>
    <x v="6"/>
    <x v="907"/>
    <s v="&quot;CNR2111563&quot;"/>
    <x v="2"/>
    <s v="&quot;CID2449130&quot;"/>
    <x v="1"/>
    <x v="119"/>
    <s v="ITO"/>
    <x v="67"/>
    <n v="38.6"/>
    <s v="null"/>
    <s v="null"/>
    <s v="null"/>
    <s v="null"/>
    <s v="null"/>
    <s v="null"/>
    <n v="784"/>
    <n v="45.62"/>
    <x v="5"/>
    <x v="7"/>
    <s v="UPI"/>
  </r>
  <r>
    <x v="311"/>
    <x v="8"/>
    <x v="908"/>
    <s v="&quot;CNR4906527&quot;"/>
    <x v="0"/>
    <s v="&quot;CID6052473&quot;"/>
    <x v="2"/>
    <x v="87"/>
    <s v="Satguru Ram Singh Marg"/>
    <x v="0"/>
    <s v="null"/>
    <s v="null"/>
    <s v="null"/>
    <s v="null"/>
    <s v="null"/>
    <s v="null"/>
    <s v="null"/>
    <s v="null"/>
    <s v="null"/>
    <x v="0"/>
    <x v="0"/>
    <s v="null"/>
  </r>
  <r>
    <x v="336"/>
    <x v="1"/>
    <x v="909"/>
    <s v="&quot;CNR7390528&quot;"/>
    <x v="2"/>
    <s v="&quot;CID5008221&quot;"/>
    <x v="1"/>
    <x v="49"/>
    <s v="Golf Course Road"/>
    <x v="64"/>
    <n v="16.600000000000001"/>
    <s v="null"/>
    <s v="null"/>
    <s v="null"/>
    <s v="null"/>
    <s v="null"/>
    <s v="null"/>
    <n v="314"/>
    <n v="31.91"/>
    <x v="14"/>
    <x v="3"/>
    <s v="Cash"/>
  </r>
  <r>
    <x v="337"/>
    <x v="5"/>
    <x v="910"/>
    <s v="&quot;CNR8364035&quot;"/>
    <x v="2"/>
    <s v="&quot;CID3533057&quot;"/>
    <x v="6"/>
    <x v="20"/>
    <s v="New Colony"/>
    <x v="56"/>
    <n v="17.7"/>
    <s v="null"/>
    <s v="null"/>
    <s v="null"/>
    <s v="null"/>
    <s v="null"/>
    <s v="null"/>
    <n v="802"/>
    <n v="12.66"/>
    <x v="6"/>
    <x v="4"/>
    <s v="Uber Wallet"/>
  </r>
  <r>
    <x v="70"/>
    <x v="2"/>
    <x v="911"/>
    <s v="&quot;CNR7174639&quot;"/>
    <x v="2"/>
    <s v="&quot;CID7557390&quot;"/>
    <x v="1"/>
    <x v="18"/>
    <s v="Gwal Pahari"/>
    <x v="51"/>
    <n v="24.6"/>
    <s v="null"/>
    <s v="null"/>
    <s v="null"/>
    <s v="null"/>
    <s v="null"/>
    <s v="null"/>
    <n v="746"/>
    <n v="35.299999999999997"/>
    <x v="13"/>
    <x v="15"/>
    <s v="Cash"/>
  </r>
  <r>
    <x v="34"/>
    <x v="8"/>
    <x v="912"/>
    <s v="&quot;CNR1560310&quot;"/>
    <x v="2"/>
    <s v="&quot;CID5422444&quot;"/>
    <x v="5"/>
    <x v="116"/>
    <s v="Sadar Bazar Gurgaon"/>
    <x v="94"/>
    <n v="38.6"/>
    <s v="null"/>
    <s v="null"/>
    <s v="null"/>
    <s v="null"/>
    <s v="null"/>
    <s v="null"/>
    <n v="605"/>
    <n v="23.92"/>
    <x v="12"/>
    <x v="2"/>
    <s v="UPI"/>
  </r>
  <r>
    <x v="55"/>
    <x v="8"/>
    <x v="913"/>
    <s v="&quot;CNR3970240&quot;"/>
    <x v="3"/>
    <s v="&quot;CID7374279&quot;"/>
    <x v="1"/>
    <x v="145"/>
    <s v="Botanical Garden"/>
    <x v="53"/>
    <s v="null"/>
    <s v="null"/>
    <s v="null"/>
    <n v="1"/>
    <s v="More than permitted people in there"/>
    <s v="null"/>
    <s v="null"/>
    <s v="null"/>
    <s v="null"/>
    <x v="0"/>
    <x v="0"/>
    <s v="null"/>
  </r>
  <r>
    <x v="167"/>
    <x v="8"/>
    <x v="914"/>
    <s v="&quot;CNR4382741&quot;"/>
    <x v="2"/>
    <s v="&quot;CID3149458&quot;"/>
    <x v="0"/>
    <x v="118"/>
    <s v="Sonipat"/>
    <x v="83"/>
    <n v="32.5"/>
    <s v="null"/>
    <s v="null"/>
    <s v="null"/>
    <s v="null"/>
    <s v="null"/>
    <s v="null"/>
    <n v="1531"/>
    <n v="18.37"/>
    <x v="14"/>
    <x v="6"/>
    <s v="Uber Wallet"/>
  </r>
  <r>
    <x v="126"/>
    <x v="9"/>
    <x v="915"/>
    <s v="&quot;CNR7797231&quot;"/>
    <x v="2"/>
    <s v="&quot;CID3367527&quot;"/>
    <x v="1"/>
    <x v="77"/>
    <s v="Jor Bagh"/>
    <x v="30"/>
    <n v="19.600000000000001"/>
    <s v="null"/>
    <s v="null"/>
    <s v="null"/>
    <s v="null"/>
    <s v="null"/>
    <s v="null"/>
    <n v="343"/>
    <n v="31.47"/>
    <x v="3"/>
    <x v="1"/>
    <s v="Debit Card"/>
  </r>
  <r>
    <x v="152"/>
    <x v="1"/>
    <x v="916"/>
    <s v="&quot;CNR6386320&quot;"/>
    <x v="4"/>
    <s v="&quot;CID4239191&quot;"/>
    <x v="4"/>
    <x v="5"/>
    <s v="Rajouri Garden"/>
    <x v="142"/>
    <s v="null"/>
    <n v="1"/>
    <s v="Driver is not moving towards pickup location"/>
    <s v="null"/>
    <s v="null"/>
    <s v="null"/>
    <s v="null"/>
    <s v="null"/>
    <s v="null"/>
    <x v="0"/>
    <x v="0"/>
    <s v="null"/>
  </r>
  <r>
    <x v="140"/>
    <x v="1"/>
    <x v="917"/>
    <s v="&quot;CNR8619672&quot;"/>
    <x v="2"/>
    <s v="&quot;CID7624742&quot;"/>
    <x v="4"/>
    <x v="40"/>
    <s v="Raj Nagar Extension"/>
    <x v="56"/>
    <n v="29.4"/>
    <s v="null"/>
    <s v="null"/>
    <s v="null"/>
    <s v="null"/>
    <s v="null"/>
    <s v="null"/>
    <n v="76"/>
    <n v="27.43"/>
    <x v="5"/>
    <x v="14"/>
    <s v="UPI"/>
  </r>
  <r>
    <x v="321"/>
    <x v="6"/>
    <x v="918"/>
    <s v="&quot;CNR1193379&quot;"/>
    <x v="3"/>
    <s v="&quot;CID5222740&quot;"/>
    <x v="0"/>
    <x v="147"/>
    <s v="Dwarka Sector 21"/>
    <x v="118"/>
    <s v="null"/>
    <s v="null"/>
    <s v="null"/>
    <n v="1"/>
    <s v="Personal &amp; Car related issues"/>
    <s v="null"/>
    <s v="null"/>
    <s v="null"/>
    <s v="null"/>
    <x v="0"/>
    <x v="0"/>
    <s v="null"/>
  </r>
  <r>
    <x v="117"/>
    <x v="11"/>
    <x v="919"/>
    <s v="&quot;CNR5958696&quot;"/>
    <x v="2"/>
    <s v="&quot;CID7514435&quot;"/>
    <x v="1"/>
    <x v="14"/>
    <s v="Manesar"/>
    <x v="119"/>
    <n v="42.9"/>
    <s v="null"/>
    <s v="null"/>
    <s v="null"/>
    <s v="null"/>
    <s v="null"/>
    <s v="null"/>
    <n v="213"/>
    <n v="29.03"/>
    <x v="17"/>
    <x v="14"/>
    <s v="Uber Wallet"/>
  </r>
  <r>
    <x v="105"/>
    <x v="11"/>
    <x v="920"/>
    <s v="&quot;CNR8183883&quot;"/>
    <x v="2"/>
    <s v="&quot;CID1604632&quot;"/>
    <x v="4"/>
    <x v="28"/>
    <s v="Ashok Park Main"/>
    <x v="118"/>
    <n v="26.5"/>
    <s v="null"/>
    <s v="null"/>
    <s v="null"/>
    <s v="null"/>
    <s v="null"/>
    <s v="null"/>
    <n v="171"/>
    <n v="20.9"/>
    <x v="2"/>
    <x v="8"/>
    <s v="Cash"/>
  </r>
  <r>
    <x v="287"/>
    <x v="11"/>
    <x v="921"/>
    <s v="&quot;CNR6271647&quot;"/>
    <x v="2"/>
    <s v="&quot;CID5857943&quot;"/>
    <x v="5"/>
    <x v="44"/>
    <s v="IFFCO Chowk"/>
    <x v="66"/>
    <n v="43.9"/>
    <s v="null"/>
    <s v="null"/>
    <s v="null"/>
    <s v="null"/>
    <s v="null"/>
    <s v="null"/>
    <n v="422"/>
    <n v="40.01"/>
    <x v="8"/>
    <x v="3"/>
    <s v="UPI"/>
  </r>
  <r>
    <x v="66"/>
    <x v="1"/>
    <x v="922"/>
    <s v="&quot;CNR3368097&quot;"/>
    <x v="1"/>
    <s v="&quot;CID5342876&quot;"/>
    <x v="5"/>
    <x v="26"/>
    <s v="Noida Extension"/>
    <x v="103"/>
    <n v="23.8"/>
    <s v="null"/>
    <s v="null"/>
    <s v="null"/>
    <s v="null"/>
    <n v="1"/>
    <s v="Other Issue"/>
    <n v="119"/>
    <n v="8.06"/>
    <x v="0"/>
    <x v="0"/>
    <s v="Cash"/>
  </r>
  <r>
    <x v="327"/>
    <x v="6"/>
    <x v="923"/>
    <s v="&quot;CNR2405692&quot;"/>
    <x v="2"/>
    <s v="&quot;CID5235850&quot;"/>
    <x v="1"/>
    <x v="52"/>
    <s v="Lok Kalyan Marg"/>
    <x v="56"/>
    <n v="15.1"/>
    <s v="null"/>
    <s v="null"/>
    <s v="null"/>
    <s v="null"/>
    <s v="null"/>
    <s v="null"/>
    <n v="659"/>
    <n v="30.08"/>
    <x v="5"/>
    <x v="9"/>
    <s v="Debit Card"/>
  </r>
  <r>
    <x v="180"/>
    <x v="0"/>
    <x v="924"/>
    <s v="&quot;CNR4504689&quot;"/>
    <x v="1"/>
    <s v="&quot;CID8860496&quot;"/>
    <x v="5"/>
    <x v="78"/>
    <s v="Nirman Vihar"/>
    <x v="73"/>
    <n v="20.2"/>
    <s v="null"/>
    <s v="null"/>
    <s v="null"/>
    <s v="null"/>
    <n v="1"/>
    <s v="Vehicle Breakdown"/>
    <n v="1247"/>
    <n v="11.31"/>
    <x v="0"/>
    <x v="0"/>
    <s v="Debit Card"/>
  </r>
  <r>
    <x v="9"/>
    <x v="7"/>
    <x v="925"/>
    <s v="&quot;CNR4090518&quot;"/>
    <x v="3"/>
    <s v="&quot;CID1745153&quot;"/>
    <x v="1"/>
    <x v="60"/>
    <s v="Jahangirpuri"/>
    <x v="19"/>
    <s v="null"/>
    <s v="null"/>
    <s v="null"/>
    <n v="1"/>
    <s v="Personal &amp; Car related issues"/>
    <s v="null"/>
    <s v="null"/>
    <s v="null"/>
    <s v="null"/>
    <x v="0"/>
    <x v="0"/>
    <s v="null"/>
  </r>
  <r>
    <x v="322"/>
    <x v="10"/>
    <x v="926"/>
    <s v="&quot;CNR3597186&quot;"/>
    <x v="2"/>
    <s v="&quot;CID3819273&quot;"/>
    <x v="2"/>
    <x v="40"/>
    <s v="Tagore Garden"/>
    <x v="102"/>
    <n v="38.9"/>
    <s v="null"/>
    <s v="null"/>
    <s v="null"/>
    <s v="null"/>
    <s v="null"/>
    <s v="null"/>
    <n v="279"/>
    <n v="43.33"/>
    <x v="8"/>
    <x v="1"/>
    <s v="UPI"/>
  </r>
  <r>
    <x v="34"/>
    <x v="8"/>
    <x v="927"/>
    <s v="&quot;CNR2988566&quot;"/>
    <x v="2"/>
    <s v="&quot;CID9899554&quot;"/>
    <x v="5"/>
    <x v="64"/>
    <s v="Gurgaon Sector 56"/>
    <x v="22"/>
    <n v="22.5"/>
    <s v="null"/>
    <s v="null"/>
    <s v="null"/>
    <s v="null"/>
    <s v="null"/>
    <s v="null"/>
    <n v="2908"/>
    <n v="23.65"/>
    <x v="6"/>
    <x v="2"/>
    <s v="Debit Card"/>
  </r>
  <r>
    <x v="56"/>
    <x v="5"/>
    <x v="928"/>
    <s v="&quot;CNR8387259&quot;"/>
    <x v="1"/>
    <s v="&quot;CID4297352&quot;"/>
    <x v="2"/>
    <x v="5"/>
    <s v="Vasant Kunj"/>
    <x v="58"/>
    <n v="14.1"/>
    <s v="null"/>
    <s v="null"/>
    <s v="null"/>
    <s v="null"/>
    <n v="1"/>
    <s v="Vehicle Breakdown"/>
    <n v="447"/>
    <n v="12.81"/>
    <x v="0"/>
    <x v="0"/>
    <s v="Uber Wallet"/>
  </r>
  <r>
    <x v="197"/>
    <x v="6"/>
    <x v="929"/>
    <s v="&quot;CNR2199158&quot;"/>
    <x v="2"/>
    <s v="&quot;CID4756285&quot;"/>
    <x v="1"/>
    <x v="7"/>
    <s v="Samaypur Badli"/>
    <x v="125"/>
    <n v="30.9"/>
    <s v="null"/>
    <s v="null"/>
    <s v="null"/>
    <s v="null"/>
    <s v="null"/>
    <s v="null"/>
    <n v="726"/>
    <n v="40.97"/>
    <x v="3"/>
    <x v="1"/>
    <s v="Cash"/>
  </r>
  <r>
    <x v="38"/>
    <x v="4"/>
    <x v="930"/>
    <s v="&quot;CNR2950889&quot;"/>
    <x v="2"/>
    <s v="&quot;CID4523333&quot;"/>
    <x v="2"/>
    <x v="25"/>
    <s v="Shahdara"/>
    <x v="19"/>
    <n v="44.9"/>
    <s v="null"/>
    <s v="null"/>
    <s v="null"/>
    <s v="null"/>
    <s v="null"/>
    <s v="null"/>
    <n v="54"/>
    <n v="23.39"/>
    <x v="5"/>
    <x v="7"/>
    <s v="Cash"/>
  </r>
  <r>
    <x v="242"/>
    <x v="5"/>
    <x v="931"/>
    <s v="&quot;CNR8911870&quot;"/>
    <x v="2"/>
    <s v="&quot;CID4250474&quot;"/>
    <x v="3"/>
    <x v="164"/>
    <s v="Karol Bagh"/>
    <x v="69"/>
    <n v="20.8"/>
    <s v="null"/>
    <s v="null"/>
    <s v="null"/>
    <s v="null"/>
    <s v="null"/>
    <s v="null"/>
    <n v="321"/>
    <n v="46.44"/>
    <x v="5"/>
    <x v="17"/>
    <s v="Cash"/>
  </r>
  <r>
    <x v="133"/>
    <x v="8"/>
    <x v="932"/>
    <s v="&quot;CNR7798385&quot;"/>
    <x v="4"/>
    <s v="&quot;CID2099999&quot;"/>
    <x v="5"/>
    <x v="168"/>
    <s v="Barakhamba Road"/>
    <x v="143"/>
    <s v="null"/>
    <n v="1"/>
    <s v="Change of plans"/>
    <s v="null"/>
    <s v="null"/>
    <s v="null"/>
    <s v="null"/>
    <s v="null"/>
    <s v="null"/>
    <x v="0"/>
    <x v="0"/>
    <s v="null"/>
  </r>
  <r>
    <x v="43"/>
    <x v="2"/>
    <x v="933"/>
    <s v="&quot;CNR4758907&quot;"/>
    <x v="4"/>
    <s v="&quot;CID5407822&quot;"/>
    <x v="4"/>
    <x v="114"/>
    <s v="Noida Sector 62"/>
    <x v="101"/>
    <s v="null"/>
    <n v="1"/>
    <s v="Driver asked to cancel"/>
    <s v="null"/>
    <s v="null"/>
    <s v="null"/>
    <s v="null"/>
    <s v="null"/>
    <s v="null"/>
    <x v="0"/>
    <x v="0"/>
    <s v="null"/>
  </r>
  <r>
    <x v="201"/>
    <x v="2"/>
    <x v="934"/>
    <s v="&quot;CNR6911961&quot;"/>
    <x v="1"/>
    <s v="&quot;CID7777597&quot;"/>
    <x v="2"/>
    <x v="169"/>
    <s v="Narsinghpur"/>
    <x v="40"/>
    <n v="19.600000000000001"/>
    <s v="null"/>
    <s v="null"/>
    <s v="null"/>
    <s v="null"/>
    <n v="1"/>
    <s v="Customer Demand"/>
    <n v="874"/>
    <n v="3.25"/>
    <x v="0"/>
    <x v="0"/>
    <s v="Uber Wallet"/>
  </r>
  <r>
    <x v="173"/>
    <x v="4"/>
    <x v="935"/>
    <s v="&quot;CNR6601381&quot;"/>
    <x v="3"/>
    <s v="&quot;CID5826087&quot;"/>
    <x v="6"/>
    <x v="111"/>
    <s v="Hero Honda Chowk"/>
    <x v="131"/>
    <s v="null"/>
    <s v="null"/>
    <s v="null"/>
    <n v="1"/>
    <s v="Personal &amp; Car related issues"/>
    <s v="null"/>
    <s v="null"/>
    <s v="null"/>
    <s v="null"/>
    <x v="0"/>
    <x v="0"/>
    <s v="null"/>
  </r>
  <r>
    <x v="299"/>
    <x v="8"/>
    <x v="936"/>
    <s v="&quot;CNR4915259&quot;"/>
    <x v="2"/>
    <s v="&quot;CID4919793&quot;"/>
    <x v="4"/>
    <x v="173"/>
    <s v="Kherki Daula Toll"/>
    <x v="69"/>
    <n v="21.3"/>
    <s v="null"/>
    <s v="null"/>
    <s v="null"/>
    <s v="null"/>
    <s v="null"/>
    <s v="null"/>
    <n v="790"/>
    <n v="43.79"/>
    <x v="17"/>
    <x v="4"/>
    <s v="UPI"/>
  </r>
  <r>
    <x v="74"/>
    <x v="0"/>
    <x v="937"/>
    <s v="&quot;CNR2926411&quot;"/>
    <x v="3"/>
    <s v="&quot;CID6427273&quot;"/>
    <x v="3"/>
    <x v="107"/>
    <s v="New Delhi Railway Station"/>
    <x v="108"/>
    <s v="null"/>
    <s v="null"/>
    <s v="null"/>
    <n v="1"/>
    <s v="More than permitted people in there"/>
    <s v="null"/>
    <s v="null"/>
    <s v="null"/>
    <s v="null"/>
    <x v="0"/>
    <x v="0"/>
    <s v="null"/>
  </r>
  <r>
    <x v="91"/>
    <x v="9"/>
    <x v="938"/>
    <s v="&quot;CNR9738358&quot;"/>
    <x v="3"/>
    <s v="&quot;CID6472958&quot;"/>
    <x v="3"/>
    <x v="81"/>
    <s v="Yamuna Bank"/>
    <x v="109"/>
    <s v="null"/>
    <s v="null"/>
    <s v="null"/>
    <n v="1"/>
    <s v="Personal &amp; Car related issues"/>
    <s v="null"/>
    <s v="null"/>
    <s v="null"/>
    <s v="null"/>
    <x v="0"/>
    <x v="0"/>
    <s v="null"/>
  </r>
  <r>
    <x v="14"/>
    <x v="3"/>
    <x v="939"/>
    <s v="&quot;CNR5391386&quot;"/>
    <x v="2"/>
    <s v="&quot;CID9881299&quot;"/>
    <x v="4"/>
    <x v="44"/>
    <s v="Faridabad Sector 15"/>
    <x v="122"/>
    <n v="27"/>
    <s v="null"/>
    <s v="null"/>
    <s v="null"/>
    <s v="null"/>
    <s v="null"/>
    <s v="null"/>
    <n v="56"/>
    <n v="32.82"/>
    <x v="2"/>
    <x v="1"/>
    <s v="Credit Card"/>
  </r>
  <r>
    <x v="172"/>
    <x v="11"/>
    <x v="940"/>
    <s v="&quot;CNR8622026&quot;"/>
    <x v="2"/>
    <s v="&quot;CID4863126&quot;"/>
    <x v="4"/>
    <x v="54"/>
    <s v="Tagore Garden"/>
    <x v="17"/>
    <n v="29.2"/>
    <s v="null"/>
    <s v="null"/>
    <s v="null"/>
    <s v="null"/>
    <s v="null"/>
    <s v="null"/>
    <n v="889"/>
    <n v="19.82"/>
    <x v="7"/>
    <x v="15"/>
    <s v="Debit Card"/>
  </r>
  <r>
    <x v="104"/>
    <x v="1"/>
    <x v="941"/>
    <s v="&quot;CNR7540549&quot;"/>
    <x v="2"/>
    <s v="&quot;CID9241944&quot;"/>
    <x v="2"/>
    <x v="29"/>
    <s v="Peeragarhi"/>
    <x v="41"/>
    <n v="37.799999999999997"/>
    <s v="null"/>
    <s v="null"/>
    <s v="null"/>
    <s v="null"/>
    <s v="null"/>
    <s v="null"/>
    <n v="722"/>
    <n v="40"/>
    <x v="8"/>
    <x v="1"/>
    <s v="Cash"/>
  </r>
  <r>
    <x v="331"/>
    <x v="4"/>
    <x v="942"/>
    <s v="&quot;CNR5857020&quot;"/>
    <x v="2"/>
    <s v="&quot;CID1401158&quot;"/>
    <x v="5"/>
    <x v="30"/>
    <s v="Welcome"/>
    <x v="135"/>
    <n v="30.3"/>
    <s v="null"/>
    <s v="null"/>
    <s v="null"/>
    <s v="null"/>
    <s v="null"/>
    <s v="null"/>
    <n v="175"/>
    <n v="40.659999999999997"/>
    <x v="3"/>
    <x v="10"/>
    <s v="UPI"/>
  </r>
  <r>
    <x v="256"/>
    <x v="0"/>
    <x v="943"/>
    <s v="&quot;CNR5942508&quot;"/>
    <x v="2"/>
    <s v="&quot;CID5005415&quot;"/>
    <x v="5"/>
    <x v="66"/>
    <s v="Civil Lines Gurgaon"/>
    <x v="20"/>
    <n v="16.3"/>
    <s v="null"/>
    <s v="null"/>
    <s v="null"/>
    <s v="null"/>
    <s v="null"/>
    <s v="null"/>
    <n v="539"/>
    <n v="10.89"/>
    <x v="7"/>
    <x v="6"/>
    <s v="UPI"/>
  </r>
  <r>
    <x v="246"/>
    <x v="10"/>
    <x v="944"/>
    <s v="&quot;CNR3628651&quot;"/>
    <x v="3"/>
    <s v="&quot;CID6075253&quot;"/>
    <x v="0"/>
    <x v="32"/>
    <s v="Lok Kalyan Marg"/>
    <x v="41"/>
    <s v="null"/>
    <s v="null"/>
    <s v="null"/>
    <n v="1"/>
    <s v="The customer was coughing/sick"/>
    <s v="null"/>
    <s v="null"/>
    <s v="null"/>
    <s v="null"/>
    <x v="0"/>
    <x v="0"/>
    <s v="null"/>
  </r>
  <r>
    <x v="337"/>
    <x v="5"/>
    <x v="945"/>
    <s v="&quot;CNR5382573&quot;"/>
    <x v="0"/>
    <s v="&quot;CID7132603&quot;"/>
    <x v="0"/>
    <x v="100"/>
    <s v="Rajiv Chowk"/>
    <x v="0"/>
    <s v="null"/>
    <s v="null"/>
    <s v="null"/>
    <s v="null"/>
    <s v="null"/>
    <s v="null"/>
    <s v="null"/>
    <s v="null"/>
    <s v="null"/>
    <x v="0"/>
    <x v="0"/>
    <s v="null"/>
  </r>
  <r>
    <x v="186"/>
    <x v="3"/>
    <x v="946"/>
    <s v="&quot;CNR9229961&quot;"/>
    <x v="2"/>
    <s v="&quot;CID1690186&quot;"/>
    <x v="5"/>
    <x v="100"/>
    <s v="Govindpuri"/>
    <x v="118"/>
    <n v="43.6"/>
    <s v="null"/>
    <s v="null"/>
    <s v="null"/>
    <s v="null"/>
    <s v="null"/>
    <s v="null"/>
    <n v="822"/>
    <n v="41.4"/>
    <x v="3"/>
    <x v="3"/>
    <s v="UPI"/>
  </r>
  <r>
    <x v="81"/>
    <x v="6"/>
    <x v="947"/>
    <s v="&quot;CNR8921876&quot;"/>
    <x v="2"/>
    <s v="&quot;CID8068764&quot;"/>
    <x v="4"/>
    <x v="123"/>
    <s v="Pitampura"/>
    <x v="90"/>
    <n v="32"/>
    <s v="null"/>
    <s v="null"/>
    <s v="null"/>
    <s v="null"/>
    <s v="null"/>
    <s v="null"/>
    <n v="298"/>
    <n v="34.71"/>
    <x v="2"/>
    <x v="8"/>
    <s v="Credit Card"/>
  </r>
  <r>
    <x v="77"/>
    <x v="6"/>
    <x v="948"/>
    <s v="&quot;CNR1354470&quot;"/>
    <x v="2"/>
    <s v="&quot;CID4531973&quot;"/>
    <x v="2"/>
    <x v="142"/>
    <s v="Chandni Chowk"/>
    <x v="67"/>
    <n v="41.8"/>
    <s v="null"/>
    <s v="null"/>
    <s v="null"/>
    <s v="null"/>
    <s v="null"/>
    <s v="null"/>
    <n v="812"/>
    <n v="34.68"/>
    <x v="14"/>
    <x v="15"/>
    <s v="UPI"/>
  </r>
  <r>
    <x v="58"/>
    <x v="0"/>
    <x v="949"/>
    <s v="&quot;CNR4787896&quot;"/>
    <x v="2"/>
    <s v="&quot;CID6467433&quot;"/>
    <x v="2"/>
    <x v="53"/>
    <s v="New Colony"/>
    <x v="81"/>
    <n v="24.8"/>
    <s v="null"/>
    <s v="null"/>
    <s v="null"/>
    <s v="null"/>
    <s v="null"/>
    <s v="null"/>
    <n v="761"/>
    <n v="26.32"/>
    <x v="6"/>
    <x v="3"/>
    <s v="UPI"/>
  </r>
  <r>
    <x v="117"/>
    <x v="11"/>
    <x v="950"/>
    <s v="&quot;CNR5177584&quot;"/>
    <x v="4"/>
    <s v="&quot;CID5247355&quot;"/>
    <x v="0"/>
    <x v="114"/>
    <s v="RK Puram"/>
    <x v="22"/>
    <s v="null"/>
    <n v="1"/>
    <s v="Change of plans"/>
    <s v="null"/>
    <s v="null"/>
    <s v="null"/>
    <s v="null"/>
    <s v="null"/>
    <s v="null"/>
    <x v="0"/>
    <x v="0"/>
    <s v="null"/>
  </r>
  <r>
    <x v="90"/>
    <x v="11"/>
    <x v="951"/>
    <s v="&quot;CNR2878238&quot;"/>
    <x v="2"/>
    <s v="&quot;CID2218993&quot;"/>
    <x v="0"/>
    <x v="163"/>
    <s v="Huda City Centre"/>
    <x v="118"/>
    <n v="32.1"/>
    <s v="null"/>
    <s v="null"/>
    <s v="null"/>
    <s v="null"/>
    <s v="null"/>
    <s v="null"/>
    <n v="313"/>
    <n v="13.5"/>
    <x v="20"/>
    <x v="1"/>
    <s v="UPI"/>
  </r>
  <r>
    <x v="228"/>
    <x v="0"/>
    <x v="952"/>
    <s v="&quot;CNR8890665&quot;"/>
    <x v="0"/>
    <s v="&quot;CID5429192&quot;"/>
    <x v="2"/>
    <x v="38"/>
    <s v="Okhla"/>
    <x v="0"/>
    <s v="null"/>
    <s v="null"/>
    <s v="null"/>
    <s v="null"/>
    <s v="null"/>
    <s v="null"/>
    <s v="null"/>
    <s v="null"/>
    <s v="null"/>
    <x v="0"/>
    <x v="0"/>
    <s v="null"/>
  </r>
  <r>
    <x v="190"/>
    <x v="0"/>
    <x v="953"/>
    <s v="&quot;CNR1524669&quot;"/>
    <x v="4"/>
    <s v="&quot;CID9328632&quot;"/>
    <x v="6"/>
    <x v="25"/>
    <s v="INA Market"/>
    <x v="95"/>
    <s v="null"/>
    <n v="1"/>
    <s v="Change of plans"/>
    <s v="null"/>
    <s v="null"/>
    <s v="null"/>
    <s v="null"/>
    <s v="null"/>
    <s v="null"/>
    <x v="0"/>
    <x v="0"/>
    <s v="null"/>
  </r>
  <r>
    <x v="285"/>
    <x v="5"/>
    <x v="954"/>
    <s v="&quot;CNR1885399&quot;"/>
    <x v="2"/>
    <s v="&quot;CID7934398&quot;"/>
    <x v="5"/>
    <x v="46"/>
    <s v="Welcome"/>
    <x v="70"/>
    <n v="29.2"/>
    <s v="null"/>
    <s v="null"/>
    <s v="null"/>
    <s v="null"/>
    <s v="null"/>
    <s v="null"/>
    <n v="217"/>
    <n v="11.82"/>
    <x v="13"/>
    <x v="11"/>
    <s v="Cash"/>
  </r>
  <r>
    <x v="63"/>
    <x v="7"/>
    <x v="955"/>
    <s v="&quot;CNR4501662&quot;"/>
    <x v="3"/>
    <s v="&quot;CID2152677&quot;"/>
    <x v="4"/>
    <x v="101"/>
    <s v="Ghitorni"/>
    <x v="53"/>
    <s v="null"/>
    <s v="null"/>
    <s v="null"/>
    <n v="1"/>
    <s v="More than permitted people in there"/>
    <s v="null"/>
    <s v="null"/>
    <s v="null"/>
    <s v="null"/>
    <x v="0"/>
    <x v="0"/>
    <s v="null"/>
  </r>
  <r>
    <x v="56"/>
    <x v="5"/>
    <x v="956"/>
    <s v="&quot;CNR7595996&quot;"/>
    <x v="4"/>
    <s v="&quot;CID4054315&quot;"/>
    <x v="5"/>
    <x v="17"/>
    <s v="Mansarovar Park"/>
    <x v="109"/>
    <s v="null"/>
    <n v="1"/>
    <s v="Wrong Address"/>
    <s v="null"/>
    <s v="null"/>
    <s v="null"/>
    <s v="null"/>
    <s v="null"/>
    <s v="null"/>
    <x v="0"/>
    <x v="0"/>
    <s v="null"/>
  </r>
  <r>
    <x v="186"/>
    <x v="3"/>
    <x v="957"/>
    <s v="&quot;CNR7170245&quot;"/>
    <x v="2"/>
    <s v="&quot;CID9437617&quot;"/>
    <x v="1"/>
    <x v="36"/>
    <s v="Vatika Chowk"/>
    <x v="10"/>
    <n v="29.4"/>
    <s v="null"/>
    <s v="null"/>
    <s v="null"/>
    <s v="null"/>
    <s v="null"/>
    <s v="null"/>
    <n v="811"/>
    <n v="12.7"/>
    <x v="6"/>
    <x v="6"/>
    <s v="UPI"/>
  </r>
  <r>
    <x v="302"/>
    <x v="10"/>
    <x v="803"/>
    <s v="&quot;CNR5714550&quot;"/>
    <x v="2"/>
    <s v="&quot;CID8197961&quot;"/>
    <x v="2"/>
    <x v="118"/>
    <s v="Sohna Road"/>
    <x v="137"/>
    <n v="40.200000000000003"/>
    <s v="null"/>
    <s v="null"/>
    <s v="null"/>
    <s v="null"/>
    <s v="null"/>
    <s v="null"/>
    <n v="438"/>
    <n v="25.71"/>
    <x v="6"/>
    <x v="4"/>
    <s v="Credit Card"/>
  </r>
  <r>
    <x v="300"/>
    <x v="10"/>
    <x v="958"/>
    <s v="&quot;CNR3474101&quot;"/>
    <x v="1"/>
    <s v="&quot;CID4158599&quot;"/>
    <x v="4"/>
    <x v="93"/>
    <s v="Botanical Garden"/>
    <x v="10"/>
    <n v="14"/>
    <s v="null"/>
    <s v="null"/>
    <s v="null"/>
    <s v="null"/>
    <n v="1"/>
    <s v="Vehicle Breakdown"/>
    <n v="682"/>
    <n v="1.24"/>
    <x v="0"/>
    <x v="0"/>
    <s v="Cash"/>
  </r>
  <r>
    <x v="227"/>
    <x v="6"/>
    <x v="959"/>
    <s v="&quot;CNR5177240&quot;"/>
    <x v="2"/>
    <s v="&quot;CID6440222&quot;"/>
    <x v="2"/>
    <x v="20"/>
    <s v="Khan Market"/>
    <x v="102"/>
    <n v="28.7"/>
    <s v="null"/>
    <s v="null"/>
    <s v="null"/>
    <s v="null"/>
    <s v="null"/>
    <s v="null"/>
    <n v="294"/>
    <n v="6.61"/>
    <x v="14"/>
    <x v="7"/>
    <s v="Credit Card"/>
  </r>
  <r>
    <x v="206"/>
    <x v="10"/>
    <x v="960"/>
    <s v="&quot;CNR4620177&quot;"/>
    <x v="0"/>
    <s v="&quot;CID1972533&quot;"/>
    <x v="1"/>
    <x v="87"/>
    <s v="Manesar"/>
    <x v="0"/>
    <s v="null"/>
    <s v="null"/>
    <s v="null"/>
    <s v="null"/>
    <s v="null"/>
    <s v="null"/>
    <s v="null"/>
    <s v="null"/>
    <s v="null"/>
    <x v="0"/>
    <x v="0"/>
    <s v="null"/>
  </r>
  <r>
    <x v="209"/>
    <x v="2"/>
    <x v="961"/>
    <s v="&quot;CNR8954114&quot;"/>
    <x v="2"/>
    <s v="&quot;CID4264123&quot;"/>
    <x v="2"/>
    <x v="77"/>
    <s v="Gurgaon Railway Station"/>
    <x v="114"/>
    <n v="36.9"/>
    <s v="null"/>
    <s v="null"/>
    <s v="null"/>
    <s v="null"/>
    <s v="null"/>
    <s v="null"/>
    <n v="272"/>
    <n v="12.56"/>
    <x v="7"/>
    <x v="1"/>
    <s v="Cash"/>
  </r>
  <r>
    <x v="86"/>
    <x v="0"/>
    <x v="962"/>
    <s v="&quot;CNR1599721&quot;"/>
    <x v="1"/>
    <s v="&quot;CID3810535&quot;"/>
    <x v="3"/>
    <x v="28"/>
    <s v="Tughlakabad"/>
    <x v="51"/>
    <n v="25.6"/>
    <s v="null"/>
    <s v="null"/>
    <s v="null"/>
    <s v="null"/>
    <n v="1"/>
    <s v="Other Issue"/>
    <n v="401"/>
    <n v="5.42"/>
    <x v="0"/>
    <x v="0"/>
    <s v="UPI"/>
  </r>
  <r>
    <x v="338"/>
    <x v="4"/>
    <x v="963"/>
    <s v="&quot;CNR2647125&quot;"/>
    <x v="1"/>
    <s v="&quot;CID9641231&quot;"/>
    <x v="1"/>
    <x v="127"/>
    <s v="Saket"/>
    <x v="39"/>
    <n v="20.6"/>
    <s v="null"/>
    <s v="null"/>
    <s v="null"/>
    <s v="null"/>
    <n v="1"/>
    <s v="Vehicle Breakdown"/>
    <n v="114"/>
    <n v="8.1199999999999992"/>
    <x v="0"/>
    <x v="0"/>
    <s v="UPI"/>
  </r>
  <r>
    <x v="56"/>
    <x v="5"/>
    <x v="964"/>
    <s v="&quot;CNR4236741&quot;"/>
    <x v="2"/>
    <s v="&quot;CID3176600&quot;"/>
    <x v="3"/>
    <x v="58"/>
    <s v="Rithala"/>
    <x v="27"/>
    <n v="44.3"/>
    <s v="null"/>
    <s v="null"/>
    <s v="null"/>
    <s v="null"/>
    <s v="null"/>
    <s v="null"/>
    <n v="173"/>
    <n v="2.73"/>
    <x v="9"/>
    <x v="1"/>
    <s v="UPI"/>
  </r>
  <r>
    <x v="18"/>
    <x v="1"/>
    <x v="965"/>
    <s v="&quot;CNR7720053&quot;"/>
    <x v="2"/>
    <s v="&quot;CID8466729&quot;"/>
    <x v="2"/>
    <x v="134"/>
    <s v="Shastri Nagar"/>
    <x v="29"/>
    <n v="44.8"/>
    <s v="null"/>
    <s v="null"/>
    <s v="null"/>
    <s v="null"/>
    <s v="null"/>
    <s v="null"/>
    <n v="145"/>
    <n v="36"/>
    <x v="16"/>
    <x v="4"/>
    <s v="UPI"/>
  </r>
  <r>
    <x v="21"/>
    <x v="8"/>
    <x v="966"/>
    <s v="&quot;CNR5478940&quot;"/>
    <x v="2"/>
    <s v="&quot;CID1749983&quot;"/>
    <x v="5"/>
    <x v="127"/>
    <s v="Greater Noida"/>
    <x v="87"/>
    <n v="40"/>
    <s v="null"/>
    <s v="null"/>
    <s v="null"/>
    <s v="null"/>
    <s v="null"/>
    <s v="null"/>
    <n v="252"/>
    <n v="38.159999999999997"/>
    <x v="9"/>
    <x v="3"/>
    <s v="UPI"/>
  </r>
  <r>
    <x v="78"/>
    <x v="8"/>
    <x v="967"/>
    <s v="&quot;CNR2883744&quot;"/>
    <x v="1"/>
    <s v="&quot;CID4582446&quot;"/>
    <x v="5"/>
    <x v="173"/>
    <s v="Mandi House"/>
    <x v="83"/>
    <n v="28.2"/>
    <s v="null"/>
    <s v="null"/>
    <s v="null"/>
    <s v="null"/>
    <n v="1"/>
    <s v="Customer Demand"/>
    <n v="118"/>
    <n v="8.06"/>
    <x v="0"/>
    <x v="0"/>
    <s v="Debit Card"/>
  </r>
  <r>
    <x v="278"/>
    <x v="10"/>
    <x v="968"/>
    <s v="&quot;CNR8737998&quot;"/>
    <x v="2"/>
    <s v="&quot;CID6183084&quot;"/>
    <x v="4"/>
    <x v="67"/>
    <s v="Kherki Daula Toll"/>
    <x v="123"/>
    <n v="17"/>
    <s v="null"/>
    <s v="null"/>
    <s v="null"/>
    <s v="null"/>
    <s v="null"/>
    <s v="null"/>
    <n v="74"/>
    <n v="4.1500000000000004"/>
    <x v="3"/>
    <x v="6"/>
    <s v="Uber Wallet"/>
  </r>
  <r>
    <x v="179"/>
    <x v="5"/>
    <x v="969"/>
    <s v="&quot;CNR2054702&quot;"/>
    <x v="2"/>
    <s v="&quot;CID2980558&quot;"/>
    <x v="0"/>
    <x v="145"/>
    <s v="Gurgaon Sector 29"/>
    <x v="5"/>
    <n v="30.1"/>
    <s v="null"/>
    <s v="null"/>
    <s v="null"/>
    <s v="null"/>
    <s v="null"/>
    <s v="null"/>
    <n v="944"/>
    <n v="16.7"/>
    <x v="2"/>
    <x v="3"/>
    <s v="UPI"/>
  </r>
  <r>
    <x v="32"/>
    <x v="5"/>
    <x v="970"/>
    <s v="&quot;CNR1015058&quot;"/>
    <x v="2"/>
    <s v="&quot;CID1066576&quot;"/>
    <x v="2"/>
    <x v="161"/>
    <s v="Kaushambi"/>
    <x v="126"/>
    <n v="37.700000000000003"/>
    <s v="null"/>
    <s v="null"/>
    <s v="null"/>
    <s v="null"/>
    <s v="null"/>
    <s v="null"/>
    <n v="758"/>
    <n v="18.829999999999998"/>
    <x v="14"/>
    <x v="6"/>
    <s v="Cash"/>
  </r>
  <r>
    <x v="66"/>
    <x v="1"/>
    <x v="971"/>
    <s v="&quot;CNR9262720&quot;"/>
    <x v="2"/>
    <s v="&quot;CID6906507&quot;"/>
    <x v="5"/>
    <x v="105"/>
    <s v="AIIMS"/>
    <x v="135"/>
    <n v="41.6"/>
    <s v="null"/>
    <s v="null"/>
    <s v="null"/>
    <s v="null"/>
    <s v="null"/>
    <s v="null"/>
    <n v="57"/>
    <n v="49.95"/>
    <x v="5"/>
    <x v="7"/>
    <s v="Cash"/>
  </r>
  <r>
    <x v="239"/>
    <x v="4"/>
    <x v="972"/>
    <s v="&quot;CNR3847275&quot;"/>
    <x v="2"/>
    <s v="&quot;CID8460871&quot;"/>
    <x v="2"/>
    <x v="142"/>
    <s v="Indraprastha"/>
    <x v="63"/>
    <n v="38.5"/>
    <s v="null"/>
    <s v="null"/>
    <s v="null"/>
    <s v="null"/>
    <s v="null"/>
    <s v="null"/>
    <n v="130"/>
    <n v="20.92"/>
    <x v="14"/>
    <x v="4"/>
    <s v="UPI"/>
  </r>
  <r>
    <x v="9"/>
    <x v="7"/>
    <x v="973"/>
    <s v="&quot;CNR2741467&quot;"/>
    <x v="3"/>
    <s v="&quot;CID5243272&quot;"/>
    <x v="3"/>
    <x v="76"/>
    <s v="Kaushambi"/>
    <x v="104"/>
    <s v="null"/>
    <s v="null"/>
    <s v="null"/>
    <n v="1"/>
    <s v="More than permitted people in there"/>
    <s v="null"/>
    <s v="null"/>
    <s v="null"/>
    <s v="null"/>
    <x v="0"/>
    <x v="0"/>
    <s v="null"/>
  </r>
  <r>
    <x v="27"/>
    <x v="11"/>
    <x v="974"/>
    <s v="&quot;CNR6939092&quot;"/>
    <x v="3"/>
    <s v="&quot;CID7646791&quot;"/>
    <x v="4"/>
    <x v="17"/>
    <s v="Udyog Vihar"/>
    <x v="106"/>
    <s v="null"/>
    <s v="null"/>
    <s v="null"/>
    <n v="1"/>
    <s v="Customer related issue"/>
    <s v="null"/>
    <s v="null"/>
    <s v="null"/>
    <s v="null"/>
    <x v="0"/>
    <x v="0"/>
    <s v="null"/>
  </r>
  <r>
    <x v="83"/>
    <x v="2"/>
    <x v="975"/>
    <s v="&quot;CNR4976636&quot;"/>
    <x v="2"/>
    <s v="&quot;CID6816039&quot;"/>
    <x v="3"/>
    <x v="2"/>
    <s v="Karol Bagh"/>
    <x v="12"/>
    <n v="36.200000000000003"/>
    <s v="null"/>
    <s v="null"/>
    <s v="null"/>
    <s v="null"/>
    <s v="null"/>
    <s v="null"/>
    <n v="795"/>
    <n v="19.559999999999999"/>
    <x v="13"/>
    <x v="6"/>
    <s v="UPI"/>
  </r>
  <r>
    <x v="14"/>
    <x v="3"/>
    <x v="976"/>
    <s v="&quot;CNR9553310&quot;"/>
    <x v="2"/>
    <s v="&quot;CID7931768&quot;"/>
    <x v="4"/>
    <x v="126"/>
    <s v="Yamuna Bank"/>
    <x v="17"/>
    <n v="20.399999999999999"/>
    <s v="null"/>
    <s v="null"/>
    <s v="null"/>
    <s v="null"/>
    <s v="null"/>
    <s v="null"/>
    <n v="304"/>
    <n v="41.14"/>
    <x v="7"/>
    <x v="15"/>
    <s v="Cash"/>
  </r>
  <r>
    <x v="177"/>
    <x v="5"/>
    <x v="977"/>
    <s v="&quot;CNR7410537&quot;"/>
    <x v="2"/>
    <s v="&quot;CID7983370&quot;"/>
    <x v="5"/>
    <x v="19"/>
    <s v="Ardee City"/>
    <x v="71"/>
    <n v="23.2"/>
    <s v="null"/>
    <s v="null"/>
    <s v="null"/>
    <s v="null"/>
    <s v="null"/>
    <s v="null"/>
    <n v="147"/>
    <n v="2.84"/>
    <x v="10"/>
    <x v="1"/>
    <s v="Uber Wallet"/>
  </r>
  <r>
    <x v="55"/>
    <x v="8"/>
    <x v="978"/>
    <s v="&quot;CNR6994684&quot;"/>
    <x v="3"/>
    <s v="&quot;CID1555665&quot;"/>
    <x v="5"/>
    <x v="87"/>
    <s v="Vidhan Sabha"/>
    <x v="29"/>
    <s v="null"/>
    <s v="null"/>
    <s v="null"/>
    <n v="1"/>
    <s v="Customer related issue"/>
    <s v="null"/>
    <s v="null"/>
    <s v="null"/>
    <s v="null"/>
    <x v="0"/>
    <x v="0"/>
    <s v="null"/>
  </r>
  <r>
    <x v="262"/>
    <x v="5"/>
    <x v="979"/>
    <s v="&quot;CNR3762567&quot;"/>
    <x v="2"/>
    <s v="&quot;CID3108623&quot;"/>
    <x v="2"/>
    <x v="5"/>
    <s v="Paschim Vihar"/>
    <x v="125"/>
    <n v="28.4"/>
    <s v="null"/>
    <s v="null"/>
    <s v="null"/>
    <s v="null"/>
    <s v="null"/>
    <s v="null"/>
    <n v="215"/>
    <n v="16.41"/>
    <x v="6"/>
    <x v="12"/>
    <s v="UPI"/>
  </r>
  <r>
    <x v="281"/>
    <x v="1"/>
    <x v="980"/>
    <s v="&quot;CNR2538590&quot;"/>
    <x v="1"/>
    <s v="&quot;CID9363567&quot;"/>
    <x v="2"/>
    <x v="109"/>
    <s v="Indirapuram"/>
    <x v="18"/>
    <n v="16.100000000000001"/>
    <s v="null"/>
    <s v="null"/>
    <s v="null"/>
    <s v="null"/>
    <n v="1"/>
    <s v="Other Issue"/>
    <n v="210"/>
    <n v="18.11"/>
    <x v="0"/>
    <x v="0"/>
    <s v="Credit Card"/>
  </r>
  <r>
    <x v="226"/>
    <x v="10"/>
    <x v="981"/>
    <s v="&quot;CNR2613398&quot;"/>
    <x v="2"/>
    <s v="&quot;CID2116488&quot;"/>
    <x v="4"/>
    <x v="57"/>
    <s v="Chanakyapuri"/>
    <x v="41"/>
    <n v="31.8"/>
    <s v="null"/>
    <s v="null"/>
    <s v="null"/>
    <s v="null"/>
    <s v="null"/>
    <s v="null"/>
    <n v="315"/>
    <n v="33.14"/>
    <x v="10"/>
    <x v="3"/>
    <s v="Debit Card"/>
  </r>
  <r>
    <x v="159"/>
    <x v="5"/>
    <x v="982"/>
    <s v="&quot;CNR8355495&quot;"/>
    <x v="3"/>
    <s v="&quot;CID7308464&quot;"/>
    <x v="3"/>
    <x v="51"/>
    <s v="Ghaziabad"/>
    <x v="45"/>
    <s v="null"/>
    <s v="null"/>
    <s v="null"/>
    <n v="1"/>
    <s v="Customer related issue"/>
    <s v="null"/>
    <s v="null"/>
    <s v="null"/>
    <s v="null"/>
    <x v="0"/>
    <x v="0"/>
    <s v="null"/>
  </r>
  <r>
    <x v="256"/>
    <x v="0"/>
    <x v="983"/>
    <s v="&quot;CNR8228318&quot;"/>
    <x v="4"/>
    <s v="&quot;CID2317986&quot;"/>
    <x v="4"/>
    <x v="71"/>
    <s v="Preet Vihar"/>
    <x v="65"/>
    <s v="null"/>
    <n v="1"/>
    <s v="Wrong Address"/>
    <s v="null"/>
    <s v="null"/>
    <s v="null"/>
    <s v="null"/>
    <s v="null"/>
    <s v="null"/>
    <x v="0"/>
    <x v="0"/>
    <s v="null"/>
  </r>
  <r>
    <x v="133"/>
    <x v="8"/>
    <x v="984"/>
    <s v="&quot;CNR5250100&quot;"/>
    <x v="3"/>
    <s v="&quot;CID8476687&quot;"/>
    <x v="3"/>
    <x v="73"/>
    <s v="Anand Vihar"/>
    <x v="38"/>
    <s v="null"/>
    <s v="null"/>
    <s v="null"/>
    <n v="1"/>
    <s v="The customer was coughing/sick"/>
    <s v="null"/>
    <s v="null"/>
    <s v="null"/>
    <s v="null"/>
    <x v="0"/>
    <x v="0"/>
    <s v="null"/>
  </r>
  <r>
    <x v="288"/>
    <x v="2"/>
    <x v="985"/>
    <s v="&quot;CNR8899931&quot;"/>
    <x v="2"/>
    <s v="&quot;CID7188742&quot;"/>
    <x v="5"/>
    <x v="63"/>
    <s v="Govindpuri"/>
    <x v="57"/>
    <n v="37.799999999999997"/>
    <s v="null"/>
    <s v="null"/>
    <s v="null"/>
    <s v="null"/>
    <s v="null"/>
    <s v="null"/>
    <n v="737"/>
    <n v="41.78"/>
    <x v="5"/>
    <x v="13"/>
    <s v="UPI"/>
  </r>
  <r>
    <x v="313"/>
    <x v="2"/>
    <x v="986"/>
    <s v="&quot;CNR9984524&quot;"/>
    <x v="2"/>
    <s v="&quot;CID2343499&quot;"/>
    <x v="3"/>
    <x v="145"/>
    <s v="Noida Extension"/>
    <x v="56"/>
    <n v="44.3"/>
    <s v="null"/>
    <s v="null"/>
    <s v="null"/>
    <s v="null"/>
    <s v="null"/>
    <s v="null"/>
    <n v="109"/>
    <n v="8.5500000000000007"/>
    <x v="2"/>
    <x v="1"/>
    <s v="UPI"/>
  </r>
  <r>
    <x v="326"/>
    <x v="3"/>
    <x v="987"/>
    <s v="&quot;CNR9503919&quot;"/>
    <x v="4"/>
    <s v="&quot;CID5828260&quot;"/>
    <x v="5"/>
    <x v="49"/>
    <s v="Connaught Place"/>
    <x v="12"/>
    <s v="null"/>
    <n v="1"/>
    <s v="Driver is not moving towards pickup location"/>
    <s v="null"/>
    <s v="null"/>
    <s v="null"/>
    <s v="null"/>
    <s v="null"/>
    <s v="null"/>
    <x v="0"/>
    <x v="0"/>
    <s v="null"/>
  </r>
  <r>
    <x v="339"/>
    <x v="10"/>
    <x v="988"/>
    <s v="&quot;CNR2589191&quot;"/>
    <x v="2"/>
    <s v="&quot;CID8552101&quot;"/>
    <x v="2"/>
    <x v="138"/>
    <s v="Saket"/>
    <x v="106"/>
    <n v="20.100000000000001"/>
    <s v="null"/>
    <s v="null"/>
    <s v="null"/>
    <s v="null"/>
    <s v="null"/>
    <s v="null"/>
    <n v="142"/>
    <n v="38.69"/>
    <x v="4"/>
    <x v="10"/>
    <s v="Uber Wallet"/>
  </r>
  <r>
    <x v="84"/>
    <x v="9"/>
    <x v="989"/>
    <s v="&quot;CNR6334509&quot;"/>
    <x v="2"/>
    <s v="&quot;CID7221694&quot;"/>
    <x v="5"/>
    <x v="131"/>
    <s v="Sushant Lok"/>
    <x v="101"/>
    <n v="16.600000000000001"/>
    <s v="null"/>
    <s v="null"/>
    <s v="null"/>
    <s v="null"/>
    <s v="null"/>
    <s v="null"/>
    <n v="415"/>
    <n v="28.51"/>
    <x v="14"/>
    <x v="4"/>
    <s v="UPI"/>
  </r>
  <r>
    <x v="294"/>
    <x v="4"/>
    <x v="990"/>
    <s v="&quot;CNR9466363&quot;"/>
    <x v="2"/>
    <s v="&quot;CID8934229&quot;"/>
    <x v="1"/>
    <x v="118"/>
    <s v="Bahadurgarh"/>
    <x v="109"/>
    <n v="28.5"/>
    <s v="null"/>
    <s v="null"/>
    <s v="null"/>
    <s v="null"/>
    <s v="null"/>
    <s v="null"/>
    <n v="329"/>
    <n v="49"/>
    <x v="6"/>
    <x v="4"/>
    <s v="UPI"/>
  </r>
  <r>
    <x v="285"/>
    <x v="5"/>
    <x v="991"/>
    <s v="&quot;CNR9331328&quot;"/>
    <x v="2"/>
    <s v="&quot;CID6226450&quot;"/>
    <x v="2"/>
    <x v="78"/>
    <s v="Narsinghpur"/>
    <x v="87"/>
    <n v="16.2"/>
    <s v="null"/>
    <s v="null"/>
    <s v="null"/>
    <s v="null"/>
    <s v="null"/>
    <s v="null"/>
    <n v="960"/>
    <n v="15.82"/>
    <x v="5"/>
    <x v="13"/>
    <s v="UPI"/>
  </r>
  <r>
    <x v="299"/>
    <x v="8"/>
    <x v="992"/>
    <s v="&quot;CNR4717846&quot;"/>
    <x v="2"/>
    <s v="&quot;CID7881372&quot;"/>
    <x v="2"/>
    <x v="3"/>
    <s v="Rajiv Chowk"/>
    <x v="99"/>
    <n v="28.1"/>
    <s v="null"/>
    <s v="null"/>
    <s v="null"/>
    <s v="null"/>
    <s v="null"/>
    <s v="null"/>
    <n v="227"/>
    <n v="46.75"/>
    <x v="1"/>
    <x v="6"/>
    <s v="UPI"/>
  </r>
  <r>
    <x v="327"/>
    <x v="6"/>
    <x v="993"/>
    <s v="&quot;CNR6805743&quot;"/>
    <x v="4"/>
    <s v="&quot;CID9861963&quot;"/>
    <x v="1"/>
    <x v="90"/>
    <s v="Kalkaji"/>
    <x v="144"/>
    <s v="null"/>
    <n v="1"/>
    <s v="Driver asked to cancel"/>
    <s v="null"/>
    <s v="null"/>
    <s v="null"/>
    <s v="null"/>
    <s v="null"/>
    <s v="null"/>
    <x v="0"/>
    <x v="0"/>
    <s v="null"/>
  </r>
  <r>
    <x v="92"/>
    <x v="6"/>
    <x v="994"/>
    <s v="&quot;CNR3465275&quot;"/>
    <x v="2"/>
    <s v="&quot;CID1611625&quot;"/>
    <x v="1"/>
    <x v="109"/>
    <s v="Karkarduma"/>
    <x v="56"/>
    <n v="42"/>
    <s v="null"/>
    <s v="null"/>
    <s v="null"/>
    <s v="null"/>
    <s v="null"/>
    <s v="null"/>
    <n v="450"/>
    <n v="17.940000000000001"/>
    <x v="12"/>
    <x v="6"/>
    <s v="Cash"/>
  </r>
  <r>
    <x v="134"/>
    <x v="1"/>
    <x v="995"/>
    <s v="&quot;CNR2683286&quot;"/>
    <x v="4"/>
    <s v="&quot;CID7381705&quot;"/>
    <x v="1"/>
    <x v="21"/>
    <s v="Sushant Lok"/>
    <x v="145"/>
    <s v="null"/>
    <n v="1"/>
    <s v="AC is not working"/>
    <s v="null"/>
    <s v="null"/>
    <s v="null"/>
    <s v="null"/>
    <s v="null"/>
    <s v="null"/>
    <x v="0"/>
    <x v="0"/>
    <s v="null"/>
  </r>
  <r>
    <x v="232"/>
    <x v="10"/>
    <x v="996"/>
    <s v="&quot;CNR9820341&quot;"/>
    <x v="2"/>
    <s v="&quot;CID4262864&quot;"/>
    <x v="1"/>
    <x v="173"/>
    <s v="Saket"/>
    <x v="46"/>
    <n v="41.1"/>
    <s v="null"/>
    <s v="null"/>
    <s v="null"/>
    <s v="null"/>
    <s v="null"/>
    <s v="null"/>
    <n v="241"/>
    <n v="33.29"/>
    <x v="8"/>
    <x v="7"/>
    <s v="Cash"/>
  </r>
  <r>
    <x v="204"/>
    <x v="7"/>
    <x v="997"/>
    <s v="&quot;CNR8425208&quot;"/>
    <x v="2"/>
    <s v="&quot;CID3854923&quot;"/>
    <x v="4"/>
    <x v="88"/>
    <s v="Central Secretariat"/>
    <x v="9"/>
    <n v="42.6"/>
    <s v="null"/>
    <s v="null"/>
    <s v="null"/>
    <s v="null"/>
    <s v="null"/>
    <s v="null"/>
    <n v="781"/>
    <n v="48.44"/>
    <x v="6"/>
    <x v="7"/>
    <s v="Credit Card"/>
  </r>
  <r>
    <x v="248"/>
    <x v="5"/>
    <x v="998"/>
    <s v="&quot;CNR9015216&quot;"/>
    <x v="2"/>
    <s v="&quot;CID5972058&quot;"/>
    <x v="6"/>
    <x v="6"/>
    <s v="Gurgaon Sector 56"/>
    <x v="119"/>
    <n v="26"/>
    <s v="null"/>
    <s v="null"/>
    <s v="null"/>
    <s v="null"/>
    <s v="null"/>
    <s v="null"/>
    <n v="284"/>
    <n v="16.97"/>
    <x v="18"/>
    <x v="7"/>
    <s v="UPI"/>
  </r>
  <r>
    <x v="33"/>
    <x v="9"/>
    <x v="999"/>
    <s v="&quot;CNR4412823&quot;"/>
    <x v="3"/>
    <s v="&quot;CID9514535&quot;"/>
    <x v="4"/>
    <x v="54"/>
    <s v="IGI Airport"/>
    <x v="103"/>
    <s v="null"/>
    <s v="null"/>
    <s v="null"/>
    <n v="1"/>
    <s v="More than permitted people in there"/>
    <s v="null"/>
    <s v="null"/>
    <s v="null"/>
    <s v="null"/>
    <x v="0"/>
    <x v="0"/>
    <s v="null"/>
  </r>
  <r>
    <x v="198"/>
    <x v="0"/>
    <x v="1000"/>
    <s v="&quot;CNR4201165&quot;"/>
    <x v="3"/>
    <s v="&quot;CID7036125&quot;"/>
    <x v="2"/>
    <x v="96"/>
    <s v="Peeragarhi"/>
    <x v="106"/>
    <s v="null"/>
    <s v="null"/>
    <s v="null"/>
    <n v="1"/>
    <s v="The customer was coughing/sick"/>
    <s v="null"/>
    <s v="null"/>
    <s v="null"/>
    <s v="null"/>
    <x v="0"/>
    <x v="0"/>
    <s v="null"/>
  </r>
  <r>
    <x v="52"/>
    <x v="11"/>
    <x v="1001"/>
    <s v="&quot;CNR8798292&quot;"/>
    <x v="3"/>
    <s v="&quot;CID2288750&quot;"/>
    <x v="2"/>
    <x v="94"/>
    <s v="Anand Vihar"/>
    <x v="79"/>
    <s v="null"/>
    <s v="null"/>
    <s v="null"/>
    <n v="1"/>
    <s v="The customer was coughing/sick"/>
    <s v="null"/>
    <s v="null"/>
    <s v="null"/>
    <s v="null"/>
    <x v="0"/>
    <x v="0"/>
    <s v="null"/>
  </r>
  <r>
    <x v="114"/>
    <x v="7"/>
    <x v="1002"/>
    <s v="&quot;CNR2839694&quot;"/>
    <x v="2"/>
    <s v="&quot;CID5920753&quot;"/>
    <x v="4"/>
    <x v="79"/>
    <s v="Rajouri Garden"/>
    <x v="56"/>
    <n v="32.6"/>
    <s v="null"/>
    <s v="null"/>
    <s v="null"/>
    <s v="null"/>
    <s v="null"/>
    <s v="null"/>
    <n v="245"/>
    <n v="12.28"/>
    <x v="3"/>
    <x v="6"/>
    <s v="Cash"/>
  </r>
  <r>
    <x v="317"/>
    <x v="7"/>
    <x v="1003"/>
    <s v="&quot;CNR3956742&quot;"/>
    <x v="4"/>
    <s v="&quot;CID7808548&quot;"/>
    <x v="5"/>
    <x v="40"/>
    <s v="Hauz Rani"/>
    <x v="133"/>
    <s v="null"/>
    <n v="1"/>
    <s v="Change of plans"/>
    <s v="null"/>
    <s v="null"/>
    <s v="null"/>
    <s v="null"/>
    <s v="null"/>
    <s v="null"/>
    <x v="0"/>
    <x v="0"/>
    <s v="null"/>
  </r>
  <r>
    <x v="223"/>
    <x v="1"/>
    <x v="1004"/>
    <s v="&quot;CNR8046560&quot;"/>
    <x v="2"/>
    <s v="&quot;CID2466290&quot;"/>
    <x v="5"/>
    <x v="156"/>
    <s v="MG Road"/>
    <x v="58"/>
    <n v="24.9"/>
    <s v="null"/>
    <s v="null"/>
    <s v="null"/>
    <s v="null"/>
    <s v="null"/>
    <s v="null"/>
    <n v="184"/>
    <n v="45.91"/>
    <x v="14"/>
    <x v="3"/>
    <s v="Cash"/>
  </r>
  <r>
    <x v="148"/>
    <x v="6"/>
    <x v="1005"/>
    <s v="&quot;CNR1654617&quot;"/>
    <x v="2"/>
    <s v="&quot;CID5187644&quot;"/>
    <x v="4"/>
    <x v="44"/>
    <s v="Jama Masjid"/>
    <x v="105"/>
    <n v="23.3"/>
    <s v="null"/>
    <s v="null"/>
    <s v="null"/>
    <s v="null"/>
    <s v="null"/>
    <s v="null"/>
    <n v="516"/>
    <n v="48.33"/>
    <x v="6"/>
    <x v="14"/>
    <s v="UPI"/>
  </r>
  <r>
    <x v="127"/>
    <x v="1"/>
    <x v="1006"/>
    <s v="&quot;CNR7258638&quot;"/>
    <x v="4"/>
    <s v="&quot;CID4109157&quot;"/>
    <x v="4"/>
    <x v="43"/>
    <s v="Mundka"/>
    <x v="55"/>
    <s v="null"/>
    <n v="1"/>
    <s v="Change of plans"/>
    <s v="null"/>
    <s v="null"/>
    <s v="null"/>
    <s v="null"/>
    <s v="null"/>
    <s v="null"/>
    <x v="0"/>
    <x v="0"/>
    <s v="null"/>
  </r>
  <r>
    <x v="128"/>
    <x v="5"/>
    <x v="1007"/>
    <s v="&quot;CNR8323126&quot;"/>
    <x v="2"/>
    <s v="&quot;CID9881657&quot;"/>
    <x v="1"/>
    <x v="100"/>
    <s v="Arjangarh"/>
    <x v="69"/>
    <n v="44.8"/>
    <s v="null"/>
    <s v="null"/>
    <s v="null"/>
    <s v="null"/>
    <s v="null"/>
    <s v="null"/>
    <n v="315"/>
    <n v="14.16"/>
    <x v="8"/>
    <x v="2"/>
    <s v="UPI"/>
  </r>
  <r>
    <x v="295"/>
    <x v="6"/>
    <x v="1008"/>
    <s v="&quot;CNR2023370&quot;"/>
    <x v="2"/>
    <s v="&quot;CID8905593&quot;"/>
    <x v="2"/>
    <x v="146"/>
    <s v="Okhla"/>
    <x v="125"/>
    <n v="15.9"/>
    <s v="null"/>
    <s v="null"/>
    <s v="null"/>
    <s v="null"/>
    <s v="null"/>
    <s v="null"/>
    <n v="686"/>
    <n v="26.44"/>
    <x v="4"/>
    <x v="1"/>
    <s v="UPI"/>
  </r>
  <r>
    <x v="257"/>
    <x v="9"/>
    <x v="56"/>
    <s v="&quot;CNR4146096&quot;"/>
    <x v="3"/>
    <s v="&quot;CID3972255&quot;"/>
    <x v="1"/>
    <x v="86"/>
    <s v="Basai Dhankot"/>
    <x v="88"/>
    <s v="null"/>
    <s v="null"/>
    <s v="null"/>
    <n v="1"/>
    <s v="Personal &amp; Car related issues"/>
    <s v="null"/>
    <s v="null"/>
    <s v="null"/>
    <s v="null"/>
    <x v="0"/>
    <x v="0"/>
    <s v="null"/>
  </r>
  <r>
    <x v="173"/>
    <x v="4"/>
    <x v="1009"/>
    <s v="&quot;CNR2333062&quot;"/>
    <x v="0"/>
    <s v="&quot;CID7867803&quot;"/>
    <x v="1"/>
    <x v="87"/>
    <s v="IGNOU Road"/>
    <x v="0"/>
    <s v="null"/>
    <s v="null"/>
    <s v="null"/>
    <s v="null"/>
    <s v="null"/>
    <s v="null"/>
    <s v="null"/>
    <s v="null"/>
    <s v="null"/>
    <x v="0"/>
    <x v="0"/>
    <s v="null"/>
  </r>
  <r>
    <x v="261"/>
    <x v="8"/>
    <x v="1010"/>
    <s v="&quot;CNR7967899&quot;"/>
    <x v="3"/>
    <s v="&quot;CID5167087&quot;"/>
    <x v="0"/>
    <x v="85"/>
    <s v="Gurgaon Sector 56"/>
    <x v="51"/>
    <s v="null"/>
    <s v="null"/>
    <s v="null"/>
    <n v="1"/>
    <s v="Customer related issue"/>
    <s v="null"/>
    <s v="null"/>
    <s v="null"/>
    <s v="null"/>
    <x v="0"/>
    <x v="0"/>
    <s v="null"/>
  </r>
  <r>
    <x v="340"/>
    <x v="11"/>
    <x v="1011"/>
    <s v="&quot;CNR2201521&quot;"/>
    <x v="2"/>
    <s v="&quot;CID1558009&quot;"/>
    <x v="4"/>
    <x v="142"/>
    <s v="Ashok Vihar"/>
    <x v="71"/>
    <n v="42.2"/>
    <s v="null"/>
    <s v="null"/>
    <s v="null"/>
    <s v="null"/>
    <s v="null"/>
    <s v="null"/>
    <n v="203"/>
    <n v="40.61"/>
    <x v="14"/>
    <x v="2"/>
    <s v="Uber Wallet"/>
  </r>
  <r>
    <x v="309"/>
    <x v="2"/>
    <x v="1012"/>
    <s v="&quot;CNR7361644&quot;"/>
    <x v="2"/>
    <s v="&quot;CID1672574&quot;"/>
    <x v="0"/>
    <x v="50"/>
    <s v="IGNOU Road"/>
    <x v="31"/>
    <n v="20.8"/>
    <s v="null"/>
    <s v="null"/>
    <s v="null"/>
    <s v="null"/>
    <s v="null"/>
    <s v="null"/>
    <n v="332"/>
    <n v="22.06"/>
    <x v="6"/>
    <x v="7"/>
    <s v="UPI"/>
  </r>
  <r>
    <x v="58"/>
    <x v="0"/>
    <x v="1013"/>
    <s v="&quot;CNR2359760&quot;"/>
    <x v="2"/>
    <s v="&quot;CID1027354&quot;"/>
    <x v="2"/>
    <x v="20"/>
    <s v="Vidhan Sabha"/>
    <x v="112"/>
    <n v="37.4"/>
    <s v="null"/>
    <s v="null"/>
    <s v="null"/>
    <s v="null"/>
    <s v="null"/>
    <s v="null"/>
    <n v="326"/>
    <n v="32.21"/>
    <x v="5"/>
    <x v="1"/>
    <s v="UPI"/>
  </r>
  <r>
    <x v="275"/>
    <x v="6"/>
    <x v="1014"/>
    <s v="&quot;CNR6508663&quot;"/>
    <x v="2"/>
    <s v="&quot;CID9635275&quot;"/>
    <x v="1"/>
    <x v="104"/>
    <s v="Samaypur Badli"/>
    <x v="46"/>
    <n v="39.799999999999997"/>
    <s v="null"/>
    <s v="null"/>
    <s v="null"/>
    <s v="null"/>
    <s v="null"/>
    <s v="null"/>
    <n v="159"/>
    <n v="33.07"/>
    <x v="3"/>
    <x v="10"/>
    <s v="Credit Card"/>
  </r>
  <r>
    <x v="94"/>
    <x v="11"/>
    <x v="1015"/>
    <s v="&quot;CNR9686162&quot;"/>
    <x v="3"/>
    <s v="&quot;CID7993266&quot;"/>
    <x v="2"/>
    <x v="152"/>
    <s v="IGI Airport"/>
    <x v="50"/>
    <s v="null"/>
    <s v="null"/>
    <s v="null"/>
    <n v="1"/>
    <s v="Customer related issue"/>
    <s v="null"/>
    <s v="null"/>
    <s v="null"/>
    <s v="null"/>
    <x v="0"/>
    <x v="0"/>
    <s v="null"/>
  </r>
  <r>
    <x v="325"/>
    <x v="5"/>
    <x v="1016"/>
    <s v="&quot;CNR6605057&quot;"/>
    <x v="2"/>
    <s v="&quot;CID7037271&quot;"/>
    <x v="3"/>
    <x v="174"/>
    <s v="South Extension"/>
    <x v="69"/>
    <n v="41.2"/>
    <s v="null"/>
    <s v="null"/>
    <s v="null"/>
    <s v="null"/>
    <s v="null"/>
    <s v="null"/>
    <n v="325"/>
    <n v="4.01"/>
    <x v="1"/>
    <x v="6"/>
    <s v="UPI"/>
  </r>
  <r>
    <x v="341"/>
    <x v="6"/>
    <x v="1017"/>
    <s v="&quot;CNR6119962&quot;"/>
    <x v="3"/>
    <s v="&quot;CID3516661&quot;"/>
    <x v="5"/>
    <x v="112"/>
    <s v="Jor Bagh"/>
    <x v="60"/>
    <s v="null"/>
    <s v="null"/>
    <s v="null"/>
    <n v="1"/>
    <s v="Customer related issue"/>
    <s v="null"/>
    <s v="null"/>
    <s v="null"/>
    <s v="null"/>
    <x v="0"/>
    <x v="0"/>
    <s v="null"/>
  </r>
  <r>
    <x v="65"/>
    <x v="9"/>
    <x v="1018"/>
    <s v="&quot;CNR8615096&quot;"/>
    <x v="1"/>
    <s v="&quot;CID7151907&quot;"/>
    <x v="0"/>
    <x v="36"/>
    <s v="Model Town"/>
    <x v="40"/>
    <n v="22.9"/>
    <s v="null"/>
    <s v="null"/>
    <s v="null"/>
    <s v="null"/>
    <n v="1"/>
    <s v="Customer Demand"/>
    <n v="685"/>
    <n v="2.14"/>
    <x v="0"/>
    <x v="0"/>
    <s v="UPI"/>
  </r>
  <r>
    <x v="324"/>
    <x v="4"/>
    <x v="1019"/>
    <s v="&quot;CNR9271198&quot;"/>
    <x v="3"/>
    <s v="&quot;CID5634862&quot;"/>
    <x v="4"/>
    <x v="170"/>
    <s v="IMT Manesar"/>
    <x v="93"/>
    <s v="null"/>
    <s v="null"/>
    <s v="null"/>
    <n v="1"/>
    <s v="The customer was coughing/sick"/>
    <s v="null"/>
    <s v="null"/>
    <s v="null"/>
    <s v="null"/>
    <x v="0"/>
    <x v="0"/>
    <s v="null"/>
  </r>
  <r>
    <x v="146"/>
    <x v="2"/>
    <x v="1020"/>
    <s v="&quot;CNR3208225&quot;"/>
    <x v="2"/>
    <s v="&quot;CID3080984&quot;"/>
    <x v="2"/>
    <x v="136"/>
    <s v="Subhash Nagar"/>
    <x v="103"/>
    <n v="29.7"/>
    <s v="null"/>
    <s v="null"/>
    <s v="null"/>
    <s v="null"/>
    <s v="null"/>
    <s v="null"/>
    <n v="378"/>
    <n v="30.94"/>
    <x v="6"/>
    <x v="4"/>
    <s v="UPI"/>
  </r>
  <r>
    <x v="338"/>
    <x v="4"/>
    <x v="1021"/>
    <s v="&quot;CNR3739993&quot;"/>
    <x v="2"/>
    <s v="&quot;CID3569673&quot;"/>
    <x v="3"/>
    <x v="83"/>
    <s v="Rohini"/>
    <x v="46"/>
    <n v="32.6"/>
    <s v="null"/>
    <s v="null"/>
    <s v="null"/>
    <s v="null"/>
    <s v="null"/>
    <s v="null"/>
    <n v="150"/>
    <n v="11.04"/>
    <x v="3"/>
    <x v="2"/>
    <s v="UPI"/>
  </r>
  <r>
    <x v="153"/>
    <x v="8"/>
    <x v="1022"/>
    <s v="&quot;CNR3035382&quot;"/>
    <x v="2"/>
    <s v="&quot;CID3343040&quot;"/>
    <x v="0"/>
    <x v="136"/>
    <s v="Ghitorni"/>
    <x v="87"/>
    <n v="21.3"/>
    <s v="null"/>
    <s v="null"/>
    <s v="null"/>
    <s v="null"/>
    <s v="null"/>
    <s v="null"/>
    <n v="329"/>
    <n v="42.71"/>
    <x v="12"/>
    <x v="3"/>
    <s v="Cash"/>
  </r>
  <r>
    <x v="73"/>
    <x v="3"/>
    <x v="1023"/>
    <s v="&quot;CNR1478082&quot;"/>
    <x v="2"/>
    <s v="&quot;CID7640810&quot;"/>
    <x v="1"/>
    <x v="161"/>
    <s v="ITO"/>
    <x v="20"/>
    <n v="33.9"/>
    <s v="null"/>
    <s v="null"/>
    <s v="null"/>
    <s v="null"/>
    <s v="null"/>
    <s v="null"/>
    <n v="84"/>
    <n v="37.659999999999997"/>
    <x v="14"/>
    <x v="7"/>
    <s v="Cash"/>
  </r>
  <r>
    <x v="33"/>
    <x v="9"/>
    <x v="1024"/>
    <s v="&quot;CNR2391152&quot;"/>
    <x v="1"/>
    <s v="&quot;CID9108394&quot;"/>
    <x v="5"/>
    <x v="107"/>
    <s v="Kherki Daula Toll"/>
    <x v="33"/>
    <n v="17.899999999999999"/>
    <s v="null"/>
    <s v="null"/>
    <s v="null"/>
    <s v="null"/>
    <n v="1"/>
    <s v="Other Issue"/>
    <n v="80"/>
    <n v="12.88"/>
    <x v="0"/>
    <x v="0"/>
    <s v="Debit Card"/>
  </r>
  <r>
    <x v="0"/>
    <x v="0"/>
    <x v="1025"/>
    <s v="&quot;CNR1980663&quot;"/>
    <x v="2"/>
    <s v="&quot;CID1578122&quot;"/>
    <x v="1"/>
    <x v="15"/>
    <s v="Samaypur Badli"/>
    <x v="86"/>
    <n v="33.1"/>
    <s v="null"/>
    <s v="null"/>
    <s v="null"/>
    <s v="null"/>
    <s v="null"/>
    <s v="null"/>
    <n v="1124"/>
    <n v="5.28"/>
    <x v="6"/>
    <x v="12"/>
    <s v="UPI"/>
  </r>
  <r>
    <x v="162"/>
    <x v="6"/>
    <x v="1026"/>
    <s v="&quot;CNR3375175&quot;"/>
    <x v="2"/>
    <s v="&quot;CID4579736&quot;"/>
    <x v="2"/>
    <x v="173"/>
    <s v="Maidan Garhi"/>
    <x v="131"/>
    <n v="29.7"/>
    <s v="null"/>
    <s v="null"/>
    <s v="null"/>
    <s v="null"/>
    <s v="null"/>
    <s v="null"/>
    <n v="1628"/>
    <n v="48.93"/>
    <x v="10"/>
    <x v="10"/>
    <s v="UPI"/>
  </r>
  <r>
    <x v="115"/>
    <x v="11"/>
    <x v="1027"/>
    <s v="&quot;CNR9140074&quot;"/>
    <x v="0"/>
    <s v="&quot;CID4645028&quot;"/>
    <x v="2"/>
    <x v="37"/>
    <s v="ITO"/>
    <x v="0"/>
    <s v="null"/>
    <s v="null"/>
    <s v="null"/>
    <s v="null"/>
    <s v="null"/>
    <s v="null"/>
    <s v="null"/>
    <s v="null"/>
    <s v="null"/>
    <x v="0"/>
    <x v="0"/>
    <s v="null"/>
  </r>
  <r>
    <x v="342"/>
    <x v="3"/>
    <x v="1028"/>
    <s v="&quot;CNR9400027&quot;"/>
    <x v="0"/>
    <s v="&quot;CID4952223&quot;"/>
    <x v="6"/>
    <x v="170"/>
    <s v="Shastri Park"/>
    <x v="0"/>
    <s v="null"/>
    <s v="null"/>
    <s v="null"/>
    <s v="null"/>
    <s v="null"/>
    <s v="null"/>
    <s v="null"/>
    <s v="null"/>
    <s v="null"/>
    <x v="0"/>
    <x v="0"/>
    <s v="null"/>
  </r>
  <r>
    <x v="61"/>
    <x v="0"/>
    <x v="1029"/>
    <s v="&quot;CNR7059800&quot;"/>
    <x v="2"/>
    <s v="&quot;CID3098652&quot;"/>
    <x v="4"/>
    <x v="77"/>
    <s v="South Extension"/>
    <x v="83"/>
    <n v="19.399999999999999"/>
    <s v="null"/>
    <s v="null"/>
    <s v="null"/>
    <s v="null"/>
    <s v="null"/>
    <s v="null"/>
    <n v="408"/>
    <n v="38.979999999999997"/>
    <x v="15"/>
    <x v="14"/>
    <s v="UPI"/>
  </r>
  <r>
    <x v="321"/>
    <x v="6"/>
    <x v="1030"/>
    <s v="&quot;CNR5997519&quot;"/>
    <x v="2"/>
    <s v="&quot;CID2238203&quot;"/>
    <x v="2"/>
    <x v="5"/>
    <s v="Ashok Park Main"/>
    <x v="55"/>
    <n v="33.4"/>
    <s v="null"/>
    <s v="null"/>
    <s v="null"/>
    <s v="null"/>
    <s v="null"/>
    <s v="null"/>
    <n v="447"/>
    <n v="35.67"/>
    <x v="8"/>
    <x v="6"/>
    <s v="Uber Wallet"/>
  </r>
  <r>
    <x v="121"/>
    <x v="6"/>
    <x v="1031"/>
    <s v="&quot;CNR4544942&quot;"/>
    <x v="1"/>
    <s v="&quot;CID6972808&quot;"/>
    <x v="3"/>
    <x v="71"/>
    <s v="RK Puram"/>
    <x v="106"/>
    <n v="25.7"/>
    <s v="null"/>
    <s v="null"/>
    <s v="null"/>
    <s v="null"/>
    <n v="1"/>
    <s v="Other Issue"/>
    <n v="138"/>
    <n v="12.87"/>
    <x v="0"/>
    <x v="0"/>
    <s v="Uber Wallet"/>
  </r>
  <r>
    <x v="206"/>
    <x v="10"/>
    <x v="1032"/>
    <s v="&quot;CNR4095574&quot;"/>
    <x v="2"/>
    <s v="&quot;CID3649587&quot;"/>
    <x v="5"/>
    <x v="10"/>
    <s v="Karol Bagh"/>
    <x v="29"/>
    <n v="27.6"/>
    <s v="null"/>
    <s v="null"/>
    <s v="null"/>
    <s v="null"/>
    <s v="null"/>
    <s v="null"/>
    <n v="3250"/>
    <n v="38.130000000000003"/>
    <x v="6"/>
    <x v="10"/>
    <s v="UPI"/>
  </r>
  <r>
    <x v="24"/>
    <x v="2"/>
    <x v="1033"/>
    <s v="&quot;CNR3860184&quot;"/>
    <x v="3"/>
    <s v="&quot;CID6978062&quot;"/>
    <x v="2"/>
    <x v="103"/>
    <s v="Saket"/>
    <x v="55"/>
    <s v="null"/>
    <s v="null"/>
    <s v="null"/>
    <n v="1"/>
    <s v="More than permitted people in there"/>
    <s v="null"/>
    <s v="null"/>
    <s v="null"/>
    <s v="null"/>
    <x v="0"/>
    <x v="0"/>
    <s v="null"/>
  </r>
  <r>
    <x v="95"/>
    <x v="6"/>
    <x v="1034"/>
    <s v="&quot;CNR2887960&quot;"/>
    <x v="0"/>
    <s v="&quot;CID8418878&quot;"/>
    <x v="6"/>
    <x v="125"/>
    <s v="Nawada"/>
    <x v="0"/>
    <s v="null"/>
    <s v="null"/>
    <s v="null"/>
    <s v="null"/>
    <s v="null"/>
    <s v="null"/>
    <s v="null"/>
    <s v="null"/>
    <s v="null"/>
    <x v="0"/>
    <x v="0"/>
    <s v="null"/>
  </r>
  <r>
    <x v="44"/>
    <x v="4"/>
    <x v="1035"/>
    <s v="&quot;CNR8519917&quot;"/>
    <x v="3"/>
    <s v="&quot;CID9224467&quot;"/>
    <x v="4"/>
    <x v="90"/>
    <s v="Udyog Vihar Phase 4"/>
    <x v="56"/>
    <s v="null"/>
    <s v="null"/>
    <s v="null"/>
    <n v="1"/>
    <s v="Personal &amp; Car related issues"/>
    <s v="null"/>
    <s v="null"/>
    <s v="null"/>
    <s v="null"/>
    <x v="0"/>
    <x v="0"/>
    <s v="null"/>
  </r>
  <r>
    <x v="260"/>
    <x v="9"/>
    <x v="1036"/>
    <s v="&quot;CNR6467880&quot;"/>
    <x v="2"/>
    <s v="&quot;CID3328793&quot;"/>
    <x v="0"/>
    <x v="3"/>
    <s v="Okhla"/>
    <x v="126"/>
    <n v="18.2"/>
    <s v="null"/>
    <s v="null"/>
    <s v="null"/>
    <s v="null"/>
    <s v="null"/>
    <s v="null"/>
    <n v="493"/>
    <n v="24.71"/>
    <x v="16"/>
    <x v="10"/>
    <s v="Uber Wallet"/>
  </r>
  <r>
    <x v="32"/>
    <x v="5"/>
    <x v="1037"/>
    <s v="&quot;CNR4753839&quot;"/>
    <x v="2"/>
    <s v="&quot;CID8371169&quot;"/>
    <x v="6"/>
    <x v="156"/>
    <s v="Gurgaon Sector 56"/>
    <x v="108"/>
    <n v="44.4"/>
    <s v="null"/>
    <s v="null"/>
    <s v="null"/>
    <s v="null"/>
    <s v="null"/>
    <s v="null"/>
    <n v="417"/>
    <n v="49.95"/>
    <x v="6"/>
    <x v="5"/>
    <s v="Credit Card"/>
  </r>
  <r>
    <x v="261"/>
    <x v="8"/>
    <x v="1038"/>
    <s v="&quot;CNR5381135&quot;"/>
    <x v="2"/>
    <s v="&quot;CID9932224&quot;"/>
    <x v="1"/>
    <x v="62"/>
    <s v="Moti Nagar"/>
    <x v="76"/>
    <n v="43.9"/>
    <s v="null"/>
    <s v="null"/>
    <s v="null"/>
    <s v="null"/>
    <s v="null"/>
    <s v="null"/>
    <n v="105"/>
    <n v="38.72"/>
    <x v="6"/>
    <x v="1"/>
    <s v="Credit Card"/>
  </r>
  <r>
    <x v="226"/>
    <x v="10"/>
    <x v="1039"/>
    <s v="&quot;CNR4269063&quot;"/>
    <x v="2"/>
    <s v="&quot;CID1577409&quot;"/>
    <x v="3"/>
    <x v="96"/>
    <s v="Greater Kailash"/>
    <x v="63"/>
    <n v="28.4"/>
    <s v="null"/>
    <s v="null"/>
    <s v="null"/>
    <s v="null"/>
    <s v="null"/>
    <s v="null"/>
    <n v="941"/>
    <n v="45.71"/>
    <x v="20"/>
    <x v="6"/>
    <s v="Cash"/>
  </r>
  <r>
    <x v="97"/>
    <x v="8"/>
    <x v="1040"/>
    <s v="&quot;CNR3211581&quot;"/>
    <x v="0"/>
    <s v="&quot;CID6431116&quot;"/>
    <x v="1"/>
    <x v="25"/>
    <s v="Shastri Nagar"/>
    <x v="0"/>
    <s v="null"/>
    <s v="null"/>
    <s v="null"/>
    <s v="null"/>
    <s v="null"/>
    <s v="null"/>
    <s v="null"/>
    <s v="null"/>
    <s v="null"/>
    <x v="0"/>
    <x v="0"/>
    <s v="null"/>
  </r>
  <r>
    <x v="343"/>
    <x v="5"/>
    <x v="1041"/>
    <s v="&quot;CNR8618774&quot;"/>
    <x v="2"/>
    <s v="&quot;CID2350414&quot;"/>
    <x v="1"/>
    <x v="158"/>
    <s v="Netaji Subhash Place"/>
    <x v="67"/>
    <n v="18.600000000000001"/>
    <s v="null"/>
    <s v="null"/>
    <s v="null"/>
    <s v="null"/>
    <s v="null"/>
    <s v="null"/>
    <n v="880"/>
    <n v="23.26"/>
    <x v="3"/>
    <x v="6"/>
    <s v="UPI"/>
  </r>
  <r>
    <x v="282"/>
    <x v="11"/>
    <x v="1042"/>
    <s v="&quot;CNR4311986&quot;"/>
    <x v="2"/>
    <s v="&quot;CID8058972&quot;"/>
    <x v="5"/>
    <x v="13"/>
    <s v="Akshardham"/>
    <x v="64"/>
    <n v="39.1"/>
    <s v="null"/>
    <s v="null"/>
    <s v="null"/>
    <s v="null"/>
    <s v="null"/>
    <s v="null"/>
    <n v="678"/>
    <n v="46.99"/>
    <x v="14"/>
    <x v="12"/>
    <s v="Uber Wallet"/>
  </r>
  <r>
    <x v="11"/>
    <x v="4"/>
    <x v="1043"/>
    <s v="&quot;CNR9722261&quot;"/>
    <x v="4"/>
    <s v="&quot;CID8492596&quot;"/>
    <x v="3"/>
    <x v="90"/>
    <s v="Azadpur"/>
    <x v="133"/>
    <s v="null"/>
    <n v="1"/>
    <s v="Wrong Address"/>
    <s v="null"/>
    <s v="null"/>
    <s v="null"/>
    <s v="null"/>
    <s v="null"/>
    <s v="null"/>
    <x v="0"/>
    <x v="0"/>
    <s v="null"/>
  </r>
  <r>
    <x v="335"/>
    <x v="10"/>
    <x v="1044"/>
    <s v="&quot;CNR3771473&quot;"/>
    <x v="0"/>
    <s v="&quot;CID7501051&quot;"/>
    <x v="5"/>
    <x v="142"/>
    <s v="Welcome"/>
    <x v="0"/>
    <s v="null"/>
    <s v="null"/>
    <s v="null"/>
    <s v="null"/>
    <s v="null"/>
    <s v="null"/>
    <s v="null"/>
    <s v="null"/>
    <s v="null"/>
    <x v="0"/>
    <x v="0"/>
    <s v="null"/>
  </r>
  <r>
    <x v="77"/>
    <x v="6"/>
    <x v="1045"/>
    <s v="&quot;CNR6272144&quot;"/>
    <x v="3"/>
    <s v="&quot;CID1854440&quot;"/>
    <x v="3"/>
    <x v="102"/>
    <s v="Rohini East"/>
    <x v="9"/>
    <s v="null"/>
    <s v="null"/>
    <s v="null"/>
    <n v="1"/>
    <s v="Customer related issue"/>
    <s v="null"/>
    <s v="null"/>
    <s v="null"/>
    <s v="null"/>
    <x v="0"/>
    <x v="0"/>
    <s v="null"/>
  </r>
  <r>
    <x v="46"/>
    <x v="9"/>
    <x v="1046"/>
    <s v="&quot;CNR8161740&quot;"/>
    <x v="2"/>
    <s v="&quot;CID1090339&quot;"/>
    <x v="5"/>
    <x v="110"/>
    <s v="Ghaziabad"/>
    <x v="65"/>
    <n v="26.8"/>
    <s v="null"/>
    <s v="null"/>
    <s v="null"/>
    <s v="null"/>
    <s v="null"/>
    <s v="null"/>
    <n v="638"/>
    <n v="27.47"/>
    <x v="5"/>
    <x v="9"/>
    <s v="UPI"/>
  </r>
  <r>
    <x v="106"/>
    <x v="10"/>
    <x v="1047"/>
    <s v="&quot;CNR5783301&quot;"/>
    <x v="2"/>
    <s v="&quot;CID8192626&quot;"/>
    <x v="3"/>
    <x v="115"/>
    <s v="Barakhamba Road"/>
    <x v="95"/>
    <n v="30.3"/>
    <s v="null"/>
    <s v="null"/>
    <s v="null"/>
    <s v="null"/>
    <s v="null"/>
    <s v="null"/>
    <n v="1280"/>
    <n v="44.62"/>
    <x v="21"/>
    <x v="3"/>
    <s v="UPI"/>
  </r>
  <r>
    <x v="338"/>
    <x v="4"/>
    <x v="1048"/>
    <s v="&quot;CNR7612406&quot;"/>
    <x v="4"/>
    <s v="&quot;CID2336007&quot;"/>
    <x v="5"/>
    <x v="57"/>
    <s v="Sarai Kale Khan"/>
    <x v="70"/>
    <s v="null"/>
    <n v="1"/>
    <s v="AC is not working"/>
    <s v="null"/>
    <s v="null"/>
    <s v="null"/>
    <s v="null"/>
    <s v="null"/>
    <s v="null"/>
    <x v="0"/>
    <x v="0"/>
    <s v="null"/>
  </r>
  <r>
    <x v="23"/>
    <x v="0"/>
    <x v="1049"/>
    <s v="&quot;CNR7616847&quot;"/>
    <x v="3"/>
    <s v="&quot;CID8572257&quot;"/>
    <x v="6"/>
    <x v="115"/>
    <s v="Ramesh Nagar"/>
    <x v="65"/>
    <s v="null"/>
    <s v="null"/>
    <s v="null"/>
    <n v="1"/>
    <s v="The customer was coughing/sick"/>
    <s v="null"/>
    <s v="null"/>
    <s v="null"/>
    <s v="null"/>
    <x v="0"/>
    <x v="0"/>
    <s v="null"/>
  </r>
  <r>
    <x v="29"/>
    <x v="1"/>
    <x v="1050"/>
    <s v="&quot;CNR1082903&quot;"/>
    <x v="2"/>
    <s v="&quot;CID2236812&quot;"/>
    <x v="4"/>
    <x v="14"/>
    <s v="Shahdara"/>
    <x v="48"/>
    <n v="28.8"/>
    <s v="null"/>
    <s v="null"/>
    <s v="null"/>
    <s v="null"/>
    <s v="null"/>
    <s v="null"/>
    <n v="234"/>
    <n v="23.17"/>
    <x v="1"/>
    <x v="12"/>
    <s v="UPI"/>
  </r>
  <r>
    <x v="122"/>
    <x v="0"/>
    <x v="1051"/>
    <s v="&quot;CNR1607365&quot;"/>
    <x v="2"/>
    <s v="&quot;CID9968475&quot;"/>
    <x v="4"/>
    <x v="63"/>
    <s v="Munirka"/>
    <x v="118"/>
    <n v="34.700000000000003"/>
    <s v="null"/>
    <s v="null"/>
    <s v="null"/>
    <s v="null"/>
    <s v="null"/>
    <s v="null"/>
    <n v="820"/>
    <n v="48.11"/>
    <x v="17"/>
    <x v="4"/>
    <s v="Uber Wallet"/>
  </r>
  <r>
    <x v="55"/>
    <x v="8"/>
    <x v="1052"/>
    <s v="&quot;CNR1631524&quot;"/>
    <x v="0"/>
    <s v="&quot;CID9477071&quot;"/>
    <x v="1"/>
    <x v="27"/>
    <s v="Faridabad Sector 15"/>
    <x v="0"/>
    <s v="null"/>
    <s v="null"/>
    <s v="null"/>
    <s v="null"/>
    <s v="null"/>
    <s v="null"/>
    <s v="null"/>
    <s v="null"/>
    <s v="null"/>
    <x v="0"/>
    <x v="0"/>
    <s v="null"/>
  </r>
  <r>
    <x v="204"/>
    <x v="7"/>
    <x v="1053"/>
    <s v="&quot;CNR8323070&quot;"/>
    <x v="0"/>
    <s v="&quot;CID9335765&quot;"/>
    <x v="4"/>
    <x v="153"/>
    <s v="Mundka"/>
    <x v="0"/>
    <s v="null"/>
    <s v="null"/>
    <s v="null"/>
    <s v="null"/>
    <s v="null"/>
    <s v="null"/>
    <s v="null"/>
    <s v="null"/>
    <s v="null"/>
    <x v="0"/>
    <x v="0"/>
    <s v="null"/>
  </r>
  <r>
    <x v="228"/>
    <x v="0"/>
    <x v="1054"/>
    <s v="&quot;CNR7370121&quot;"/>
    <x v="2"/>
    <s v="&quot;CID3852572&quot;"/>
    <x v="1"/>
    <x v="58"/>
    <s v="Anand Vihar ISBT"/>
    <x v="20"/>
    <n v="36.9"/>
    <s v="null"/>
    <s v="null"/>
    <s v="null"/>
    <s v="null"/>
    <s v="null"/>
    <s v="null"/>
    <n v="237"/>
    <n v="32.96"/>
    <x v="13"/>
    <x v="3"/>
    <s v="UPI"/>
  </r>
  <r>
    <x v="295"/>
    <x v="6"/>
    <x v="1055"/>
    <s v="&quot;CNR4716973&quot;"/>
    <x v="2"/>
    <s v="&quot;CID6054851&quot;"/>
    <x v="2"/>
    <x v="103"/>
    <s v="Adarsh Nagar"/>
    <x v="44"/>
    <n v="40.5"/>
    <s v="null"/>
    <s v="null"/>
    <s v="null"/>
    <s v="null"/>
    <s v="null"/>
    <s v="null"/>
    <n v="169"/>
    <n v="41.18"/>
    <x v="13"/>
    <x v="3"/>
    <s v="UPI"/>
  </r>
  <r>
    <x v="279"/>
    <x v="8"/>
    <x v="1056"/>
    <s v="&quot;CNR7028309&quot;"/>
    <x v="4"/>
    <s v="&quot;CID6108155&quot;"/>
    <x v="2"/>
    <x v="14"/>
    <s v="Jama Masjid"/>
    <x v="146"/>
    <s v="null"/>
    <n v="1"/>
    <s v="Wrong Address"/>
    <s v="null"/>
    <s v="null"/>
    <s v="null"/>
    <s v="null"/>
    <s v="null"/>
    <s v="null"/>
    <x v="0"/>
    <x v="0"/>
    <s v="null"/>
  </r>
  <r>
    <x v="300"/>
    <x v="10"/>
    <x v="1057"/>
    <s v="&quot;CNR4709527&quot;"/>
    <x v="2"/>
    <s v="&quot;CID4820583&quot;"/>
    <x v="2"/>
    <x v="147"/>
    <s v="Sadar Bazar Gurgaon"/>
    <x v="19"/>
    <n v="35.299999999999997"/>
    <s v="null"/>
    <s v="null"/>
    <s v="null"/>
    <s v="null"/>
    <s v="null"/>
    <s v="null"/>
    <n v="216"/>
    <n v="18.100000000000001"/>
    <x v="2"/>
    <x v="10"/>
    <s v="UPI"/>
  </r>
  <r>
    <x v="169"/>
    <x v="8"/>
    <x v="1058"/>
    <s v="&quot;CNR3376137&quot;"/>
    <x v="2"/>
    <s v="&quot;CID7061321&quot;"/>
    <x v="2"/>
    <x v="175"/>
    <s v="Subhash Nagar"/>
    <x v="111"/>
    <n v="30.5"/>
    <s v="null"/>
    <s v="null"/>
    <s v="null"/>
    <s v="null"/>
    <s v="null"/>
    <s v="null"/>
    <n v="484"/>
    <n v="3.35"/>
    <x v="14"/>
    <x v="4"/>
    <s v="Debit Card"/>
  </r>
  <r>
    <x v="255"/>
    <x v="3"/>
    <x v="1059"/>
    <s v="&quot;CNR2273615&quot;"/>
    <x v="4"/>
    <s v="&quot;CID9308750&quot;"/>
    <x v="0"/>
    <x v="99"/>
    <s v="Rohini"/>
    <x v="69"/>
    <s v="null"/>
    <n v="1"/>
    <s v="Wrong Address"/>
    <s v="null"/>
    <s v="null"/>
    <s v="null"/>
    <s v="null"/>
    <s v="null"/>
    <s v="null"/>
    <x v="0"/>
    <x v="0"/>
    <s v="null"/>
  </r>
  <r>
    <x v="278"/>
    <x v="10"/>
    <x v="1060"/>
    <s v="&quot;CNR7153309&quot;"/>
    <x v="0"/>
    <s v="&quot;CID8948066&quot;"/>
    <x v="5"/>
    <x v="88"/>
    <s v="Saket"/>
    <x v="0"/>
    <s v="null"/>
    <s v="null"/>
    <s v="null"/>
    <s v="null"/>
    <s v="null"/>
    <s v="null"/>
    <s v="null"/>
    <s v="null"/>
    <s v="null"/>
    <x v="0"/>
    <x v="0"/>
    <s v="null"/>
  </r>
  <r>
    <x v="118"/>
    <x v="7"/>
    <x v="1061"/>
    <s v="&quot;CNR5854735&quot;"/>
    <x v="2"/>
    <s v="&quot;CID1129838&quot;"/>
    <x v="1"/>
    <x v="143"/>
    <s v="Karkarduma"/>
    <x v="42"/>
    <n v="42.2"/>
    <s v="null"/>
    <s v="null"/>
    <s v="null"/>
    <s v="null"/>
    <s v="null"/>
    <s v="null"/>
    <n v="288"/>
    <n v="8.25"/>
    <x v="2"/>
    <x v="10"/>
    <s v="Credit Card"/>
  </r>
  <r>
    <x v="311"/>
    <x v="8"/>
    <x v="1062"/>
    <s v="&quot;CNR7962519&quot;"/>
    <x v="2"/>
    <s v="&quot;CID1163062&quot;"/>
    <x v="5"/>
    <x v="139"/>
    <s v="Paschim Vihar"/>
    <x v="26"/>
    <n v="41.1"/>
    <s v="null"/>
    <s v="null"/>
    <s v="null"/>
    <s v="null"/>
    <s v="null"/>
    <s v="null"/>
    <n v="179"/>
    <n v="22.27"/>
    <x v="6"/>
    <x v="8"/>
    <s v="Uber Wallet"/>
  </r>
  <r>
    <x v="293"/>
    <x v="3"/>
    <x v="1063"/>
    <s v="&quot;CNR2009189&quot;"/>
    <x v="0"/>
    <s v="&quot;CID6741813&quot;"/>
    <x v="4"/>
    <x v="29"/>
    <s v="Ghitorni"/>
    <x v="0"/>
    <s v="null"/>
    <s v="null"/>
    <s v="null"/>
    <s v="null"/>
    <s v="null"/>
    <s v="null"/>
    <s v="null"/>
    <s v="null"/>
    <s v="null"/>
    <x v="0"/>
    <x v="0"/>
    <s v="null"/>
  </r>
  <r>
    <x v="62"/>
    <x v="10"/>
    <x v="1064"/>
    <s v="&quot;CNR1662233&quot;"/>
    <x v="0"/>
    <s v="&quot;CID1859373&quot;"/>
    <x v="4"/>
    <x v="13"/>
    <s v="Subhash Nagar"/>
    <x v="0"/>
    <s v="null"/>
    <s v="null"/>
    <s v="null"/>
    <s v="null"/>
    <s v="null"/>
    <s v="null"/>
    <s v="null"/>
    <s v="null"/>
    <s v="null"/>
    <x v="0"/>
    <x v="0"/>
    <s v="null"/>
  </r>
  <r>
    <x v="31"/>
    <x v="1"/>
    <x v="1065"/>
    <s v="&quot;CNR1536625&quot;"/>
    <x v="2"/>
    <s v="&quot;CID3984935&quot;"/>
    <x v="1"/>
    <x v="106"/>
    <s v="Sadar Bazar Gurgaon"/>
    <x v="78"/>
    <n v="30.6"/>
    <s v="null"/>
    <s v="null"/>
    <s v="null"/>
    <s v="null"/>
    <s v="null"/>
    <s v="null"/>
    <n v="1042"/>
    <n v="25.72"/>
    <x v="5"/>
    <x v="5"/>
    <s v="UPI"/>
  </r>
  <r>
    <x v="218"/>
    <x v="1"/>
    <x v="1066"/>
    <s v="&quot;CNR5349202&quot;"/>
    <x v="2"/>
    <s v="&quot;CID2775454&quot;"/>
    <x v="2"/>
    <x v="39"/>
    <s v="Shastri Park"/>
    <x v="66"/>
    <n v="32.799999999999997"/>
    <s v="null"/>
    <s v="null"/>
    <s v="null"/>
    <s v="null"/>
    <s v="null"/>
    <s v="null"/>
    <n v="261"/>
    <n v="36.71"/>
    <x v="1"/>
    <x v="6"/>
    <s v="UPI"/>
  </r>
  <r>
    <x v="277"/>
    <x v="10"/>
    <x v="1067"/>
    <s v="&quot;CNR2941994&quot;"/>
    <x v="2"/>
    <s v="&quot;CID8157196&quot;"/>
    <x v="2"/>
    <x v="159"/>
    <s v="New Colony"/>
    <x v="120"/>
    <n v="34.200000000000003"/>
    <s v="null"/>
    <s v="null"/>
    <s v="null"/>
    <s v="null"/>
    <s v="null"/>
    <s v="null"/>
    <n v="405"/>
    <n v="34.69"/>
    <x v="7"/>
    <x v="6"/>
    <s v="UPI"/>
  </r>
  <r>
    <x v="112"/>
    <x v="9"/>
    <x v="1068"/>
    <s v="&quot;CNR4381246&quot;"/>
    <x v="0"/>
    <s v="&quot;CID3691369&quot;"/>
    <x v="0"/>
    <x v="169"/>
    <s v="Shivaji Park"/>
    <x v="0"/>
    <s v="null"/>
    <s v="null"/>
    <s v="null"/>
    <s v="null"/>
    <s v="null"/>
    <s v="null"/>
    <s v="null"/>
    <s v="null"/>
    <s v="null"/>
    <x v="0"/>
    <x v="0"/>
    <s v="null"/>
  </r>
  <r>
    <x v="206"/>
    <x v="10"/>
    <x v="1069"/>
    <s v="&quot;CNR5864007&quot;"/>
    <x v="3"/>
    <s v="&quot;CID7151802&quot;"/>
    <x v="5"/>
    <x v="15"/>
    <s v="Samaypur Badli"/>
    <x v="94"/>
    <s v="null"/>
    <s v="null"/>
    <s v="null"/>
    <n v="1"/>
    <s v="The customer was coughing/sick"/>
    <s v="null"/>
    <s v="null"/>
    <s v="null"/>
    <s v="null"/>
    <x v="0"/>
    <x v="0"/>
    <s v="null"/>
  </r>
  <r>
    <x v="198"/>
    <x v="0"/>
    <x v="1070"/>
    <s v="&quot;CNR6654288&quot;"/>
    <x v="2"/>
    <s v="&quot;CID5962536&quot;"/>
    <x v="4"/>
    <x v="79"/>
    <s v="Kirti Nagar"/>
    <x v="73"/>
    <n v="21.3"/>
    <s v="null"/>
    <s v="null"/>
    <s v="null"/>
    <s v="null"/>
    <s v="null"/>
    <s v="null"/>
    <n v="89"/>
    <n v="49.17"/>
    <x v="14"/>
    <x v="3"/>
    <s v="UPI"/>
  </r>
  <r>
    <x v="148"/>
    <x v="6"/>
    <x v="1071"/>
    <s v="&quot;CNR7500511&quot;"/>
    <x v="2"/>
    <s v="&quot;CID5561994&quot;"/>
    <x v="4"/>
    <x v="3"/>
    <s v="Lajpat Nagar"/>
    <x v="87"/>
    <n v="37"/>
    <s v="null"/>
    <s v="null"/>
    <s v="null"/>
    <s v="null"/>
    <s v="null"/>
    <s v="null"/>
    <n v="649"/>
    <n v="29.85"/>
    <x v="12"/>
    <x v="7"/>
    <s v="Cash"/>
  </r>
  <r>
    <x v="276"/>
    <x v="11"/>
    <x v="1072"/>
    <s v="&quot;CNR4430699&quot;"/>
    <x v="2"/>
    <s v="&quot;CID2982706&quot;"/>
    <x v="4"/>
    <x v="88"/>
    <s v="Ashok Vihar"/>
    <x v="122"/>
    <n v="43.7"/>
    <s v="null"/>
    <s v="null"/>
    <s v="null"/>
    <s v="null"/>
    <s v="null"/>
    <s v="null"/>
    <n v="754"/>
    <n v="38.880000000000003"/>
    <x v="13"/>
    <x v="10"/>
    <s v="Cash"/>
  </r>
  <r>
    <x v="292"/>
    <x v="8"/>
    <x v="1073"/>
    <s v="&quot;CNR8322356&quot;"/>
    <x v="3"/>
    <s v="&quot;CID9098570&quot;"/>
    <x v="5"/>
    <x v="50"/>
    <s v="Nehru Place"/>
    <x v="106"/>
    <s v="null"/>
    <s v="null"/>
    <s v="null"/>
    <n v="1"/>
    <s v="More than permitted people in there"/>
    <s v="null"/>
    <s v="null"/>
    <s v="null"/>
    <s v="null"/>
    <x v="0"/>
    <x v="0"/>
    <s v="null"/>
  </r>
  <r>
    <x v="155"/>
    <x v="9"/>
    <x v="1074"/>
    <s v="&quot;CNR1535573&quot;"/>
    <x v="2"/>
    <s v="&quot;CID3002633&quot;"/>
    <x v="2"/>
    <x v="117"/>
    <s v="Kalkaji"/>
    <x v="40"/>
    <n v="20.399999999999999"/>
    <s v="null"/>
    <s v="null"/>
    <s v="null"/>
    <s v="null"/>
    <s v="null"/>
    <s v="null"/>
    <n v="264"/>
    <n v="29.2"/>
    <x v="9"/>
    <x v="4"/>
    <s v="Credit Card"/>
  </r>
  <r>
    <x v="116"/>
    <x v="10"/>
    <x v="1075"/>
    <s v="&quot;CNR3992160&quot;"/>
    <x v="2"/>
    <s v="&quot;CID9739632&quot;"/>
    <x v="5"/>
    <x v="76"/>
    <s v="Seelampur"/>
    <x v="108"/>
    <n v="19.8"/>
    <s v="null"/>
    <s v="null"/>
    <s v="null"/>
    <s v="null"/>
    <s v="null"/>
    <s v="null"/>
    <n v="850"/>
    <n v="48.31"/>
    <x v="16"/>
    <x v="13"/>
    <s v="Cash"/>
  </r>
  <r>
    <x v="254"/>
    <x v="5"/>
    <x v="1076"/>
    <s v="&quot;CNR1198096&quot;"/>
    <x v="2"/>
    <s v="&quot;CID8086845&quot;"/>
    <x v="6"/>
    <x v="13"/>
    <s v="Ghitorni Village"/>
    <x v="127"/>
    <n v="36.200000000000003"/>
    <s v="null"/>
    <s v="null"/>
    <s v="null"/>
    <s v="null"/>
    <s v="null"/>
    <s v="null"/>
    <n v="1486"/>
    <n v="19.45"/>
    <x v="14"/>
    <x v="8"/>
    <s v="UPI"/>
  </r>
  <r>
    <x v="155"/>
    <x v="9"/>
    <x v="1077"/>
    <s v="&quot;CNR5816989&quot;"/>
    <x v="2"/>
    <s v="&quot;CID7873655&quot;"/>
    <x v="5"/>
    <x v="99"/>
    <s v="Kashmere Gate ISBT"/>
    <x v="42"/>
    <n v="31.6"/>
    <s v="null"/>
    <s v="null"/>
    <s v="null"/>
    <s v="null"/>
    <s v="null"/>
    <s v="null"/>
    <n v="417"/>
    <n v="6.83"/>
    <x v="12"/>
    <x v="4"/>
    <s v="UPI"/>
  </r>
  <r>
    <x v="176"/>
    <x v="3"/>
    <x v="1078"/>
    <s v="&quot;CNR8307585&quot;"/>
    <x v="2"/>
    <s v="&quot;CID9492482&quot;"/>
    <x v="3"/>
    <x v="51"/>
    <s v="Jama Masjid"/>
    <x v="14"/>
    <n v="22.5"/>
    <s v="null"/>
    <s v="null"/>
    <s v="null"/>
    <s v="null"/>
    <s v="null"/>
    <s v="null"/>
    <n v="854"/>
    <n v="2.15"/>
    <x v="14"/>
    <x v="1"/>
    <s v="Uber Wallet"/>
  </r>
  <r>
    <x v="189"/>
    <x v="5"/>
    <x v="1079"/>
    <s v="&quot;CNR8054889&quot;"/>
    <x v="4"/>
    <s v="&quot;CID2999732&quot;"/>
    <x v="3"/>
    <x v="71"/>
    <s v="Ghitorni"/>
    <x v="36"/>
    <s v="null"/>
    <n v="1"/>
    <s v="Driver is not moving towards pickup location"/>
    <s v="null"/>
    <s v="null"/>
    <s v="null"/>
    <s v="null"/>
    <s v="null"/>
    <s v="null"/>
    <x v="0"/>
    <x v="0"/>
    <s v="null"/>
  </r>
  <r>
    <x v="95"/>
    <x v="6"/>
    <x v="1080"/>
    <s v="&quot;CNR2463226&quot;"/>
    <x v="2"/>
    <s v="&quot;CID9951493&quot;"/>
    <x v="4"/>
    <x v="110"/>
    <s v="Kalkaji"/>
    <x v="87"/>
    <n v="34.299999999999997"/>
    <s v="null"/>
    <s v="null"/>
    <s v="null"/>
    <s v="null"/>
    <s v="null"/>
    <s v="null"/>
    <n v="58"/>
    <n v="8.39"/>
    <x v="9"/>
    <x v="2"/>
    <s v="UPI"/>
  </r>
  <r>
    <x v="22"/>
    <x v="5"/>
    <x v="1081"/>
    <s v="&quot;CNR7225643&quot;"/>
    <x v="2"/>
    <s v="&quot;CID4700437&quot;"/>
    <x v="5"/>
    <x v="103"/>
    <s v="Shastri Nagar"/>
    <x v="104"/>
    <n v="33.1"/>
    <s v="null"/>
    <s v="null"/>
    <s v="null"/>
    <s v="null"/>
    <s v="null"/>
    <s v="null"/>
    <n v="215"/>
    <n v="29.17"/>
    <x v="11"/>
    <x v="10"/>
    <s v="Credit Card"/>
  </r>
  <r>
    <x v="291"/>
    <x v="10"/>
    <x v="1082"/>
    <s v="&quot;CNR3268229&quot;"/>
    <x v="2"/>
    <s v="&quot;CID9284112&quot;"/>
    <x v="2"/>
    <x v="75"/>
    <s v="Dwarka Mor"/>
    <x v="83"/>
    <n v="16.7"/>
    <s v="null"/>
    <s v="null"/>
    <s v="null"/>
    <s v="null"/>
    <s v="null"/>
    <s v="null"/>
    <n v="514"/>
    <n v="33.15"/>
    <x v="6"/>
    <x v="3"/>
    <s v="UPI"/>
  </r>
  <r>
    <x v="138"/>
    <x v="9"/>
    <x v="1083"/>
    <s v="&quot;CNR7361622&quot;"/>
    <x v="2"/>
    <s v="&quot;CID7083121&quot;"/>
    <x v="4"/>
    <x v="157"/>
    <s v="GTB Nagar"/>
    <x v="114"/>
    <n v="28.5"/>
    <s v="null"/>
    <s v="null"/>
    <s v="null"/>
    <s v="null"/>
    <s v="null"/>
    <s v="null"/>
    <n v="287"/>
    <n v="15.34"/>
    <x v="1"/>
    <x v="6"/>
    <s v="Uber Wallet"/>
  </r>
  <r>
    <x v="344"/>
    <x v="6"/>
    <x v="1084"/>
    <s v="&quot;CNR9410866&quot;"/>
    <x v="2"/>
    <s v="&quot;CID7190039&quot;"/>
    <x v="5"/>
    <x v="68"/>
    <s v="Ambience Mall"/>
    <x v="90"/>
    <n v="23.3"/>
    <s v="null"/>
    <s v="null"/>
    <s v="null"/>
    <s v="null"/>
    <s v="null"/>
    <s v="null"/>
    <n v="309"/>
    <n v="26.19"/>
    <x v="7"/>
    <x v="12"/>
    <s v="Cash"/>
  </r>
  <r>
    <x v="45"/>
    <x v="6"/>
    <x v="1085"/>
    <s v="&quot;CNR5147902&quot;"/>
    <x v="2"/>
    <s v="&quot;CID2885204&quot;"/>
    <x v="2"/>
    <x v="55"/>
    <s v="Kirti Nagar"/>
    <x v="21"/>
    <n v="40.299999999999997"/>
    <s v="null"/>
    <s v="null"/>
    <s v="null"/>
    <s v="null"/>
    <s v="null"/>
    <s v="null"/>
    <n v="85"/>
    <n v="27.4"/>
    <x v="13"/>
    <x v="3"/>
    <s v="Cash"/>
  </r>
  <r>
    <x v="345"/>
    <x v="8"/>
    <x v="1086"/>
    <s v="&quot;CNR9614886&quot;"/>
    <x v="2"/>
    <s v="&quot;CID1821022&quot;"/>
    <x v="2"/>
    <x v="94"/>
    <s v="Sultanpur"/>
    <x v="77"/>
    <n v="25"/>
    <s v="null"/>
    <s v="null"/>
    <s v="null"/>
    <s v="null"/>
    <s v="null"/>
    <s v="null"/>
    <n v="553"/>
    <n v="5.0199999999999996"/>
    <x v="20"/>
    <x v="2"/>
    <s v="Credit Card"/>
  </r>
  <r>
    <x v="120"/>
    <x v="2"/>
    <x v="1087"/>
    <s v="&quot;CNR5221723&quot;"/>
    <x v="1"/>
    <s v="&quot;CID7464307&quot;"/>
    <x v="0"/>
    <x v="86"/>
    <s v="Dwarka Mor"/>
    <x v="30"/>
    <n v="10.3"/>
    <s v="null"/>
    <s v="null"/>
    <s v="null"/>
    <s v="null"/>
    <n v="1"/>
    <s v="Customer Demand"/>
    <n v="475"/>
    <n v="11.28"/>
    <x v="0"/>
    <x v="0"/>
    <s v="UPI"/>
  </r>
  <r>
    <x v="308"/>
    <x v="8"/>
    <x v="1088"/>
    <s v="&quot;CNR3544066&quot;"/>
    <x v="2"/>
    <s v="&quot;CID8397158&quot;"/>
    <x v="1"/>
    <x v="102"/>
    <s v="Panchsheel Park"/>
    <x v="12"/>
    <n v="22.6"/>
    <s v="null"/>
    <s v="null"/>
    <s v="null"/>
    <s v="null"/>
    <s v="null"/>
    <s v="null"/>
    <n v="107"/>
    <n v="29.19"/>
    <x v="3"/>
    <x v="4"/>
    <s v="UPI"/>
  </r>
  <r>
    <x v="214"/>
    <x v="3"/>
    <x v="1089"/>
    <s v="&quot;CNR5570582&quot;"/>
    <x v="4"/>
    <s v="&quot;CID2427555&quot;"/>
    <x v="4"/>
    <x v="24"/>
    <s v="Jhilmil"/>
    <x v="147"/>
    <s v="null"/>
    <n v="1"/>
    <s v="Driver is not moving towards pickup location"/>
    <s v="null"/>
    <s v="null"/>
    <s v="null"/>
    <s v="null"/>
    <s v="null"/>
    <s v="null"/>
    <x v="0"/>
    <x v="0"/>
    <s v="null"/>
  </r>
  <r>
    <x v="9"/>
    <x v="7"/>
    <x v="1090"/>
    <s v="&quot;CNR7024605&quot;"/>
    <x v="0"/>
    <s v="&quot;CID4006049&quot;"/>
    <x v="1"/>
    <x v="109"/>
    <s v="Bhiwadi"/>
    <x v="0"/>
    <s v="null"/>
    <s v="null"/>
    <s v="null"/>
    <s v="null"/>
    <s v="null"/>
    <s v="null"/>
    <s v="null"/>
    <s v="null"/>
    <s v="null"/>
    <x v="0"/>
    <x v="0"/>
    <s v="null"/>
  </r>
  <r>
    <x v="34"/>
    <x v="8"/>
    <x v="1091"/>
    <s v="&quot;CNR6762189&quot;"/>
    <x v="2"/>
    <s v="&quot;CID7839425&quot;"/>
    <x v="5"/>
    <x v="102"/>
    <s v="Hauz Khas"/>
    <x v="59"/>
    <n v="24.4"/>
    <s v="null"/>
    <s v="null"/>
    <s v="null"/>
    <s v="null"/>
    <s v="null"/>
    <s v="null"/>
    <n v="1088"/>
    <n v="7.24"/>
    <x v="17"/>
    <x v="3"/>
    <s v="Uber Wallet"/>
  </r>
  <r>
    <x v="162"/>
    <x v="6"/>
    <x v="1092"/>
    <s v="&quot;CNR7426325&quot;"/>
    <x v="2"/>
    <s v="&quot;CID2558426&quot;"/>
    <x v="3"/>
    <x v="104"/>
    <s v="Vishwavidyalaya"/>
    <x v="98"/>
    <n v="31.2"/>
    <s v="null"/>
    <s v="null"/>
    <s v="null"/>
    <s v="null"/>
    <s v="null"/>
    <s v="null"/>
    <n v="125"/>
    <n v="22.82"/>
    <x v="14"/>
    <x v="19"/>
    <s v="Credit Card"/>
  </r>
  <r>
    <x v="277"/>
    <x v="10"/>
    <x v="1093"/>
    <s v="&quot;CNR3731180&quot;"/>
    <x v="3"/>
    <s v="&quot;CID3771080&quot;"/>
    <x v="0"/>
    <x v="146"/>
    <s v="IMT Manesar"/>
    <x v="6"/>
    <s v="null"/>
    <s v="null"/>
    <s v="null"/>
    <n v="1"/>
    <s v="More than permitted people in there"/>
    <s v="null"/>
    <s v="null"/>
    <s v="null"/>
    <s v="null"/>
    <x v="0"/>
    <x v="0"/>
    <s v="null"/>
  </r>
  <r>
    <x v="147"/>
    <x v="0"/>
    <x v="1094"/>
    <s v="&quot;CNR6182286&quot;"/>
    <x v="2"/>
    <s v="&quot;CID6352567&quot;"/>
    <x v="3"/>
    <x v="52"/>
    <s v="Ashram"/>
    <x v="62"/>
    <n v="33.4"/>
    <s v="null"/>
    <s v="null"/>
    <s v="null"/>
    <s v="null"/>
    <s v="null"/>
    <s v="null"/>
    <n v="401"/>
    <n v="29.63"/>
    <x v="14"/>
    <x v="14"/>
    <s v="Debit Card"/>
  </r>
  <r>
    <x v="147"/>
    <x v="0"/>
    <x v="1095"/>
    <s v="&quot;CNR9359877&quot;"/>
    <x v="2"/>
    <s v="&quot;CID5125295&quot;"/>
    <x v="4"/>
    <x v="146"/>
    <s v="Udyog Vihar"/>
    <x v="74"/>
    <n v="24.7"/>
    <s v="null"/>
    <s v="null"/>
    <s v="null"/>
    <s v="null"/>
    <s v="null"/>
    <s v="null"/>
    <n v="333"/>
    <n v="42.74"/>
    <x v="14"/>
    <x v="14"/>
    <s v="UPI"/>
  </r>
  <r>
    <x v="64"/>
    <x v="7"/>
    <x v="1096"/>
    <s v="&quot;CNR6855361&quot;"/>
    <x v="2"/>
    <s v="&quot;CID2487666&quot;"/>
    <x v="5"/>
    <x v="137"/>
    <s v="Akshardham"/>
    <x v="77"/>
    <n v="23.2"/>
    <s v="null"/>
    <s v="null"/>
    <s v="null"/>
    <s v="null"/>
    <s v="null"/>
    <s v="null"/>
    <n v="491"/>
    <n v="40.47"/>
    <x v="2"/>
    <x v="10"/>
    <s v="Uber Wallet"/>
  </r>
  <r>
    <x v="267"/>
    <x v="10"/>
    <x v="1097"/>
    <s v="&quot;CNR4636041&quot;"/>
    <x v="1"/>
    <s v="&quot;CID1673362&quot;"/>
    <x v="3"/>
    <x v="34"/>
    <s v="Ghitorni"/>
    <x v="15"/>
    <n v="16"/>
    <s v="null"/>
    <s v="null"/>
    <s v="null"/>
    <s v="null"/>
    <n v="1"/>
    <s v="Customer Demand"/>
    <n v="408"/>
    <n v="11.22"/>
    <x v="0"/>
    <x v="0"/>
    <s v="Credit Card"/>
  </r>
  <r>
    <x v="129"/>
    <x v="2"/>
    <x v="1098"/>
    <s v="&quot;CNR4790339&quot;"/>
    <x v="3"/>
    <s v="&quot;CID6630984&quot;"/>
    <x v="0"/>
    <x v="146"/>
    <s v="Kanhaiya Nagar"/>
    <x v="57"/>
    <s v="null"/>
    <s v="null"/>
    <s v="null"/>
    <n v="1"/>
    <s v="The customer was coughing/sick"/>
    <s v="null"/>
    <s v="null"/>
    <s v="null"/>
    <s v="null"/>
    <x v="0"/>
    <x v="0"/>
    <s v="null"/>
  </r>
  <r>
    <x v="157"/>
    <x v="8"/>
    <x v="1099"/>
    <s v="&quot;CNR1362779&quot;"/>
    <x v="2"/>
    <s v="&quot;CID3411520&quot;"/>
    <x v="5"/>
    <x v="128"/>
    <s v="Khan Market"/>
    <x v="54"/>
    <n v="32.799999999999997"/>
    <s v="null"/>
    <s v="null"/>
    <s v="null"/>
    <s v="null"/>
    <s v="null"/>
    <s v="null"/>
    <n v="482"/>
    <n v="33.450000000000003"/>
    <x v="8"/>
    <x v="4"/>
    <s v="UPI"/>
  </r>
  <r>
    <x v="49"/>
    <x v="9"/>
    <x v="1100"/>
    <s v="&quot;CNR5510909&quot;"/>
    <x v="2"/>
    <s v="&quot;CID2429512&quot;"/>
    <x v="3"/>
    <x v="155"/>
    <s v="RK Puram"/>
    <x v="136"/>
    <n v="27.4"/>
    <s v="null"/>
    <s v="null"/>
    <s v="null"/>
    <s v="null"/>
    <s v="null"/>
    <s v="null"/>
    <n v="777"/>
    <n v="36.700000000000003"/>
    <x v="8"/>
    <x v="21"/>
    <s v="UPI"/>
  </r>
  <r>
    <x v="331"/>
    <x v="4"/>
    <x v="1101"/>
    <s v="&quot;CNR5740266&quot;"/>
    <x v="2"/>
    <s v="&quot;CID2202498&quot;"/>
    <x v="4"/>
    <x v="74"/>
    <s v="Vaishali"/>
    <x v="116"/>
    <n v="43.3"/>
    <s v="null"/>
    <s v="null"/>
    <s v="null"/>
    <s v="null"/>
    <s v="null"/>
    <s v="null"/>
    <n v="649"/>
    <n v="15.88"/>
    <x v="21"/>
    <x v="6"/>
    <s v="UPI"/>
  </r>
  <r>
    <x v="339"/>
    <x v="10"/>
    <x v="1102"/>
    <s v="&quot;CNR6304210&quot;"/>
    <x v="2"/>
    <s v="&quot;CID7004065&quot;"/>
    <x v="6"/>
    <x v="16"/>
    <s v="Udyog Bhawan"/>
    <x v="69"/>
    <n v="33.200000000000003"/>
    <s v="null"/>
    <s v="null"/>
    <s v="null"/>
    <s v="null"/>
    <s v="null"/>
    <s v="null"/>
    <n v="616"/>
    <n v="26.14"/>
    <x v="17"/>
    <x v="4"/>
    <s v="UPI"/>
  </r>
  <r>
    <x v="214"/>
    <x v="3"/>
    <x v="1103"/>
    <s v="&quot;CNR4764357&quot;"/>
    <x v="2"/>
    <s v="&quot;CID5332461&quot;"/>
    <x v="3"/>
    <x v="108"/>
    <s v="Yamuna Bank"/>
    <x v="68"/>
    <n v="25.4"/>
    <s v="null"/>
    <s v="null"/>
    <s v="null"/>
    <s v="null"/>
    <s v="null"/>
    <s v="null"/>
    <n v="304"/>
    <n v="17.22"/>
    <x v="2"/>
    <x v="6"/>
    <s v="Debit Card"/>
  </r>
  <r>
    <x v="227"/>
    <x v="6"/>
    <x v="1104"/>
    <s v="&quot;CNR4785403&quot;"/>
    <x v="2"/>
    <s v="&quot;CID5902697&quot;"/>
    <x v="0"/>
    <x v="58"/>
    <s v="Udyog Vihar Phase 4"/>
    <x v="61"/>
    <n v="27.6"/>
    <s v="null"/>
    <s v="null"/>
    <s v="null"/>
    <s v="null"/>
    <s v="null"/>
    <s v="null"/>
    <n v="119"/>
    <n v="13.99"/>
    <x v="14"/>
    <x v="6"/>
    <s v="UPI"/>
  </r>
  <r>
    <x v="227"/>
    <x v="6"/>
    <x v="1105"/>
    <s v="&quot;CNR4542629&quot;"/>
    <x v="4"/>
    <s v="&quot;CID3041962&quot;"/>
    <x v="3"/>
    <x v="37"/>
    <s v="Delhi Gate"/>
    <x v="121"/>
    <s v="null"/>
    <n v="1"/>
    <s v="Driver is not moving towards pickup location"/>
    <s v="null"/>
    <s v="null"/>
    <s v="null"/>
    <s v="null"/>
    <s v="null"/>
    <s v="null"/>
    <x v="0"/>
    <x v="0"/>
    <s v="null"/>
  </r>
  <r>
    <x v="22"/>
    <x v="5"/>
    <x v="1106"/>
    <s v="&quot;CNR8278867&quot;"/>
    <x v="2"/>
    <s v="&quot;CID3812415&quot;"/>
    <x v="2"/>
    <x v="8"/>
    <s v="Vasant Kunj"/>
    <x v="120"/>
    <n v="26.6"/>
    <s v="null"/>
    <s v="null"/>
    <s v="null"/>
    <s v="null"/>
    <s v="null"/>
    <s v="null"/>
    <n v="124"/>
    <n v="41.64"/>
    <x v="8"/>
    <x v="4"/>
    <s v="Debit Card"/>
  </r>
  <r>
    <x v="204"/>
    <x v="7"/>
    <x v="1107"/>
    <s v="&quot;CNR2802162&quot;"/>
    <x v="2"/>
    <s v="&quot;CID7137628&quot;"/>
    <x v="5"/>
    <x v="115"/>
    <s v="Kherki Daula Toll"/>
    <x v="2"/>
    <n v="31.1"/>
    <s v="null"/>
    <s v="null"/>
    <s v="null"/>
    <s v="null"/>
    <s v="null"/>
    <s v="null"/>
    <n v="319"/>
    <n v="39.03"/>
    <x v="10"/>
    <x v="8"/>
    <s v="UPI"/>
  </r>
  <r>
    <x v="60"/>
    <x v="0"/>
    <x v="1108"/>
    <s v="&quot;CNR7437280&quot;"/>
    <x v="3"/>
    <s v="&quot;CID4051507&quot;"/>
    <x v="2"/>
    <x v="166"/>
    <s v="Faridabad Sector 15"/>
    <x v="70"/>
    <s v="null"/>
    <s v="null"/>
    <s v="null"/>
    <n v="1"/>
    <s v="More than permitted people in there"/>
    <s v="null"/>
    <s v="null"/>
    <s v="null"/>
    <s v="null"/>
    <x v="0"/>
    <x v="0"/>
    <s v="null"/>
  </r>
  <r>
    <x v="238"/>
    <x v="11"/>
    <x v="1109"/>
    <s v="&quot;CNR3385883&quot;"/>
    <x v="2"/>
    <s v="&quot;CID2166972&quot;"/>
    <x v="5"/>
    <x v="133"/>
    <s v="Gurgaon Sector 56"/>
    <x v="4"/>
    <n v="35.4"/>
    <s v="null"/>
    <s v="null"/>
    <s v="null"/>
    <s v="null"/>
    <s v="null"/>
    <s v="null"/>
    <n v="86"/>
    <n v="45.52"/>
    <x v="14"/>
    <x v="4"/>
    <s v="Debit Card"/>
  </r>
  <r>
    <x v="346"/>
    <x v="7"/>
    <x v="1110"/>
    <s v="&quot;CNR5445374&quot;"/>
    <x v="2"/>
    <s v="&quot;CID1730965&quot;"/>
    <x v="4"/>
    <x v="26"/>
    <s v="Kashmere Gate"/>
    <x v="12"/>
    <n v="23.7"/>
    <s v="null"/>
    <s v="null"/>
    <s v="null"/>
    <s v="null"/>
    <s v="null"/>
    <s v="null"/>
    <n v="198"/>
    <n v="42.44"/>
    <x v="2"/>
    <x v="8"/>
    <s v="UPI"/>
  </r>
  <r>
    <x v="45"/>
    <x v="6"/>
    <x v="1111"/>
    <s v="&quot;CNR1648129&quot;"/>
    <x v="3"/>
    <s v="&quot;CID2058750&quot;"/>
    <x v="1"/>
    <x v="36"/>
    <s v="Azadpur"/>
    <x v="97"/>
    <s v="null"/>
    <s v="null"/>
    <s v="null"/>
    <n v="1"/>
    <s v="Customer related issue"/>
    <s v="null"/>
    <s v="null"/>
    <s v="null"/>
    <s v="null"/>
    <x v="0"/>
    <x v="0"/>
    <s v="null"/>
  </r>
  <r>
    <x v="318"/>
    <x v="3"/>
    <x v="1112"/>
    <s v="&quot;CNR9965366&quot;"/>
    <x v="2"/>
    <s v="&quot;CID2106484&quot;"/>
    <x v="0"/>
    <x v="13"/>
    <s v="Narsinghpur"/>
    <x v="114"/>
    <n v="22.2"/>
    <s v="null"/>
    <s v="null"/>
    <s v="null"/>
    <s v="null"/>
    <s v="null"/>
    <s v="null"/>
    <n v="377"/>
    <n v="40.01"/>
    <x v="18"/>
    <x v="9"/>
    <s v="UPI"/>
  </r>
  <r>
    <x v="13"/>
    <x v="4"/>
    <x v="1113"/>
    <s v="&quot;CNR1990837&quot;"/>
    <x v="2"/>
    <s v="&quot;CID2788415&quot;"/>
    <x v="2"/>
    <x v="69"/>
    <s v="Tughlakabad"/>
    <x v="6"/>
    <n v="30.4"/>
    <s v="null"/>
    <s v="null"/>
    <s v="null"/>
    <s v="null"/>
    <s v="null"/>
    <s v="null"/>
    <n v="229"/>
    <n v="40.270000000000003"/>
    <x v="5"/>
    <x v="7"/>
    <s v="Cash"/>
  </r>
  <r>
    <x v="239"/>
    <x v="4"/>
    <x v="1114"/>
    <s v="&quot;CNR5034715&quot;"/>
    <x v="1"/>
    <s v="&quot;CID3624779&quot;"/>
    <x v="5"/>
    <x v="163"/>
    <s v="Jama Masjid"/>
    <x v="6"/>
    <n v="18.3"/>
    <s v="null"/>
    <s v="null"/>
    <s v="null"/>
    <s v="null"/>
    <n v="1"/>
    <s v="Other Issue"/>
    <n v="865"/>
    <n v="11.78"/>
    <x v="0"/>
    <x v="0"/>
    <s v="UPI"/>
  </r>
  <r>
    <x v="192"/>
    <x v="11"/>
    <x v="1115"/>
    <s v="&quot;CNR2892299&quot;"/>
    <x v="2"/>
    <s v="&quot;CID4979310&quot;"/>
    <x v="5"/>
    <x v="100"/>
    <s v="Khandsa"/>
    <x v="31"/>
    <n v="25.9"/>
    <s v="null"/>
    <s v="null"/>
    <s v="null"/>
    <s v="null"/>
    <s v="null"/>
    <s v="null"/>
    <n v="300"/>
    <n v="18.059999999999999"/>
    <x v="3"/>
    <x v="6"/>
    <s v="Credit Card"/>
  </r>
  <r>
    <x v="86"/>
    <x v="0"/>
    <x v="1116"/>
    <s v="&quot;CNR3248907&quot;"/>
    <x v="2"/>
    <s v="&quot;CID3684089&quot;"/>
    <x v="2"/>
    <x v="137"/>
    <s v="Mandi House"/>
    <x v="58"/>
    <n v="30.6"/>
    <s v="null"/>
    <s v="null"/>
    <s v="null"/>
    <s v="null"/>
    <s v="null"/>
    <s v="null"/>
    <n v="285"/>
    <n v="48.15"/>
    <x v="6"/>
    <x v="1"/>
    <s v="Credit Card"/>
  </r>
  <r>
    <x v="347"/>
    <x v="4"/>
    <x v="1117"/>
    <s v="&quot;CNR8369327&quot;"/>
    <x v="2"/>
    <s v="&quot;CID8127113&quot;"/>
    <x v="5"/>
    <x v="130"/>
    <s v="Ghitorni"/>
    <x v="93"/>
    <n v="31.8"/>
    <s v="null"/>
    <s v="null"/>
    <s v="null"/>
    <s v="null"/>
    <s v="null"/>
    <s v="null"/>
    <n v="411"/>
    <n v="44.04"/>
    <x v="14"/>
    <x v="14"/>
    <s v="Cash"/>
  </r>
  <r>
    <x v="14"/>
    <x v="3"/>
    <x v="1118"/>
    <s v="&quot;CNR4031538&quot;"/>
    <x v="4"/>
    <s v="&quot;CID6739418&quot;"/>
    <x v="2"/>
    <x v="6"/>
    <s v="Gurgaon Sector 56"/>
    <x v="53"/>
    <s v="null"/>
    <n v="1"/>
    <s v="Wrong Address"/>
    <s v="null"/>
    <s v="null"/>
    <s v="null"/>
    <s v="null"/>
    <s v="null"/>
    <s v="null"/>
    <x v="0"/>
    <x v="0"/>
    <s v="null"/>
  </r>
  <r>
    <x v="269"/>
    <x v="9"/>
    <x v="1119"/>
    <s v="&quot;CNR1931320&quot;"/>
    <x v="2"/>
    <s v="&quot;CID5516242&quot;"/>
    <x v="0"/>
    <x v="134"/>
    <s v="Jasola"/>
    <x v="57"/>
    <n v="23.6"/>
    <s v="null"/>
    <s v="null"/>
    <s v="null"/>
    <s v="null"/>
    <s v="null"/>
    <s v="null"/>
    <n v="406"/>
    <n v="17.11"/>
    <x v="5"/>
    <x v="8"/>
    <s v="Cash"/>
  </r>
  <r>
    <x v="322"/>
    <x v="10"/>
    <x v="1120"/>
    <s v="&quot;CNR4641142&quot;"/>
    <x v="0"/>
    <s v="&quot;CID3158671&quot;"/>
    <x v="3"/>
    <x v="118"/>
    <s v="Saidulajab"/>
    <x v="0"/>
    <s v="null"/>
    <s v="null"/>
    <s v="null"/>
    <s v="null"/>
    <s v="null"/>
    <s v="null"/>
    <s v="null"/>
    <s v="null"/>
    <s v="null"/>
    <x v="0"/>
    <x v="0"/>
    <s v="null"/>
  </r>
  <r>
    <x v="35"/>
    <x v="9"/>
    <x v="1121"/>
    <s v="&quot;CNR9372443&quot;"/>
    <x v="2"/>
    <s v="&quot;CID7501871&quot;"/>
    <x v="5"/>
    <x v="104"/>
    <s v="Noida Extension"/>
    <x v="99"/>
    <n v="32.9"/>
    <s v="null"/>
    <s v="null"/>
    <s v="null"/>
    <s v="null"/>
    <s v="null"/>
    <s v="null"/>
    <n v="400"/>
    <n v="25.85"/>
    <x v="20"/>
    <x v="3"/>
    <s v="Credit Card"/>
  </r>
  <r>
    <x v="32"/>
    <x v="5"/>
    <x v="1122"/>
    <s v="&quot;CNR9256359&quot;"/>
    <x v="1"/>
    <s v="&quot;CID8953854&quot;"/>
    <x v="5"/>
    <x v="130"/>
    <s v="Ghaziabad"/>
    <x v="94"/>
    <n v="10.7"/>
    <s v="null"/>
    <s v="null"/>
    <s v="null"/>
    <s v="null"/>
    <n v="1"/>
    <s v="Other Issue"/>
    <n v="315"/>
    <n v="13.73"/>
    <x v="0"/>
    <x v="0"/>
    <s v="UPI"/>
  </r>
  <r>
    <x v="111"/>
    <x v="2"/>
    <x v="1123"/>
    <s v="&quot;CNR6429493&quot;"/>
    <x v="3"/>
    <s v="&quot;CID9957540&quot;"/>
    <x v="6"/>
    <x v="143"/>
    <s v="Gurgaon Sector 56"/>
    <x v="47"/>
    <s v="null"/>
    <s v="null"/>
    <s v="null"/>
    <n v="1"/>
    <s v="The customer was coughing/sick"/>
    <s v="null"/>
    <s v="null"/>
    <s v="null"/>
    <s v="null"/>
    <x v="0"/>
    <x v="0"/>
    <s v="null"/>
  </r>
  <r>
    <x v="132"/>
    <x v="5"/>
    <x v="1124"/>
    <s v="&quot;CNR4194098&quot;"/>
    <x v="2"/>
    <s v="&quot;CID2914610&quot;"/>
    <x v="1"/>
    <x v="60"/>
    <s v="India Gate"/>
    <x v="64"/>
    <n v="42.5"/>
    <s v="null"/>
    <s v="null"/>
    <s v="null"/>
    <s v="null"/>
    <s v="null"/>
    <s v="null"/>
    <n v="187"/>
    <n v="45.78"/>
    <x v="2"/>
    <x v="10"/>
    <s v="UPI"/>
  </r>
  <r>
    <x v="118"/>
    <x v="7"/>
    <x v="1125"/>
    <s v="&quot;CNR1282969&quot;"/>
    <x v="2"/>
    <s v="&quot;CID7750154&quot;"/>
    <x v="2"/>
    <x v="31"/>
    <s v="Sarojini Nagar"/>
    <x v="128"/>
    <n v="25.2"/>
    <s v="null"/>
    <s v="null"/>
    <s v="null"/>
    <s v="null"/>
    <s v="null"/>
    <s v="null"/>
    <n v="166"/>
    <n v="7.81"/>
    <x v="8"/>
    <x v="6"/>
    <s v="UPI"/>
  </r>
  <r>
    <x v="24"/>
    <x v="2"/>
    <x v="1126"/>
    <s v="&quot;CNR2448512&quot;"/>
    <x v="2"/>
    <s v="&quot;CID3737693&quot;"/>
    <x v="3"/>
    <x v="166"/>
    <s v="Qutub Minar"/>
    <x v="16"/>
    <n v="28.2"/>
    <s v="null"/>
    <s v="null"/>
    <s v="null"/>
    <s v="null"/>
    <s v="null"/>
    <s v="null"/>
    <n v="221"/>
    <n v="27.16"/>
    <x v="8"/>
    <x v="12"/>
    <s v="UPI"/>
  </r>
  <r>
    <x v="282"/>
    <x v="11"/>
    <x v="1127"/>
    <s v="&quot;CNR8842621&quot;"/>
    <x v="2"/>
    <s v="&quot;CID8490992&quot;"/>
    <x v="5"/>
    <x v="56"/>
    <s v="Vidhan Sabha"/>
    <x v="117"/>
    <n v="18.100000000000001"/>
    <s v="null"/>
    <s v="null"/>
    <s v="null"/>
    <s v="null"/>
    <s v="null"/>
    <s v="null"/>
    <n v="832"/>
    <n v="3.41"/>
    <x v="6"/>
    <x v="4"/>
    <s v="UPI"/>
  </r>
  <r>
    <x v="272"/>
    <x v="1"/>
    <x v="1128"/>
    <s v="&quot;CNR4083802&quot;"/>
    <x v="2"/>
    <s v="&quot;CID8084093&quot;"/>
    <x v="1"/>
    <x v="8"/>
    <s v="Ashok Vihar"/>
    <x v="22"/>
    <n v="27.5"/>
    <s v="null"/>
    <s v="null"/>
    <s v="null"/>
    <s v="null"/>
    <s v="null"/>
    <s v="null"/>
    <n v="855"/>
    <n v="24.18"/>
    <x v="14"/>
    <x v="14"/>
    <s v="UPI"/>
  </r>
  <r>
    <x v="61"/>
    <x v="0"/>
    <x v="1129"/>
    <s v="&quot;CNR8860563&quot;"/>
    <x v="2"/>
    <s v="&quot;CID4960065&quot;"/>
    <x v="3"/>
    <x v="141"/>
    <s v="Sikanderpur"/>
    <x v="109"/>
    <n v="27.5"/>
    <s v="null"/>
    <s v="null"/>
    <s v="null"/>
    <s v="null"/>
    <s v="null"/>
    <s v="null"/>
    <n v="528"/>
    <n v="39.51"/>
    <x v="4"/>
    <x v="3"/>
    <s v="Uber Wallet"/>
  </r>
  <r>
    <x v="269"/>
    <x v="9"/>
    <x v="1130"/>
    <s v="&quot;CNR4065157&quot;"/>
    <x v="2"/>
    <s v="&quot;CID7828273&quot;"/>
    <x v="2"/>
    <x v="153"/>
    <s v="Punjabi Bagh"/>
    <x v="16"/>
    <n v="41.5"/>
    <s v="null"/>
    <s v="null"/>
    <s v="null"/>
    <s v="null"/>
    <s v="null"/>
    <s v="null"/>
    <n v="869"/>
    <n v="28.97"/>
    <x v="3"/>
    <x v="6"/>
    <s v="UPI"/>
  </r>
  <r>
    <x v="328"/>
    <x v="7"/>
    <x v="1131"/>
    <s v="&quot;CNR8924549&quot;"/>
    <x v="2"/>
    <s v="&quot;CID3674208&quot;"/>
    <x v="5"/>
    <x v="70"/>
    <s v="Adarsh Nagar"/>
    <x v="14"/>
    <n v="20.399999999999999"/>
    <s v="null"/>
    <s v="null"/>
    <s v="null"/>
    <s v="null"/>
    <s v="null"/>
    <s v="null"/>
    <n v="445"/>
    <n v="19.86"/>
    <x v="3"/>
    <x v="4"/>
    <s v="UPI"/>
  </r>
  <r>
    <x v="266"/>
    <x v="9"/>
    <x v="1132"/>
    <s v="&quot;CNR5204972&quot;"/>
    <x v="3"/>
    <s v="&quot;CID3125304&quot;"/>
    <x v="1"/>
    <x v="60"/>
    <s v="Ashok Vihar"/>
    <x v="62"/>
    <s v="null"/>
    <s v="null"/>
    <s v="null"/>
    <n v="1"/>
    <s v="The customer was coughing/sick"/>
    <s v="null"/>
    <s v="null"/>
    <s v="null"/>
    <s v="null"/>
    <x v="0"/>
    <x v="0"/>
    <s v="null"/>
  </r>
  <r>
    <x v="244"/>
    <x v="8"/>
    <x v="1133"/>
    <s v="&quot;CNR5375834&quot;"/>
    <x v="3"/>
    <s v="&quot;CID3954735&quot;"/>
    <x v="5"/>
    <x v="151"/>
    <s v="Welcome"/>
    <x v="107"/>
    <s v="null"/>
    <s v="null"/>
    <s v="null"/>
    <n v="1"/>
    <s v="Personal &amp; Car related issues"/>
    <s v="null"/>
    <s v="null"/>
    <s v="null"/>
    <s v="null"/>
    <x v="0"/>
    <x v="0"/>
    <s v="null"/>
  </r>
  <r>
    <x v="281"/>
    <x v="1"/>
    <x v="1134"/>
    <s v="&quot;CNR1363917&quot;"/>
    <x v="0"/>
    <s v="&quot;CID7018987&quot;"/>
    <x v="0"/>
    <x v="92"/>
    <s v="RK Puram"/>
    <x v="0"/>
    <s v="null"/>
    <s v="null"/>
    <s v="null"/>
    <s v="null"/>
    <s v="null"/>
    <s v="null"/>
    <s v="null"/>
    <s v="null"/>
    <s v="null"/>
    <x v="0"/>
    <x v="0"/>
    <s v="null"/>
  </r>
  <r>
    <x v="173"/>
    <x v="4"/>
    <x v="1135"/>
    <s v="&quot;CNR2163400&quot;"/>
    <x v="1"/>
    <s v="&quot;CID3016035&quot;"/>
    <x v="3"/>
    <x v="46"/>
    <s v="Dwarka Sector 21"/>
    <x v="80"/>
    <n v="24.8"/>
    <s v="null"/>
    <s v="null"/>
    <s v="null"/>
    <s v="null"/>
    <n v="1"/>
    <s v="Vehicle Breakdown"/>
    <n v="849"/>
    <n v="13.31"/>
    <x v="0"/>
    <x v="0"/>
    <s v="Credit Card"/>
  </r>
  <r>
    <x v="165"/>
    <x v="2"/>
    <x v="1136"/>
    <s v="&quot;CNR4743276&quot;"/>
    <x v="2"/>
    <s v="&quot;CID7689074&quot;"/>
    <x v="5"/>
    <x v="74"/>
    <s v="Raj Nagar Extension"/>
    <x v="3"/>
    <n v="23.9"/>
    <s v="null"/>
    <s v="null"/>
    <s v="null"/>
    <s v="null"/>
    <s v="null"/>
    <s v="null"/>
    <n v="1267"/>
    <n v="46.24"/>
    <x v="12"/>
    <x v="4"/>
    <s v="UPI"/>
  </r>
  <r>
    <x v="12"/>
    <x v="6"/>
    <x v="1137"/>
    <s v="&quot;CNR4086024&quot;"/>
    <x v="2"/>
    <s v="&quot;CID3851083&quot;"/>
    <x v="4"/>
    <x v="174"/>
    <s v="Yamuna Bank"/>
    <x v="91"/>
    <n v="20.100000000000001"/>
    <s v="null"/>
    <s v="null"/>
    <s v="null"/>
    <s v="null"/>
    <s v="null"/>
    <s v="null"/>
    <n v="428"/>
    <n v="20.37"/>
    <x v="14"/>
    <x v="12"/>
    <s v="Uber Wallet"/>
  </r>
  <r>
    <x v="297"/>
    <x v="3"/>
    <x v="1138"/>
    <s v="&quot;CNR5063044&quot;"/>
    <x v="3"/>
    <s v="&quot;CID6199612&quot;"/>
    <x v="2"/>
    <x v="47"/>
    <s v="Subhash Nagar"/>
    <x v="17"/>
    <s v="null"/>
    <s v="null"/>
    <s v="null"/>
    <n v="1"/>
    <s v="The customer was coughing/sick"/>
    <s v="null"/>
    <s v="null"/>
    <s v="null"/>
    <s v="null"/>
    <x v="0"/>
    <x v="0"/>
    <s v="null"/>
  </r>
  <r>
    <x v="258"/>
    <x v="11"/>
    <x v="1139"/>
    <s v="&quot;CNR2695805&quot;"/>
    <x v="2"/>
    <s v="&quot;CID8486542&quot;"/>
    <x v="3"/>
    <x v="123"/>
    <s v="Shivaji Park"/>
    <x v="64"/>
    <n v="41.4"/>
    <s v="null"/>
    <s v="null"/>
    <s v="null"/>
    <s v="null"/>
    <s v="null"/>
    <s v="null"/>
    <n v="324"/>
    <n v="19.13"/>
    <x v="12"/>
    <x v="4"/>
    <s v="Uber Wallet"/>
  </r>
  <r>
    <x v="50"/>
    <x v="0"/>
    <x v="1140"/>
    <s v="&quot;CNR1586231&quot;"/>
    <x v="2"/>
    <s v="&quot;CID9858226&quot;"/>
    <x v="1"/>
    <x v="0"/>
    <s v="Moolchand"/>
    <x v="58"/>
    <n v="36.5"/>
    <s v="null"/>
    <s v="null"/>
    <s v="null"/>
    <s v="null"/>
    <s v="null"/>
    <s v="null"/>
    <n v="89"/>
    <n v="30.85"/>
    <x v="15"/>
    <x v="4"/>
    <s v="Credit Card"/>
  </r>
  <r>
    <x v="173"/>
    <x v="4"/>
    <x v="1141"/>
    <s v="&quot;CNR3409271&quot;"/>
    <x v="2"/>
    <s v="&quot;CID8598402&quot;"/>
    <x v="5"/>
    <x v="139"/>
    <s v="MG Road"/>
    <x v="56"/>
    <n v="20.7"/>
    <s v="null"/>
    <s v="null"/>
    <s v="null"/>
    <s v="null"/>
    <s v="null"/>
    <s v="null"/>
    <n v="898"/>
    <n v="34.42"/>
    <x v="21"/>
    <x v="1"/>
    <s v="UPI"/>
  </r>
  <r>
    <x v="163"/>
    <x v="10"/>
    <x v="1142"/>
    <s v="&quot;CNR8876033&quot;"/>
    <x v="2"/>
    <s v="&quot;CID8559952&quot;"/>
    <x v="5"/>
    <x v="78"/>
    <s v="Mayur Vihar"/>
    <x v="78"/>
    <n v="38"/>
    <s v="null"/>
    <s v="null"/>
    <s v="null"/>
    <s v="null"/>
    <s v="null"/>
    <s v="null"/>
    <n v="855"/>
    <n v="6.11"/>
    <x v="8"/>
    <x v="6"/>
    <s v="Cash"/>
  </r>
  <r>
    <x v="145"/>
    <x v="7"/>
    <x v="1143"/>
    <s v="&quot;CNR5745393&quot;"/>
    <x v="1"/>
    <s v="&quot;CID4805616&quot;"/>
    <x v="5"/>
    <x v="18"/>
    <s v="Mehrauli"/>
    <x v="26"/>
    <n v="21.1"/>
    <s v="null"/>
    <s v="null"/>
    <s v="null"/>
    <s v="null"/>
    <n v="1"/>
    <s v="Other Issue"/>
    <n v="494"/>
    <n v="2.97"/>
    <x v="0"/>
    <x v="0"/>
    <s v="Debit Card"/>
  </r>
  <r>
    <x v="11"/>
    <x v="4"/>
    <x v="1144"/>
    <s v="&quot;CNR4760449&quot;"/>
    <x v="2"/>
    <s v="&quot;CID2823760&quot;"/>
    <x v="3"/>
    <x v="6"/>
    <s v="Panipat"/>
    <x v="53"/>
    <n v="30.1"/>
    <s v="null"/>
    <s v="null"/>
    <s v="null"/>
    <s v="null"/>
    <s v="null"/>
    <s v="null"/>
    <n v="821"/>
    <n v="33.72"/>
    <x v="6"/>
    <x v="1"/>
    <s v="Uber Wallet"/>
  </r>
  <r>
    <x v="348"/>
    <x v="6"/>
    <x v="1145"/>
    <s v="&quot;CNR3766529&quot;"/>
    <x v="4"/>
    <s v="&quot;CID7083860&quot;"/>
    <x v="2"/>
    <x v="37"/>
    <s v="RK Puram"/>
    <x v="148"/>
    <s v="null"/>
    <n v="1"/>
    <s v="Wrong Address"/>
    <s v="null"/>
    <s v="null"/>
    <s v="null"/>
    <s v="null"/>
    <s v="null"/>
    <s v="null"/>
    <x v="0"/>
    <x v="0"/>
    <s v="null"/>
  </r>
  <r>
    <x v="326"/>
    <x v="3"/>
    <x v="1146"/>
    <s v="&quot;CNR5133492&quot;"/>
    <x v="3"/>
    <s v="&quot;CID1145516&quot;"/>
    <x v="2"/>
    <x v="145"/>
    <s v="Tilak Nagar"/>
    <x v="35"/>
    <s v="null"/>
    <s v="null"/>
    <s v="null"/>
    <n v="1"/>
    <s v="Personal &amp; Car related issues"/>
    <s v="null"/>
    <s v="null"/>
    <s v="null"/>
    <s v="null"/>
    <x v="0"/>
    <x v="0"/>
    <s v="null"/>
  </r>
  <r>
    <x v="325"/>
    <x v="5"/>
    <x v="1147"/>
    <s v="&quot;CNR7831079&quot;"/>
    <x v="2"/>
    <s v="&quot;CID5660745&quot;"/>
    <x v="0"/>
    <x v="27"/>
    <s v="Malviya Nagar"/>
    <x v="126"/>
    <n v="24.8"/>
    <s v="null"/>
    <s v="null"/>
    <s v="null"/>
    <s v="null"/>
    <s v="null"/>
    <s v="null"/>
    <n v="371"/>
    <n v="42.86"/>
    <x v="14"/>
    <x v="4"/>
    <s v="UPI"/>
  </r>
  <r>
    <x v="349"/>
    <x v="1"/>
    <x v="1148"/>
    <s v="&quot;CNR1918071&quot;"/>
    <x v="2"/>
    <s v="&quot;CID9391046&quot;"/>
    <x v="5"/>
    <x v="8"/>
    <s v="Hero Honda Chowk"/>
    <x v="9"/>
    <n v="17"/>
    <s v="null"/>
    <s v="null"/>
    <s v="null"/>
    <s v="null"/>
    <s v="null"/>
    <s v="null"/>
    <n v="503"/>
    <n v="26.78"/>
    <x v="12"/>
    <x v="3"/>
    <s v="Credit Card"/>
  </r>
  <r>
    <x v="347"/>
    <x v="4"/>
    <x v="1149"/>
    <s v="&quot;CNR7845680&quot;"/>
    <x v="2"/>
    <s v="&quot;CID5618918&quot;"/>
    <x v="1"/>
    <x v="12"/>
    <s v="Udyog Bhawan"/>
    <x v="74"/>
    <n v="32"/>
    <s v="null"/>
    <s v="null"/>
    <s v="null"/>
    <s v="null"/>
    <s v="null"/>
    <s v="null"/>
    <n v="664"/>
    <n v="15.41"/>
    <x v="1"/>
    <x v="7"/>
    <s v="Cash"/>
  </r>
  <r>
    <x v="233"/>
    <x v="2"/>
    <x v="1150"/>
    <s v="&quot;CNR1370763&quot;"/>
    <x v="0"/>
    <s v="&quot;CID3460596&quot;"/>
    <x v="2"/>
    <x v="29"/>
    <s v="Ardee City"/>
    <x v="0"/>
    <s v="null"/>
    <s v="null"/>
    <s v="null"/>
    <s v="null"/>
    <s v="null"/>
    <s v="null"/>
    <s v="null"/>
    <s v="null"/>
    <s v="null"/>
    <x v="0"/>
    <x v="0"/>
    <s v="null"/>
  </r>
  <r>
    <x v="289"/>
    <x v="0"/>
    <x v="1151"/>
    <s v="&quot;CNR6115856&quot;"/>
    <x v="3"/>
    <s v="&quot;CID7934261&quot;"/>
    <x v="2"/>
    <x v="120"/>
    <s v="Govindpuri"/>
    <x v="137"/>
    <s v="null"/>
    <s v="null"/>
    <s v="null"/>
    <n v="1"/>
    <s v="Customer related issue"/>
    <s v="null"/>
    <s v="null"/>
    <s v="null"/>
    <s v="null"/>
    <x v="0"/>
    <x v="0"/>
    <s v="null"/>
  </r>
  <r>
    <x v="313"/>
    <x v="2"/>
    <x v="1152"/>
    <s v="&quot;CNR1501051&quot;"/>
    <x v="3"/>
    <s v="&quot;CID7576837&quot;"/>
    <x v="4"/>
    <x v="79"/>
    <s v="Ardee City"/>
    <x v="104"/>
    <s v="null"/>
    <s v="null"/>
    <s v="null"/>
    <n v="1"/>
    <s v="The customer was coughing/sick"/>
    <s v="null"/>
    <s v="null"/>
    <s v="null"/>
    <s v="null"/>
    <x v="0"/>
    <x v="0"/>
    <s v="null"/>
  </r>
  <r>
    <x v="108"/>
    <x v="2"/>
    <x v="1153"/>
    <s v="&quot;CNR2711067&quot;"/>
    <x v="2"/>
    <s v="&quot;CID2346632&quot;"/>
    <x v="2"/>
    <x v="94"/>
    <s v="Pataudi Chowk"/>
    <x v="48"/>
    <n v="37.4"/>
    <s v="null"/>
    <s v="null"/>
    <s v="null"/>
    <s v="null"/>
    <s v="null"/>
    <s v="null"/>
    <n v="259"/>
    <n v="40.299999999999997"/>
    <x v="2"/>
    <x v="14"/>
    <s v="UPI"/>
  </r>
  <r>
    <x v="2"/>
    <x v="2"/>
    <x v="1154"/>
    <s v="&quot;CNR7515327&quot;"/>
    <x v="2"/>
    <s v="&quot;CID5012342&quot;"/>
    <x v="5"/>
    <x v="34"/>
    <s v="IGI Airport"/>
    <x v="116"/>
    <n v="29.5"/>
    <s v="null"/>
    <s v="null"/>
    <s v="null"/>
    <s v="null"/>
    <s v="null"/>
    <s v="null"/>
    <n v="161"/>
    <n v="49.38"/>
    <x v="8"/>
    <x v="12"/>
    <s v="UPI"/>
  </r>
  <r>
    <x v="54"/>
    <x v="9"/>
    <x v="1155"/>
    <s v="&quot;CNR2286625&quot;"/>
    <x v="2"/>
    <s v="&quot;CID3500853&quot;"/>
    <x v="1"/>
    <x v="108"/>
    <s v="Karkarduma"/>
    <x v="9"/>
    <n v="25.2"/>
    <s v="null"/>
    <s v="null"/>
    <s v="null"/>
    <s v="null"/>
    <s v="null"/>
    <s v="null"/>
    <n v="230"/>
    <n v="21.07"/>
    <x v="2"/>
    <x v="7"/>
    <s v="Credit Card"/>
  </r>
  <r>
    <x v="333"/>
    <x v="1"/>
    <x v="1156"/>
    <s v="&quot;CNR3188026&quot;"/>
    <x v="1"/>
    <s v="&quot;CID9149724&quot;"/>
    <x v="3"/>
    <x v="163"/>
    <s v="Adarsh Nagar"/>
    <x v="5"/>
    <n v="18.600000000000001"/>
    <s v="null"/>
    <s v="null"/>
    <s v="null"/>
    <s v="null"/>
    <n v="1"/>
    <s v="Other Issue"/>
    <n v="301"/>
    <n v="17"/>
    <x v="0"/>
    <x v="0"/>
    <s v="UPI"/>
  </r>
  <r>
    <x v="254"/>
    <x v="5"/>
    <x v="1157"/>
    <s v="&quot;CNR7969903&quot;"/>
    <x v="3"/>
    <s v="&quot;CID5405393&quot;"/>
    <x v="4"/>
    <x v="1"/>
    <s v="RK Puram"/>
    <x v="120"/>
    <s v="null"/>
    <s v="null"/>
    <s v="null"/>
    <n v="1"/>
    <s v="The customer was coughing/sick"/>
    <s v="null"/>
    <s v="null"/>
    <s v="null"/>
    <s v="null"/>
    <x v="0"/>
    <x v="0"/>
    <s v="null"/>
  </r>
  <r>
    <x v="181"/>
    <x v="0"/>
    <x v="1158"/>
    <s v="&quot;CNR8373252&quot;"/>
    <x v="2"/>
    <s v="&quot;CID8974140&quot;"/>
    <x v="4"/>
    <x v="28"/>
    <s v="Ashok Park Main"/>
    <x v="119"/>
    <n v="44.5"/>
    <s v="null"/>
    <s v="null"/>
    <s v="null"/>
    <s v="null"/>
    <s v="null"/>
    <s v="null"/>
    <n v="91"/>
    <n v="27.72"/>
    <x v="6"/>
    <x v="1"/>
    <s v="Uber Wallet"/>
  </r>
  <r>
    <x v="69"/>
    <x v="1"/>
    <x v="1159"/>
    <s v="&quot;CNR9166609&quot;"/>
    <x v="4"/>
    <s v="&quot;CID3533817&quot;"/>
    <x v="2"/>
    <x v="83"/>
    <s v="Moolchand"/>
    <x v="126"/>
    <s v="null"/>
    <n v="1"/>
    <s v="Wrong Address"/>
    <s v="null"/>
    <s v="null"/>
    <s v="null"/>
    <s v="null"/>
    <s v="null"/>
    <s v="null"/>
    <x v="0"/>
    <x v="0"/>
    <s v="null"/>
  </r>
  <r>
    <x v="315"/>
    <x v="1"/>
    <x v="1160"/>
    <s v="&quot;CNR1935956&quot;"/>
    <x v="2"/>
    <s v="&quot;CID9140298&quot;"/>
    <x v="3"/>
    <x v="19"/>
    <s v="Badarpur"/>
    <x v="61"/>
    <n v="31.6"/>
    <s v="null"/>
    <s v="null"/>
    <s v="null"/>
    <s v="null"/>
    <s v="null"/>
    <s v="null"/>
    <n v="152"/>
    <n v="26.81"/>
    <x v="3"/>
    <x v="3"/>
    <s v="Credit Card"/>
  </r>
  <r>
    <x v="37"/>
    <x v="5"/>
    <x v="1161"/>
    <s v="&quot;CNR5659221&quot;"/>
    <x v="2"/>
    <s v="&quot;CID7389969&quot;"/>
    <x v="2"/>
    <x v="137"/>
    <s v="Ramesh Nagar"/>
    <x v="3"/>
    <n v="27.8"/>
    <s v="null"/>
    <s v="null"/>
    <s v="null"/>
    <s v="null"/>
    <s v="null"/>
    <s v="null"/>
    <n v="408"/>
    <n v="4.17"/>
    <x v="10"/>
    <x v="3"/>
    <s v="UPI"/>
  </r>
  <r>
    <x v="143"/>
    <x v="7"/>
    <x v="1162"/>
    <s v="&quot;CNR8474273&quot;"/>
    <x v="2"/>
    <s v="&quot;CID3360451&quot;"/>
    <x v="1"/>
    <x v="24"/>
    <s v="Kaushambi"/>
    <x v="125"/>
    <n v="29.7"/>
    <s v="null"/>
    <s v="null"/>
    <s v="null"/>
    <s v="null"/>
    <s v="null"/>
    <s v="null"/>
    <n v="713"/>
    <n v="12.72"/>
    <x v="13"/>
    <x v="12"/>
    <s v="Cash"/>
  </r>
  <r>
    <x v="350"/>
    <x v="5"/>
    <x v="1163"/>
    <s v="&quot;CNR1279739&quot;"/>
    <x v="3"/>
    <s v="&quot;CID5138488&quot;"/>
    <x v="5"/>
    <x v="55"/>
    <s v="Seelampur"/>
    <x v="111"/>
    <s v="null"/>
    <s v="null"/>
    <s v="null"/>
    <n v="1"/>
    <s v="Personal &amp; Car related issues"/>
    <s v="null"/>
    <s v="null"/>
    <s v="null"/>
    <s v="null"/>
    <x v="0"/>
    <x v="0"/>
    <s v="null"/>
  </r>
  <r>
    <x v="40"/>
    <x v="10"/>
    <x v="1164"/>
    <s v="&quot;CNR4613271&quot;"/>
    <x v="2"/>
    <s v="&quot;CID7247748&quot;"/>
    <x v="3"/>
    <x v="74"/>
    <s v="Raj Nagar Extension"/>
    <x v="94"/>
    <n v="37.799999999999997"/>
    <s v="null"/>
    <s v="null"/>
    <s v="null"/>
    <s v="null"/>
    <s v="null"/>
    <s v="null"/>
    <n v="275"/>
    <n v="48.78"/>
    <x v="20"/>
    <x v="3"/>
    <s v="Credit Card"/>
  </r>
  <r>
    <x v="35"/>
    <x v="9"/>
    <x v="1165"/>
    <s v="&quot;CNR1846576&quot;"/>
    <x v="2"/>
    <s v="&quot;CID1498694&quot;"/>
    <x v="3"/>
    <x v="58"/>
    <s v="Paharganj"/>
    <x v="116"/>
    <n v="33.5"/>
    <s v="null"/>
    <s v="null"/>
    <s v="null"/>
    <s v="null"/>
    <s v="null"/>
    <s v="null"/>
    <n v="245"/>
    <n v="48.48"/>
    <x v="5"/>
    <x v="10"/>
    <s v="UPI"/>
  </r>
  <r>
    <x v="262"/>
    <x v="5"/>
    <x v="1166"/>
    <s v="&quot;CNR2689700&quot;"/>
    <x v="2"/>
    <s v="&quot;CID1448742&quot;"/>
    <x v="5"/>
    <x v="101"/>
    <s v="Vatika Chowk"/>
    <x v="110"/>
    <n v="15.8"/>
    <s v="null"/>
    <s v="null"/>
    <s v="null"/>
    <s v="null"/>
    <s v="null"/>
    <s v="null"/>
    <n v="496"/>
    <n v="35.380000000000003"/>
    <x v="18"/>
    <x v="13"/>
    <s v="UPI"/>
  </r>
  <r>
    <x v="127"/>
    <x v="1"/>
    <x v="1167"/>
    <s v="&quot;CNR4825679&quot;"/>
    <x v="2"/>
    <s v="&quot;CID4709121&quot;"/>
    <x v="0"/>
    <x v="146"/>
    <s v="Subhash Nagar"/>
    <x v="88"/>
    <n v="32.299999999999997"/>
    <s v="null"/>
    <s v="null"/>
    <s v="null"/>
    <s v="null"/>
    <s v="null"/>
    <s v="null"/>
    <n v="1544"/>
    <n v="20.2"/>
    <x v="6"/>
    <x v="19"/>
    <s v="UPI"/>
  </r>
  <r>
    <x v="138"/>
    <x v="9"/>
    <x v="1168"/>
    <s v="&quot;CNR5766161&quot;"/>
    <x v="2"/>
    <s v="&quot;CID4882423&quot;"/>
    <x v="5"/>
    <x v="138"/>
    <s v="Mayur Vihar"/>
    <x v="116"/>
    <n v="15.5"/>
    <s v="null"/>
    <s v="null"/>
    <s v="null"/>
    <s v="null"/>
    <s v="null"/>
    <s v="null"/>
    <n v="392"/>
    <n v="40.53"/>
    <x v="14"/>
    <x v="12"/>
    <s v="UPI"/>
  </r>
  <r>
    <x v="170"/>
    <x v="9"/>
    <x v="1169"/>
    <s v="&quot;CNR8703209&quot;"/>
    <x v="2"/>
    <s v="&quot;CID1396836&quot;"/>
    <x v="5"/>
    <x v="55"/>
    <s v="Vishwavidyalaya"/>
    <x v="137"/>
    <n v="22.2"/>
    <s v="null"/>
    <s v="null"/>
    <s v="null"/>
    <s v="null"/>
    <s v="null"/>
    <s v="null"/>
    <n v="90"/>
    <n v="26.1"/>
    <x v="10"/>
    <x v="1"/>
    <s v="Cash"/>
  </r>
  <r>
    <x v="152"/>
    <x v="1"/>
    <x v="1170"/>
    <s v="&quot;CNR3578253&quot;"/>
    <x v="2"/>
    <s v="&quot;CID2458793&quot;"/>
    <x v="1"/>
    <x v="145"/>
    <s v="IFFCO Chowk"/>
    <x v="149"/>
    <n v="35.4"/>
    <s v="null"/>
    <s v="null"/>
    <s v="null"/>
    <s v="null"/>
    <s v="null"/>
    <s v="null"/>
    <n v="363"/>
    <n v="9.16"/>
    <x v="14"/>
    <x v="1"/>
    <s v="Uber Wallet"/>
  </r>
  <r>
    <x v="10"/>
    <x v="6"/>
    <x v="1171"/>
    <s v="&quot;CNR7204316&quot;"/>
    <x v="2"/>
    <s v="&quot;CID9883071&quot;"/>
    <x v="4"/>
    <x v="75"/>
    <s v="Ashok Park Main"/>
    <x v="131"/>
    <n v="40.1"/>
    <s v="null"/>
    <s v="null"/>
    <s v="null"/>
    <s v="null"/>
    <s v="null"/>
    <s v="null"/>
    <n v="371"/>
    <n v="36.159999999999997"/>
    <x v="13"/>
    <x v="4"/>
    <s v="UPI"/>
  </r>
  <r>
    <x v="123"/>
    <x v="1"/>
    <x v="1172"/>
    <s v="&quot;CNR9612899&quot;"/>
    <x v="3"/>
    <s v="&quot;CID4773093&quot;"/>
    <x v="5"/>
    <x v="99"/>
    <s v="Rohini West"/>
    <x v="17"/>
    <s v="null"/>
    <s v="null"/>
    <s v="null"/>
    <n v="1"/>
    <s v="The customer was coughing/sick"/>
    <s v="null"/>
    <s v="null"/>
    <s v="null"/>
    <s v="null"/>
    <x v="0"/>
    <x v="0"/>
    <s v="null"/>
  </r>
  <r>
    <x v="235"/>
    <x v="7"/>
    <x v="1173"/>
    <s v="&quot;CNR9097201&quot;"/>
    <x v="2"/>
    <s v="&quot;CID6570391&quot;"/>
    <x v="2"/>
    <x v="51"/>
    <s v="Mansarovar Park"/>
    <x v="95"/>
    <n v="37.799999999999997"/>
    <s v="null"/>
    <s v="null"/>
    <s v="null"/>
    <s v="null"/>
    <s v="null"/>
    <s v="null"/>
    <n v="740"/>
    <n v="47.44"/>
    <x v="2"/>
    <x v="6"/>
    <s v="UPI"/>
  </r>
  <r>
    <x v="286"/>
    <x v="2"/>
    <x v="1174"/>
    <s v="&quot;CNR8358204&quot;"/>
    <x v="2"/>
    <s v="&quot;CID2994001&quot;"/>
    <x v="3"/>
    <x v="103"/>
    <s v="Sohna Road"/>
    <x v="81"/>
    <n v="22"/>
    <s v="null"/>
    <s v="null"/>
    <s v="null"/>
    <s v="null"/>
    <s v="null"/>
    <s v="null"/>
    <n v="1029"/>
    <n v="34.51"/>
    <x v="9"/>
    <x v="8"/>
    <s v="Uber Wallet"/>
  </r>
  <r>
    <x v="240"/>
    <x v="2"/>
    <x v="1175"/>
    <s v="&quot;CNR4435906&quot;"/>
    <x v="4"/>
    <s v="&quot;CID5907798&quot;"/>
    <x v="3"/>
    <x v="17"/>
    <s v="Inderlok"/>
    <x v="8"/>
    <s v="null"/>
    <n v="1"/>
    <s v="Change of plans"/>
    <s v="null"/>
    <s v="null"/>
    <s v="null"/>
    <s v="null"/>
    <s v="null"/>
    <s v="null"/>
    <x v="0"/>
    <x v="0"/>
    <s v="null"/>
  </r>
  <r>
    <x v="53"/>
    <x v="6"/>
    <x v="1176"/>
    <s v="&quot;CNR9515948&quot;"/>
    <x v="2"/>
    <s v="&quot;CID2133117&quot;"/>
    <x v="5"/>
    <x v="48"/>
    <s v="Welcome"/>
    <x v="52"/>
    <n v="20"/>
    <s v="null"/>
    <s v="null"/>
    <s v="null"/>
    <s v="null"/>
    <s v="null"/>
    <s v="null"/>
    <n v="357"/>
    <n v="31.62"/>
    <x v="13"/>
    <x v="4"/>
    <s v="UPI"/>
  </r>
  <r>
    <x v="173"/>
    <x v="4"/>
    <x v="1177"/>
    <s v="&quot;CNR3369312&quot;"/>
    <x v="2"/>
    <s v="&quot;CID6510470&quot;"/>
    <x v="1"/>
    <x v="51"/>
    <s v="Govindpuri"/>
    <x v="13"/>
    <n v="39.6"/>
    <s v="null"/>
    <s v="null"/>
    <s v="null"/>
    <s v="null"/>
    <s v="null"/>
    <s v="null"/>
    <n v="141"/>
    <n v="5.47"/>
    <x v="14"/>
    <x v="1"/>
    <s v="Cash"/>
  </r>
  <r>
    <x v="259"/>
    <x v="0"/>
    <x v="1178"/>
    <s v="&quot;CNR2910062&quot;"/>
    <x v="2"/>
    <s v="&quot;CID3436001&quot;"/>
    <x v="5"/>
    <x v="143"/>
    <s v="Pitampura"/>
    <x v="53"/>
    <n v="16.8"/>
    <s v="null"/>
    <s v="null"/>
    <s v="null"/>
    <s v="null"/>
    <s v="null"/>
    <s v="null"/>
    <n v="674"/>
    <n v="35.28"/>
    <x v="8"/>
    <x v="14"/>
    <s v="Debit Card"/>
  </r>
  <r>
    <x v="290"/>
    <x v="11"/>
    <x v="1179"/>
    <s v="&quot;CNR6214573&quot;"/>
    <x v="3"/>
    <s v="&quot;CID8049463&quot;"/>
    <x v="5"/>
    <x v="169"/>
    <s v="Ambience Mall"/>
    <x v="106"/>
    <s v="null"/>
    <s v="null"/>
    <s v="null"/>
    <n v="1"/>
    <s v="Customer related issue"/>
    <s v="null"/>
    <s v="null"/>
    <s v="null"/>
    <s v="null"/>
    <x v="0"/>
    <x v="0"/>
    <s v="null"/>
  </r>
  <r>
    <x v="84"/>
    <x v="9"/>
    <x v="1180"/>
    <s v="&quot;CNR9066953&quot;"/>
    <x v="3"/>
    <s v="&quot;CID9062877&quot;"/>
    <x v="0"/>
    <x v="34"/>
    <s v="Vatika Chowk"/>
    <x v="91"/>
    <s v="null"/>
    <s v="null"/>
    <s v="null"/>
    <n v="1"/>
    <s v="The customer was coughing/sick"/>
    <s v="null"/>
    <s v="null"/>
    <s v="null"/>
    <s v="null"/>
    <x v="0"/>
    <x v="0"/>
    <s v="null"/>
  </r>
  <r>
    <x v="32"/>
    <x v="5"/>
    <x v="1181"/>
    <s v="&quot;CNR9616067&quot;"/>
    <x v="2"/>
    <s v="&quot;CID6112424&quot;"/>
    <x v="5"/>
    <x v="172"/>
    <s v="Central Secretariat"/>
    <x v="53"/>
    <n v="44.4"/>
    <s v="null"/>
    <s v="null"/>
    <s v="null"/>
    <s v="null"/>
    <s v="null"/>
    <s v="null"/>
    <n v="931"/>
    <n v="29.23"/>
    <x v="7"/>
    <x v="6"/>
    <s v="Cash"/>
  </r>
  <r>
    <x v="302"/>
    <x v="10"/>
    <x v="1182"/>
    <s v="&quot;CNR6238968&quot;"/>
    <x v="3"/>
    <s v="&quot;CID3500396&quot;"/>
    <x v="4"/>
    <x v="102"/>
    <s v="Rohini"/>
    <x v="91"/>
    <s v="null"/>
    <s v="null"/>
    <s v="null"/>
    <n v="1"/>
    <s v="Personal &amp; Car related issues"/>
    <s v="null"/>
    <s v="null"/>
    <s v="null"/>
    <s v="null"/>
    <x v="0"/>
    <x v="0"/>
    <s v="null"/>
  </r>
  <r>
    <x v="110"/>
    <x v="9"/>
    <x v="1183"/>
    <s v="&quot;CNR1646725&quot;"/>
    <x v="2"/>
    <s v="&quot;CID7157628&quot;"/>
    <x v="5"/>
    <x v="39"/>
    <s v="Vasant Kunj"/>
    <x v="18"/>
    <n v="17"/>
    <s v="null"/>
    <s v="null"/>
    <s v="null"/>
    <s v="null"/>
    <s v="null"/>
    <s v="null"/>
    <n v="664"/>
    <n v="22.18"/>
    <x v="16"/>
    <x v="2"/>
    <s v="Cash"/>
  </r>
  <r>
    <x v="79"/>
    <x v="4"/>
    <x v="1184"/>
    <s v="&quot;CNR2727388&quot;"/>
    <x v="3"/>
    <s v="&quot;CID6495062&quot;"/>
    <x v="2"/>
    <x v="115"/>
    <s v="Mandi House"/>
    <x v="40"/>
    <s v="null"/>
    <s v="null"/>
    <s v="null"/>
    <n v="1"/>
    <s v="Customer related issue"/>
    <s v="null"/>
    <s v="null"/>
    <s v="null"/>
    <s v="null"/>
    <x v="0"/>
    <x v="0"/>
    <s v="null"/>
  </r>
  <r>
    <x v="82"/>
    <x v="3"/>
    <x v="1185"/>
    <s v="&quot;CNR3986964&quot;"/>
    <x v="2"/>
    <s v="&quot;CID5509253&quot;"/>
    <x v="3"/>
    <x v="138"/>
    <s v="Subhash Nagar"/>
    <x v="77"/>
    <n v="31.5"/>
    <s v="null"/>
    <s v="null"/>
    <s v="null"/>
    <s v="null"/>
    <s v="null"/>
    <s v="null"/>
    <n v="63"/>
    <n v="15.38"/>
    <x v="5"/>
    <x v="6"/>
    <s v="Debit Card"/>
  </r>
  <r>
    <x v="156"/>
    <x v="7"/>
    <x v="1186"/>
    <s v="&quot;CNR4446975&quot;"/>
    <x v="2"/>
    <s v="&quot;CID6311427&quot;"/>
    <x v="3"/>
    <x v="43"/>
    <s v="Mundka"/>
    <x v="107"/>
    <n v="18.2"/>
    <s v="null"/>
    <s v="null"/>
    <s v="null"/>
    <s v="null"/>
    <s v="null"/>
    <s v="null"/>
    <n v="212"/>
    <n v="20.399999999999999"/>
    <x v="14"/>
    <x v="7"/>
    <s v="UPI"/>
  </r>
  <r>
    <x v="94"/>
    <x v="11"/>
    <x v="1187"/>
    <s v="&quot;CNR6362039&quot;"/>
    <x v="3"/>
    <s v="&quot;CID1477494&quot;"/>
    <x v="2"/>
    <x v="12"/>
    <s v="Punjabi Bagh"/>
    <x v="111"/>
    <s v="null"/>
    <s v="null"/>
    <s v="null"/>
    <n v="1"/>
    <s v="Customer related issue"/>
    <s v="null"/>
    <s v="null"/>
    <s v="null"/>
    <s v="null"/>
    <x v="0"/>
    <x v="0"/>
    <s v="null"/>
  </r>
  <r>
    <x v="40"/>
    <x v="10"/>
    <x v="1188"/>
    <s v="&quot;CNR9426012&quot;"/>
    <x v="2"/>
    <s v="&quot;CID7989784&quot;"/>
    <x v="2"/>
    <x v="127"/>
    <s v="Madipur"/>
    <x v="7"/>
    <n v="19.3"/>
    <s v="null"/>
    <s v="null"/>
    <s v="null"/>
    <s v="null"/>
    <s v="null"/>
    <s v="null"/>
    <n v="488"/>
    <n v="37.229999999999997"/>
    <x v="11"/>
    <x v="8"/>
    <s v="Cash"/>
  </r>
  <r>
    <x v="5"/>
    <x v="5"/>
    <x v="1189"/>
    <s v="&quot;CNR1224485&quot;"/>
    <x v="2"/>
    <s v="&quot;CID9385201&quot;"/>
    <x v="2"/>
    <x v="148"/>
    <s v="Khan Market"/>
    <x v="86"/>
    <n v="36.6"/>
    <s v="null"/>
    <s v="null"/>
    <s v="null"/>
    <s v="null"/>
    <s v="null"/>
    <s v="null"/>
    <n v="483"/>
    <n v="40.76"/>
    <x v="5"/>
    <x v="8"/>
    <s v="UPI"/>
  </r>
  <r>
    <x v="134"/>
    <x v="1"/>
    <x v="1190"/>
    <s v="&quot;CNR7359854&quot;"/>
    <x v="2"/>
    <s v="&quot;CID6374906&quot;"/>
    <x v="3"/>
    <x v="134"/>
    <s v="Noida Sector 18"/>
    <x v="99"/>
    <n v="15.8"/>
    <s v="null"/>
    <s v="null"/>
    <s v="null"/>
    <s v="null"/>
    <s v="null"/>
    <s v="null"/>
    <n v="400"/>
    <n v="8.34"/>
    <x v="14"/>
    <x v="8"/>
    <s v="Credit Card"/>
  </r>
  <r>
    <x v="78"/>
    <x v="8"/>
    <x v="1191"/>
    <s v="&quot;CNR8465345&quot;"/>
    <x v="2"/>
    <s v="&quot;CID1674359&quot;"/>
    <x v="2"/>
    <x v="139"/>
    <s v="ITO"/>
    <x v="131"/>
    <n v="36.299999999999997"/>
    <s v="null"/>
    <s v="null"/>
    <s v="null"/>
    <s v="null"/>
    <s v="null"/>
    <s v="null"/>
    <n v="218"/>
    <n v="38.96"/>
    <x v="10"/>
    <x v="1"/>
    <s v="UPI"/>
  </r>
  <r>
    <x v="320"/>
    <x v="4"/>
    <x v="1192"/>
    <s v="&quot;CNR6623045&quot;"/>
    <x v="0"/>
    <s v="&quot;CID9202066&quot;"/>
    <x v="2"/>
    <x v="52"/>
    <s v="Panchsheel Park"/>
    <x v="0"/>
    <s v="null"/>
    <s v="null"/>
    <s v="null"/>
    <s v="null"/>
    <s v="null"/>
    <s v="null"/>
    <s v="null"/>
    <s v="null"/>
    <s v="null"/>
    <x v="0"/>
    <x v="0"/>
    <s v="null"/>
  </r>
  <r>
    <x v="273"/>
    <x v="8"/>
    <x v="1193"/>
    <s v="&quot;CNR1632782&quot;"/>
    <x v="0"/>
    <s v="&quot;CID2967332&quot;"/>
    <x v="2"/>
    <x v="5"/>
    <s v="Preet Vihar"/>
    <x v="0"/>
    <s v="null"/>
    <s v="null"/>
    <s v="null"/>
    <s v="null"/>
    <s v="null"/>
    <s v="null"/>
    <s v="null"/>
    <s v="null"/>
    <s v="null"/>
    <x v="0"/>
    <x v="0"/>
    <s v="null"/>
  </r>
  <r>
    <x v="214"/>
    <x v="3"/>
    <x v="1194"/>
    <s v="&quot;CNR6336375&quot;"/>
    <x v="4"/>
    <s v="&quot;CID7874381&quot;"/>
    <x v="2"/>
    <x v="95"/>
    <s v="IGNOU Road"/>
    <x v="149"/>
    <s v="null"/>
    <n v="1"/>
    <s v="Change of plans"/>
    <s v="null"/>
    <s v="null"/>
    <s v="null"/>
    <s v="null"/>
    <s v="null"/>
    <s v="null"/>
    <x v="0"/>
    <x v="0"/>
    <s v="null"/>
  </r>
  <r>
    <x v="54"/>
    <x v="9"/>
    <x v="1195"/>
    <s v="&quot;CNR3866256&quot;"/>
    <x v="2"/>
    <s v="&quot;CID4531726&quot;"/>
    <x v="1"/>
    <x v="155"/>
    <s v="Gurgaon Sector 29"/>
    <x v="65"/>
    <n v="41.2"/>
    <s v="null"/>
    <s v="null"/>
    <s v="null"/>
    <s v="null"/>
    <s v="null"/>
    <s v="null"/>
    <n v="407"/>
    <n v="36.880000000000003"/>
    <x v="7"/>
    <x v="1"/>
    <s v="Cash"/>
  </r>
  <r>
    <x v="55"/>
    <x v="8"/>
    <x v="1196"/>
    <s v="&quot;CNR1997739&quot;"/>
    <x v="4"/>
    <s v="&quot;CID3565599&quot;"/>
    <x v="2"/>
    <x v="37"/>
    <s v="Kalkaji"/>
    <x v="114"/>
    <s v="null"/>
    <n v="1"/>
    <s v="Change of plans"/>
    <s v="null"/>
    <s v="null"/>
    <s v="null"/>
    <s v="null"/>
    <s v="null"/>
    <s v="null"/>
    <x v="0"/>
    <x v="0"/>
    <s v="null"/>
  </r>
  <r>
    <x v="157"/>
    <x v="8"/>
    <x v="1197"/>
    <s v="&quot;CNR1518008&quot;"/>
    <x v="0"/>
    <s v="&quot;CID4659358&quot;"/>
    <x v="2"/>
    <x v="72"/>
    <s v="Greater Noida"/>
    <x v="0"/>
    <s v="null"/>
    <s v="null"/>
    <s v="null"/>
    <s v="null"/>
    <s v="null"/>
    <s v="null"/>
    <s v="null"/>
    <s v="null"/>
    <s v="null"/>
    <x v="0"/>
    <x v="0"/>
    <s v="null"/>
  </r>
  <r>
    <x v="68"/>
    <x v="4"/>
    <x v="1198"/>
    <s v="&quot;CNR2158909&quot;"/>
    <x v="2"/>
    <s v="&quot;CID5757692&quot;"/>
    <x v="0"/>
    <x v="11"/>
    <s v="Greater Noida"/>
    <x v="46"/>
    <n v="39.6"/>
    <s v="null"/>
    <s v="null"/>
    <s v="null"/>
    <s v="null"/>
    <s v="null"/>
    <s v="null"/>
    <n v="904"/>
    <n v="13.76"/>
    <x v="7"/>
    <x v="8"/>
    <s v="Cash"/>
  </r>
  <r>
    <x v="173"/>
    <x v="4"/>
    <x v="1199"/>
    <s v="&quot;CNR3511683&quot;"/>
    <x v="3"/>
    <s v="&quot;CID8777017&quot;"/>
    <x v="5"/>
    <x v="34"/>
    <s v="Uttam Nagar"/>
    <x v="45"/>
    <s v="null"/>
    <s v="null"/>
    <s v="null"/>
    <n v="1"/>
    <s v="Personal &amp; Car related issues"/>
    <s v="null"/>
    <s v="null"/>
    <s v="null"/>
    <s v="null"/>
    <x v="0"/>
    <x v="0"/>
    <s v="null"/>
  </r>
  <r>
    <x v="149"/>
    <x v="8"/>
    <x v="1200"/>
    <s v="&quot;CNR5288660&quot;"/>
    <x v="1"/>
    <s v="&quot;CID1276785&quot;"/>
    <x v="1"/>
    <x v="99"/>
    <s v="Dwarka Mor"/>
    <x v="51"/>
    <n v="11.3"/>
    <s v="null"/>
    <s v="null"/>
    <s v="null"/>
    <s v="null"/>
    <n v="1"/>
    <s v="Customer Demand"/>
    <n v="120"/>
    <n v="17.46"/>
    <x v="0"/>
    <x v="0"/>
    <s v="Cash"/>
  </r>
  <r>
    <x v="346"/>
    <x v="7"/>
    <x v="1201"/>
    <s v="&quot;CNR3682388&quot;"/>
    <x v="2"/>
    <s v="&quot;CID8866263&quot;"/>
    <x v="2"/>
    <x v="88"/>
    <s v="Pulbangash"/>
    <x v="32"/>
    <n v="21.4"/>
    <s v="null"/>
    <s v="null"/>
    <s v="null"/>
    <s v="null"/>
    <s v="null"/>
    <s v="null"/>
    <n v="125"/>
    <n v="13.91"/>
    <x v="10"/>
    <x v="1"/>
    <s v="Cash"/>
  </r>
  <r>
    <x v="351"/>
    <x v="9"/>
    <x v="1202"/>
    <s v="&quot;CNR6864738&quot;"/>
    <x v="2"/>
    <s v="&quot;CID3777174&quot;"/>
    <x v="4"/>
    <x v="94"/>
    <s v="Sarai Kale Khan"/>
    <x v="57"/>
    <n v="32.799999999999997"/>
    <s v="null"/>
    <s v="null"/>
    <s v="null"/>
    <s v="null"/>
    <s v="null"/>
    <s v="null"/>
    <n v="410"/>
    <n v="42.95"/>
    <x v="13"/>
    <x v="6"/>
    <s v="Cash"/>
  </r>
  <r>
    <x v="216"/>
    <x v="1"/>
    <x v="1203"/>
    <s v="&quot;CNR6463043&quot;"/>
    <x v="3"/>
    <s v="&quot;CID5894772&quot;"/>
    <x v="2"/>
    <x v="84"/>
    <s v="Madipur"/>
    <x v="13"/>
    <s v="null"/>
    <s v="null"/>
    <s v="null"/>
    <n v="1"/>
    <s v="Personal &amp; Car related issues"/>
    <s v="null"/>
    <s v="null"/>
    <s v="null"/>
    <s v="null"/>
    <x v="0"/>
    <x v="0"/>
    <s v="null"/>
  </r>
  <r>
    <x v="191"/>
    <x v="9"/>
    <x v="1204"/>
    <s v="&quot;CNR4122330&quot;"/>
    <x v="2"/>
    <s v="&quot;CID3999654&quot;"/>
    <x v="2"/>
    <x v="110"/>
    <s v="Noida Sector 18"/>
    <x v="92"/>
    <n v="32.5"/>
    <s v="null"/>
    <s v="null"/>
    <s v="null"/>
    <s v="null"/>
    <s v="null"/>
    <s v="null"/>
    <n v="983"/>
    <n v="25.42"/>
    <x v="14"/>
    <x v="14"/>
    <s v="UPI"/>
  </r>
  <r>
    <x v="232"/>
    <x v="10"/>
    <x v="1205"/>
    <s v="&quot;CNR4377050&quot;"/>
    <x v="2"/>
    <s v="&quot;CID1142441&quot;"/>
    <x v="3"/>
    <x v="81"/>
    <s v="Arjangarh"/>
    <x v="15"/>
    <n v="22.3"/>
    <s v="null"/>
    <s v="null"/>
    <s v="null"/>
    <s v="null"/>
    <s v="null"/>
    <s v="null"/>
    <n v="149"/>
    <n v="9.86"/>
    <x v="6"/>
    <x v="10"/>
    <s v="UPI"/>
  </r>
  <r>
    <x v="291"/>
    <x v="10"/>
    <x v="1206"/>
    <s v="&quot;CNR2485485&quot;"/>
    <x v="2"/>
    <s v="&quot;CID4562133&quot;"/>
    <x v="4"/>
    <x v="93"/>
    <s v="Ashram"/>
    <x v="52"/>
    <n v="28.4"/>
    <s v="null"/>
    <s v="null"/>
    <s v="null"/>
    <s v="null"/>
    <s v="null"/>
    <s v="null"/>
    <n v="243"/>
    <n v="7.36"/>
    <x v="7"/>
    <x v="10"/>
    <s v="UPI"/>
  </r>
  <r>
    <x v="256"/>
    <x v="0"/>
    <x v="1207"/>
    <s v="&quot;CNR9850998&quot;"/>
    <x v="2"/>
    <s v="&quot;CID7150305&quot;"/>
    <x v="5"/>
    <x v="56"/>
    <s v="Paschim Vihar"/>
    <x v="120"/>
    <n v="17.600000000000001"/>
    <s v="null"/>
    <s v="null"/>
    <s v="null"/>
    <s v="null"/>
    <s v="null"/>
    <s v="null"/>
    <n v="1087"/>
    <n v="42.75"/>
    <x v="14"/>
    <x v="8"/>
    <s v="UPI"/>
  </r>
  <r>
    <x v="265"/>
    <x v="2"/>
    <x v="1208"/>
    <s v="&quot;CNR7750650&quot;"/>
    <x v="0"/>
    <s v="&quot;CID4681551&quot;"/>
    <x v="2"/>
    <x v="38"/>
    <s v="Satguru Ram Singh Marg"/>
    <x v="0"/>
    <s v="null"/>
    <s v="null"/>
    <s v="null"/>
    <s v="null"/>
    <s v="null"/>
    <s v="null"/>
    <s v="null"/>
    <s v="null"/>
    <s v="null"/>
    <x v="0"/>
    <x v="0"/>
    <s v="null"/>
  </r>
  <r>
    <x v="127"/>
    <x v="1"/>
    <x v="1209"/>
    <s v="&quot;CNR4233198&quot;"/>
    <x v="4"/>
    <s v="&quot;CID5829748&quot;"/>
    <x v="1"/>
    <x v="168"/>
    <s v="Kirti Nagar"/>
    <x v="150"/>
    <s v="null"/>
    <n v="1"/>
    <s v="Change of plans"/>
    <s v="null"/>
    <s v="null"/>
    <s v="null"/>
    <s v="null"/>
    <s v="null"/>
    <s v="null"/>
    <x v="0"/>
    <x v="0"/>
    <s v="null"/>
  </r>
  <r>
    <x v="85"/>
    <x v="3"/>
    <x v="1210"/>
    <s v="&quot;CNR5271440&quot;"/>
    <x v="3"/>
    <s v="&quot;CID5739102&quot;"/>
    <x v="3"/>
    <x v="82"/>
    <s v="South Extension"/>
    <x v="5"/>
    <s v="null"/>
    <s v="null"/>
    <s v="null"/>
    <n v="1"/>
    <s v="More than permitted people in there"/>
    <s v="null"/>
    <s v="null"/>
    <s v="null"/>
    <s v="null"/>
    <x v="0"/>
    <x v="0"/>
    <s v="null"/>
  </r>
  <r>
    <x v="273"/>
    <x v="8"/>
    <x v="1211"/>
    <s v="&quot;CNR3150116&quot;"/>
    <x v="0"/>
    <s v="&quot;CID6616144&quot;"/>
    <x v="2"/>
    <x v="92"/>
    <s v="Greater Kailash"/>
    <x v="0"/>
    <s v="null"/>
    <s v="null"/>
    <s v="null"/>
    <s v="null"/>
    <s v="null"/>
    <s v="null"/>
    <s v="null"/>
    <s v="null"/>
    <s v="null"/>
    <x v="0"/>
    <x v="0"/>
    <s v="null"/>
  </r>
  <r>
    <x v="312"/>
    <x v="3"/>
    <x v="1212"/>
    <s v="&quot;CNR7095548&quot;"/>
    <x v="2"/>
    <s v="&quot;CID4174760&quot;"/>
    <x v="1"/>
    <x v="160"/>
    <s v="Maidan Garhi"/>
    <x v="22"/>
    <n v="17.8"/>
    <s v="null"/>
    <s v="null"/>
    <s v="null"/>
    <s v="null"/>
    <s v="null"/>
    <s v="null"/>
    <n v="854"/>
    <n v="32.22"/>
    <x v="7"/>
    <x v="15"/>
    <s v="Debit Card"/>
  </r>
  <r>
    <x v="287"/>
    <x v="11"/>
    <x v="1213"/>
    <s v="&quot;CNR8936413&quot;"/>
    <x v="2"/>
    <s v="&quot;CID7138023&quot;"/>
    <x v="4"/>
    <x v="172"/>
    <s v="Old Gurgaon"/>
    <x v="50"/>
    <n v="29.8"/>
    <s v="null"/>
    <s v="null"/>
    <s v="null"/>
    <s v="null"/>
    <s v="null"/>
    <s v="null"/>
    <n v="818"/>
    <n v="35.24"/>
    <x v="2"/>
    <x v="4"/>
    <s v="Cash"/>
  </r>
  <r>
    <x v="208"/>
    <x v="2"/>
    <x v="1214"/>
    <s v="&quot;CNR3698954&quot;"/>
    <x v="4"/>
    <s v="&quot;CID4375770&quot;"/>
    <x v="4"/>
    <x v="123"/>
    <s v="Palam Vihar"/>
    <x v="151"/>
    <s v="null"/>
    <n v="1"/>
    <s v="Change of plans"/>
    <s v="null"/>
    <s v="null"/>
    <s v="null"/>
    <s v="null"/>
    <s v="null"/>
    <s v="null"/>
    <x v="0"/>
    <x v="0"/>
    <s v="null"/>
  </r>
  <r>
    <x v="205"/>
    <x v="2"/>
    <x v="1215"/>
    <s v="&quot;CNR7660356&quot;"/>
    <x v="2"/>
    <s v="&quot;CID3275292&quot;"/>
    <x v="2"/>
    <x v="98"/>
    <s v="Subhash Nagar"/>
    <x v="99"/>
    <n v="23.6"/>
    <s v="null"/>
    <s v="null"/>
    <s v="null"/>
    <s v="null"/>
    <s v="null"/>
    <s v="null"/>
    <n v="620"/>
    <n v="17.63"/>
    <x v="11"/>
    <x v="1"/>
    <s v="Debit Card"/>
  </r>
  <r>
    <x v="341"/>
    <x v="6"/>
    <x v="1216"/>
    <s v="&quot;CNR1879548&quot;"/>
    <x v="2"/>
    <s v="&quot;CID3383998&quot;"/>
    <x v="1"/>
    <x v="6"/>
    <s v="Sushant Lok"/>
    <x v="28"/>
    <n v="40.299999999999997"/>
    <s v="null"/>
    <s v="null"/>
    <s v="null"/>
    <s v="null"/>
    <s v="null"/>
    <s v="null"/>
    <n v="556"/>
    <n v="11.56"/>
    <x v="16"/>
    <x v="4"/>
    <s v="UPI"/>
  </r>
  <r>
    <x v="13"/>
    <x v="4"/>
    <x v="1217"/>
    <s v="&quot;CNR7758297&quot;"/>
    <x v="3"/>
    <s v="&quot;CID2361664&quot;"/>
    <x v="4"/>
    <x v="12"/>
    <s v="Ghitorni Village"/>
    <x v="78"/>
    <s v="null"/>
    <s v="null"/>
    <s v="null"/>
    <n v="1"/>
    <s v="More than permitted people in there"/>
    <s v="null"/>
    <s v="null"/>
    <s v="null"/>
    <s v="null"/>
    <x v="0"/>
    <x v="0"/>
    <s v="null"/>
  </r>
  <r>
    <x v="321"/>
    <x v="6"/>
    <x v="1218"/>
    <s v="&quot;CNR4271932&quot;"/>
    <x v="3"/>
    <s v="&quot;CID2081167&quot;"/>
    <x v="2"/>
    <x v="94"/>
    <s v="Delhi Gate"/>
    <x v="53"/>
    <s v="null"/>
    <s v="null"/>
    <s v="null"/>
    <n v="1"/>
    <s v="The customer was coughing/sick"/>
    <s v="null"/>
    <s v="null"/>
    <s v="null"/>
    <s v="null"/>
    <x v="0"/>
    <x v="0"/>
    <s v="null"/>
  </r>
  <r>
    <x v="167"/>
    <x v="8"/>
    <x v="1219"/>
    <s v="&quot;CNR1862594&quot;"/>
    <x v="3"/>
    <s v="&quot;CID6087146&quot;"/>
    <x v="4"/>
    <x v="167"/>
    <s v="Malviya Nagar"/>
    <x v="118"/>
    <s v="null"/>
    <s v="null"/>
    <s v="null"/>
    <n v="1"/>
    <s v="Personal &amp; Car related issues"/>
    <s v="null"/>
    <s v="null"/>
    <s v="null"/>
    <s v="null"/>
    <x v="0"/>
    <x v="0"/>
    <s v="null"/>
  </r>
  <r>
    <x v="266"/>
    <x v="9"/>
    <x v="1220"/>
    <s v="&quot;CNR1850833&quot;"/>
    <x v="4"/>
    <s v="&quot;CID5491749&quot;"/>
    <x v="1"/>
    <x v="25"/>
    <s v="Mehrauli"/>
    <x v="152"/>
    <s v="null"/>
    <n v="1"/>
    <s v="Wrong Address"/>
    <s v="null"/>
    <s v="null"/>
    <s v="null"/>
    <s v="null"/>
    <s v="null"/>
    <s v="null"/>
    <x v="0"/>
    <x v="0"/>
    <s v="null"/>
  </r>
  <r>
    <x v="154"/>
    <x v="7"/>
    <x v="1221"/>
    <s v="&quot;CNR1339167&quot;"/>
    <x v="2"/>
    <s v="&quot;CID8972009&quot;"/>
    <x v="2"/>
    <x v="153"/>
    <s v="Sarai Kale Khan"/>
    <x v="101"/>
    <n v="24.6"/>
    <s v="null"/>
    <s v="null"/>
    <s v="null"/>
    <s v="null"/>
    <s v="null"/>
    <s v="null"/>
    <n v="652"/>
    <n v="47.1"/>
    <x v="6"/>
    <x v="3"/>
    <s v="Cash"/>
  </r>
  <r>
    <x v="55"/>
    <x v="8"/>
    <x v="1222"/>
    <s v="&quot;CNR6633026&quot;"/>
    <x v="0"/>
    <s v="&quot;CID7704764&quot;"/>
    <x v="5"/>
    <x v="19"/>
    <s v="GTB Nagar"/>
    <x v="0"/>
    <s v="null"/>
    <s v="null"/>
    <s v="null"/>
    <s v="null"/>
    <s v="null"/>
    <s v="null"/>
    <s v="null"/>
    <s v="null"/>
    <s v="null"/>
    <x v="0"/>
    <x v="0"/>
    <s v="null"/>
  </r>
  <r>
    <x v="343"/>
    <x v="5"/>
    <x v="1223"/>
    <s v="&quot;CNR8471962&quot;"/>
    <x v="2"/>
    <s v="&quot;CID8507268&quot;"/>
    <x v="5"/>
    <x v="68"/>
    <s v="Dwarka Mor"/>
    <x v="51"/>
    <n v="40.700000000000003"/>
    <s v="null"/>
    <s v="null"/>
    <s v="null"/>
    <s v="null"/>
    <s v="null"/>
    <s v="null"/>
    <n v="399"/>
    <n v="14.59"/>
    <x v="14"/>
    <x v="3"/>
    <s v="Uber Wallet"/>
  </r>
  <r>
    <x v="255"/>
    <x v="3"/>
    <x v="1224"/>
    <s v="&quot;CNR2065228&quot;"/>
    <x v="2"/>
    <s v="&quot;CID5475464&quot;"/>
    <x v="5"/>
    <x v="92"/>
    <s v="Ashok Vihar"/>
    <x v="66"/>
    <n v="23.8"/>
    <s v="null"/>
    <s v="null"/>
    <s v="null"/>
    <s v="null"/>
    <s v="null"/>
    <s v="null"/>
    <n v="662"/>
    <n v="7.96"/>
    <x v="2"/>
    <x v="17"/>
    <s v="UPI"/>
  </r>
  <r>
    <x v="60"/>
    <x v="0"/>
    <x v="1225"/>
    <s v="&quot;CNR6094728&quot;"/>
    <x v="2"/>
    <s v="&quot;CID6723202&quot;"/>
    <x v="5"/>
    <x v="70"/>
    <s v="Bhikaji Cama Place"/>
    <x v="73"/>
    <n v="42.8"/>
    <s v="null"/>
    <s v="null"/>
    <s v="null"/>
    <s v="null"/>
    <s v="null"/>
    <s v="null"/>
    <n v="743"/>
    <n v="46.76"/>
    <x v="14"/>
    <x v="21"/>
    <s v="UPI"/>
  </r>
  <r>
    <x v="220"/>
    <x v="11"/>
    <x v="1226"/>
    <s v="&quot;CNR9293589&quot;"/>
    <x v="2"/>
    <s v="&quot;CID3024780&quot;"/>
    <x v="1"/>
    <x v="38"/>
    <s v="Karol Bagh"/>
    <x v="39"/>
    <n v="36"/>
    <s v="null"/>
    <s v="null"/>
    <s v="null"/>
    <s v="null"/>
    <s v="null"/>
    <s v="null"/>
    <n v="865"/>
    <n v="24.67"/>
    <x v="2"/>
    <x v="14"/>
    <s v="Credit Card"/>
  </r>
  <r>
    <x v="229"/>
    <x v="8"/>
    <x v="1227"/>
    <s v="&quot;CNR3988951&quot;"/>
    <x v="2"/>
    <s v="&quot;CID2055059&quot;"/>
    <x v="3"/>
    <x v="16"/>
    <s v="Manesar"/>
    <x v="116"/>
    <n v="44.2"/>
    <s v="null"/>
    <s v="null"/>
    <s v="null"/>
    <s v="null"/>
    <s v="null"/>
    <s v="null"/>
    <n v="222"/>
    <n v="24.33"/>
    <x v="3"/>
    <x v="1"/>
    <s v="UPI"/>
  </r>
  <r>
    <x v="352"/>
    <x v="4"/>
    <x v="1228"/>
    <s v="&quot;CNR8509244&quot;"/>
    <x v="4"/>
    <s v="&quot;CID9196634&quot;"/>
    <x v="3"/>
    <x v="98"/>
    <s v="Kadarpur"/>
    <x v="101"/>
    <s v="null"/>
    <n v="1"/>
    <s v="Change of plans"/>
    <s v="null"/>
    <s v="null"/>
    <s v="null"/>
    <s v="null"/>
    <s v="null"/>
    <s v="null"/>
    <x v="0"/>
    <x v="0"/>
    <s v="null"/>
  </r>
  <r>
    <x v="28"/>
    <x v="11"/>
    <x v="1229"/>
    <s v="&quot;CNR2416583&quot;"/>
    <x v="2"/>
    <s v="&quot;CID3611450&quot;"/>
    <x v="2"/>
    <x v="58"/>
    <s v="Ashok Park Main"/>
    <x v="108"/>
    <n v="35.700000000000003"/>
    <s v="null"/>
    <s v="null"/>
    <s v="null"/>
    <s v="null"/>
    <s v="null"/>
    <s v="null"/>
    <n v="57"/>
    <n v="28.51"/>
    <x v="12"/>
    <x v="1"/>
    <s v="Debit Card"/>
  </r>
  <r>
    <x v="233"/>
    <x v="2"/>
    <x v="1230"/>
    <s v="&quot;CNR2876939&quot;"/>
    <x v="2"/>
    <s v="&quot;CID4237098&quot;"/>
    <x v="1"/>
    <x v="144"/>
    <s v="Kanhaiya Nagar"/>
    <x v="86"/>
    <n v="39.5"/>
    <s v="null"/>
    <s v="null"/>
    <s v="null"/>
    <s v="null"/>
    <s v="null"/>
    <s v="null"/>
    <n v="104"/>
    <n v="43.67"/>
    <x v="14"/>
    <x v="19"/>
    <s v="UPI"/>
  </r>
  <r>
    <x v="140"/>
    <x v="1"/>
    <x v="1231"/>
    <s v="&quot;CNR4779728&quot;"/>
    <x v="0"/>
    <s v="&quot;CID9557780&quot;"/>
    <x v="1"/>
    <x v="78"/>
    <s v="Pragati Maidan"/>
    <x v="0"/>
    <s v="null"/>
    <s v="null"/>
    <s v="null"/>
    <s v="null"/>
    <s v="null"/>
    <s v="null"/>
    <s v="null"/>
    <s v="null"/>
    <s v="null"/>
    <x v="0"/>
    <x v="0"/>
    <s v="null"/>
  </r>
  <r>
    <x v="148"/>
    <x v="6"/>
    <x v="1232"/>
    <s v="&quot;CNR1906607&quot;"/>
    <x v="2"/>
    <s v="&quot;CID8863025&quot;"/>
    <x v="4"/>
    <x v="97"/>
    <s v="Tis Hazari"/>
    <x v="70"/>
    <n v="42.1"/>
    <s v="null"/>
    <s v="null"/>
    <s v="null"/>
    <s v="null"/>
    <s v="null"/>
    <s v="null"/>
    <n v="1241"/>
    <n v="29.38"/>
    <x v="6"/>
    <x v="6"/>
    <s v="Debit Card"/>
  </r>
  <r>
    <x v="149"/>
    <x v="8"/>
    <x v="1233"/>
    <s v="&quot;CNR4652883&quot;"/>
    <x v="3"/>
    <s v="&quot;CID3266133&quot;"/>
    <x v="2"/>
    <x v="172"/>
    <s v="Manesar"/>
    <x v="95"/>
    <s v="null"/>
    <s v="null"/>
    <s v="null"/>
    <n v="1"/>
    <s v="More than permitted people in there"/>
    <s v="null"/>
    <s v="null"/>
    <s v="null"/>
    <s v="null"/>
    <x v="0"/>
    <x v="0"/>
    <s v="null"/>
  </r>
  <r>
    <x v="130"/>
    <x v="9"/>
    <x v="1234"/>
    <s v="&quot;CNR7174467&quot;"/>
    <x v="2"/>
    <s v="&quot;CID5465827&quot;"/>
    <x v="1"/>
    <x v="18"/>
    <s v="Gurgaon Sector 56"/>
    <x v="126"/>
    <n v="20.5"/>
    <s v="null"/>
    <s v="null"/>
    <s v="null"/>
    <s v="null"/>
    <s v="null"/>
    <s v="null"/>
    <n v="95"/>
    <n v="25.04"/>
    <x v="8"/>
    <x v="4"/>
    <s v="Credit Card"/>
  </r>
  <r>
    <x v="47"/>
    <x v="6"/>
    <x v="1235"/>
    <s v="&quot;CNR5474402&quot;"/>
    <x v="2"/>
    <s v="&quot;CID6900692&quot;"/>
    <x v="2"/>
    <x v="52"/>
    <s v="Noida Sector 18"/>
    <x v="38"/>
    <n v="21.8"/>
    <s v="null"/>
    <s v="null"/>
    <s v="null"/>
    <s v="null"/>
    <s v="null"/>
    <s v="null"/>
    <n v="266"/>
    <n v="28.28"/>
    <x v="7"/>
    <x v="3"/>
    <s v="Uber Wallet"/>
  </r>
  <r>
    <x v="166"/>
    <x v="3"/>
    <x v="1236"/>
    <s v="&quot;CNR2187888&quot;"/>
    <x v="2"/>
    <s v="&quot;CID1586071&quot;"/>
    <x v="0"/>
    <x v="128"/>
    <s v="Qutub Minar"/>
    <x v="101"/>
    <n v="15.5"/>
    <s v="null"/>
    <s v="null"/>
    <s v="null"/>
    <s v="null"/>
    <s v="null"/>
    <s v="null"/>
    <n v="694"/>
    <n v="28.75"/>
    <x v="5"/>
    <x v="7"/>
    <s v="Credit Card"/>
  </r>
  <r>
    <x v="262"/>
    <x v="5"/>
    <x v="1237"/>
    <s v="&quot;CNR8403061&quot;"/>
    <x v="2"/>
    <s v="&quot;CID5865925&quot;"/>
    <x v="3"/>
    <x v="119"/>
    <s v="Udyog Vihar"/>
    <x v="121"/>
    <n v="27.7"/>
    <s v="null"/>
    <s v="null"/>
    <s v="null"/>
    <s v="null"/>
    <s v="null"/>
    <s v="null"/>
    <n v="375"/>
    <n v="31.28"/>
    <x v="3"/>
    <x v="3"/>
    <s v="Uber Wallet"/>
  </r>
  <r>
    <x v="119"/>
    <x v="10"/>
    <x v="872"/>
    <s v="&quot;CNR6078220&quot;"/>
    <x v="4"/>
    <s v="&quot;CID6744764&quot;"/>
    <x v="3"/>
    <x v="29"/>
    <s v="Tagore Garden"/>
    <x v="138"/>
    <s v="null"/>
    <n v="1"/>
    <s v="Change of plans"/>
    <s v="null"/>
    <s v="null"/>
    <s v="null"/>
    <s v="null"/>
    <s v="null"/>
    <s v="null"/>
    <x v="0"/>
    <x v="0"/>
    <s v="null"/>
  </r>
  <r>
    <x v="63"/>
    <x v="7"/>
    <x v="1238"/>
    <s v="&quot;CNR3131454&quot;"/>
    <x v="2"/>
    <s v="&quot;CID8718968&quot;"/>
    <x v="1"/>
    <x v="65"/>
    <s v="Gurgaon Sector 56"/>
    <x v="31"/>
    <n v="41.1"/>
    <s v="null"/>
    <s v="null"/>
    <s v="null"/>
    <s v="null"/>
    <s v="null"/>
    <s v="null"/>
    <n v="1459"/>
    <n v="38.97"/>
    <x v="12"/>
    <x v="3"/>
    <s v="Credit Card"/>
  </r>
  <r>
    <x v="346"/>
    <x v="7"/>
    <x v="1239"/>
    <s v="&quot;CNR1063019&quot;"/>
    <x v="2"/>
    <s v="&quot;CID3475910&quot;"/>
    <x v="2"/>
    <x v="10"/>
    <s v="Akshardham"/>
    <x v="37"/>
    <n v="16.5"/>
    <s v="null"/>
    <s v="null"/>
    <s v="null"/>
    <s v="null"/>
    <s v="null"/>
    <s v="null"/>
    <n v="174"/>
    <n v="41.64"/>
    <x v="14"/>
    <x v="6"/>
    <s v="UPI"/>
  </r>
  <r>
    <x v="353"/>
    <x v="0"/>
    <x v="1240"/>
    <s v="&quot;CNR9098064&quot;"/>
    <x v="3"/>
    <s v="&quot;CID4848656&quot;"/>
    <x v="2"/>
    <x v="78"/>
    <s v="Sarojini Nagar"/>
    <x v="70"/>
    <s v="null"/>
    <s v="null"/>
    <s v="null"/>
    <n v="1"/>
    <s v="Personal &amp; Car related issues"/>
    <s v="null"/>
    <s v="null"/>
    <s v="null"/>
    <s v="null"/>
    <x v="0"/>
    <x v="0"/>
    <s v="null"/>
  </r>
  <r>
    <x v="167"/>
    <x v="8"/>
    <x v="1241"/>
    <s v="&quot;CNR3487507&quot;"/>
    <x v="2"/>
    <s v="&quot;CID5113216&quot;"/>
    <x v="0"/>
    <x v="78"/>
    <s v="Patel Chowk"/>
    <x v="33"/>
    <n v="18.600000000000001"/>
    <s v="null"/>
    <s v="null"/>
    <s v="null"/>
    <s v="null"/>
    <s v="null"/>
    <s v="null"/>
    <n v="416"/>
    <n v="22.34"/>
    <x v="3"/>
    <x v="21"/>
    <s v="Cash"/>
  </r>
  <r>
    <x v="248"/>
    <x v="5"/>
    <x v="1242"/>
    <s v="&quot;CNR7344928&quot;"/>
    <x v="2"/>
    <s v="&quot;CID6662231&quot;"/>
    <x v="2"/>
    <x v="11"/>
    <s v="Badarpur"/>
    <x v="20"/>
    <n v="23.4"/>
    <s v="null"/>
    <s v="null"/>
    <s v="null"/>
    <s v="null"/>
    <s v="null"/>
    <s v="null"/>
    <n v="1077"/>
    <n v="28.53"/>
    <x v="5"/>
    <x v="14"/>
    <s v="Cash"/>
  </r>
  <r>
    <x v="354"/>
    <x v="8"/>
    <x v="1243"/>
    <s v="&quot;CNR4208370&quot;"/>
    <x v="3"/>
    <s v="&quot;CID5296529&quot;"/>
    <x v="4"/>
    <x v="147"/>
    <s v="Kashmere Gate"/>
    <x v="101"/>
    <s v="null"/>
    <s v="null"/>
    <s v="null"/>
    <n v="1"/>
    <s v="The customer was coughing/sick"/>
    <s v="null"/>
    <s v="null"/>
    <s v="null"/>
    <s v="null"/>
    <x v="0"/>
    <x v="0"/>
    <s v="null"/>
  </r>
  <r>
    <x v="339"/>
    <x v="10"/>
    <x v="1244"/>
    <s v="&quot;CNR4423001&quot;"/>
    <x v="3"/>
    <s v="&quot;CID6188095&quot;"/>
    <x v="4"/>
    <x v="70"/>
    <s v="Bhikaji Cama Place"/>
    <x v="38"/>
    <s v="null"/>
    <s v="null"/>
    <s v="null"/>
    <n v="1"/>
    <s v="The customer was coughing/sick"/>
    <s v="null"/>
    <s v="null"/>
    <s v="null"/>
    <s v="null"/>
    <x v="0"/>
    <x v="0"/>
    <s v="null"/>
  </r>
  <r>
    <x v="41"/>
    <x v="5"/>
    <x v="1245"/>
    <s v="&quot;CNR4562372&quot;"/>
    <x v="1"/>
    <s v="&quot;CID9991179&quot;"/>
    <x v="3"/>
    <x v="41"/>
    <s v="Kalkaji"/>
    <x v="14"/>
    <n v="23.2"/>
    <s v="null"/>
    <s v="null"/>
    <s v="null"/>
    <s v="null"/>
    <n v="1"/>
    <s v="Customer Demand"/>
    <n v="278"/>
    <n v="14.22"/>
    <x v="0"/>
    <x v="0"/>
    <s v="UPI"/>
  </r>
  <r>
    <x v="134"/>
    <x v="1"/>
    <x v="1246"/>
    <s v="&quot;CNR7979297&quot;"/>
    <x v="0"/>
    <s v="&quot;CID7031065&quot;"/>
    <x v="3"/>
    <x v="141"/>
    <s v="Kalkaji"/>
    <x v="0"/>
    <s v="null"/>
    <s v="null"/>
    <s v="null"/>
    <s v="null"/>
    <s v="null"/>
    <s v="null"/>
    <s v="null"/>
    <s v="null"/>
    <s v="null"/>
    <x v="0"/>
    <x v="0"/>
    <s v="null"/>
  </r>
  <r>
    <x v="150"/>
    <x v="0"/>
    <x v="1247"/>
    <s v="&quot;CNR2590172&quot;"/>
    <x v="2"/>
    <s v="&quot;CID2731380&quot;"/>
    <x v="5"/>
    <x v="72"/>
    <s v="Akshardham"/>
    <x v="90"/>
    <n v="42.1"/>
    <s v="null"/>
    <s v="null"/>
    <s v="null"/>
    <s v="null"/>
    <s v="null"/>
    <s v="null"/>
    <n v="491"/>
    <n v="10.77"/>
    <x v="6"/>
    <x v="3"/>
    <s v="UPI"/>
  </r>
  <r>
    <x v="335"/>
    <x v="10"/>
    <x v="1248"/>
    <s v="&quot;CNR8331775&quot;"/>
    <x v="2"/>
    <s v="&quot;CID6450159&quot;"/>
    <x v="2"/>
    <x v="145"/>
    <s v="Indirapuram"/>
    <x v="94"/>
    <n v="39.700000000000003"/>
    <s v="null"/>
    <s v="null"/>
    <s v="null"/>
    <s v="null"/>
    <s v="null"/>
    <s v="null"/>
    <n v="394"/>
    <n v="45.56"/>
    <x v="7"/>
    <x v="14"/>
    <s v="Cash"/>
  </r>
  <r>
    <x v="117"/>
    <x v="11"/>
    <x v="1249"/>
    <s v="&quot;CNR6285364&quot;"/>
    <x v="3"/>
    <s v="&quot;CID3279345&quot;"/>
    <x v="3"/>
    <x v="99"/>
    <s v="Civil Lines Gurgaon"/>
    <x v="65"/>
    <s v="null"/>
    <s v="null"/>
    <s v="null"/>
    <n v="1"/>
    <s v="More than permitted people in there"/>
    <s v="null"/>
    <s v="null"/>
    <s v="null"/>
    <s v="null"/>
    <x v="0"/>
    <x v="0"/>
    <s v="null"/>
  </r>
  <r>
    <x v="250"/>
    <x v="10"/>
    <x v="1250"/>
    <s v="&quot;CNR3527441&quot;"/>
    <x v="2"/>
    <s v="&quot;CID1361921&quot;"/>
    <x v="4"/>
    <x v="14"/>
    <s v="Gurgaon Sector 29"/>
    <x v="106"/>
    <n v="15.5"/>
    <s v="null"/>
    <s v="null"/>
    <s v="null"/>
    <s v="null"/>
    <s v="null"/>
    <s v="null"/>
    <n v="325"/>
    <n v="34.049999999999997"/>
    <x v="1"/>
    <x v="10"/>
    <s v="Credit Card"/>
  </r>
  <r>
    <x v="239"/>
    <x v="4"/>
    <x v="1251"/>
    <s v="&quot;CNR5408466&quot;"/>
    <x v="2"/>
    <s v="&quot;CID1868442&quot;"/>
    <x v="2"/>
    <x v="152"/>
    <s v="Faridabad Sector 15"/>
    <x v="25"/>
    <n v="20.399999999999999"/>
    <s v="null"/>
    <s v="null"/>
    <s v="null"/>
    <s v="null"/>
    <s v="null"/>
    <s v="null"/>
    <n v="956"/>
    <n v="7"/>
    <x v="7"/>
    <x v="5"/>
    <s v="Cash"/>
  </r>
  <r>
    <x v="274"/>
    <x v="0"/>
    <x v="1252"/>
    <s v="&quot;CNR5851466&quot;"/>
    <x v="2"/>
    <s v="&quot;CID8072951&quot;"/>
    <x v="5"/>
    <x v="51"/>
    <s v="Raj Nagar Extension"/>
    <x v="36"/>
    <n v="31.7"/>
    <s v="null"/>
    <s v="null"/>
    <s v="null"/>
    <s v="null"/>
    <s v="null"/>
    <s v="null"/>
    <n v="214"/>
    <n v="18.39"/>
    <x v="6"/>
    <x v="6"/>
    <s v="UPI"/>
  </r>
  <r>
    <x v="248"/>
    <x v="5"/>
    <x v="1253"/>
    <s v="&quot;CNR8311436&quot;"/>
    <x v="2"/>
    <s v="&quot;CID5650687&quot;"/>
    <x v="2"/>
    <x v="48"/>
    <s v="Pitampura"/>
    <x v="32"/>
    <n v="37.700000000000003"/>
    <s v="null"/>
    <s v="null"/>
    <s v="null"/>
    <s v="null"/>
    <s v="null"/>
    <s v="null"/>
    <n v="352"/>
    <n v="2.65"/>
    <x v="14"/>
    <x v="6"/>
    <s v="Debit Card"/>
  </r>
  <r>
    <x v="311"/>
    <x v="8"/>
    <x v="1254"/>
    <s v="&quot;CNR7867304&quot;"/>
    <x v="2"/>
    <s v="&quot;CID7382209&quot;"/>
    <x v="1"/>
    <x v="153"/>
    <s v="Raj Nagar Extension"/>
    <x v="39"/>
    <n v="39.200000000000003"/>
    <s v="null"/>
    <s v="null"/>
    <s v="null"/>
    <s v="null"/>
    <s v="null"/>
    <s v="null"/>
    <n v="561"/>
    <n v="7.47"/>
    <x v="2"/>
    <x v="19"/>
    <s v="UPI"/>
  </r>
  <r>
    <x v="122"/>
    <x v="0"/>
    <x v="1255"/>
    <s v="&quot;CNR7389701&quot;"/>
    <x v="2"/>
    <s v="&quot;CID5092129&quot;"/>
    <x v="5"/>
    <x v="102"/>
    <s v="Akshardham"/>
    <x v="56"/>
    <n v="37.1"/>
    <s v="null"/>
    <s v="null"/>
    <s v="null"/>
    <s v="null"/>
    <s v="null"/>
    <s v="null"/>
    <n v="109"/>
    <n v="49.32"/>
    <x v="6"/>
    <x v="14"/>
    <s v="Uber Wallet"/>
  </r>
  <r>
    <x v="199"/>
    <x v="11"/>
    <x v="1256"/>
    <s v="&quot;CNR8658191&quot;"/>
    <x v="2"/>
    <s v="&quot;CID4667107&quot;"/>
    <x v="5"/>
    <x v="75"/>
    <s v="Chanakyapuri"/>
    <x v="100"/>
    <n v="42.3"/>
    <s v="null"/>
    <s v="null"/>
    <s v="null"/>
    <s v="null"/>
    <s v="null"/>
    <s v="null"/>
    <n v="1268"/>
    <n v="30.38"/>
    <x v="13"/>
    <x v="12"/>
    <s v="Uber Wallet"/>
  </r>
  <r>
    <x v="5"/>
    <x v="5"/>
    <x v="1257"/>
    <s v="&quot;CNR8721367&quot;"/>
    <x v="3"/>
    <s v="&quot;CID8035793&quot;"/>
    <x v="4"/>
    <x v="129"/>
    <s v="Saket"/>
    <x v="45"/>
    <s v="null"/>
    <s v="null"/>
    <s v="null"/>
    <n v="1"/>
    <s v="Personal &amp; Car related issues"/>
    <s v="null"/>
    <s v="null"/>
    <s v="null"/>
    <s v="null"/>
    <x v="0"/>
    <x v="0"/>
    <s v="null"/>
  </r>
  <r>
    <x v="298"/>
    <x v="6"/>
    <x v="1258"/>
    <s v="&quot;CNR3884384&quot;"/>
    <x v="2"/>
    <s v="&quot;CID8014396&quot;"/>
    <x v="2"/>
    <x v="113"/>
    <s v="Delhi Gate"/>
    <x v="86"/>
    <n v="18.399999999999999"/>
    <s v="null"/>
    <s v="null"/>
    <s v="null"/>
    <s v="null"/>
    <s v="null"/>
    <s v="null"/>
    <n v="83"/>
    <n v="39.83"/>
    <x v="3"/>
    <x v="3"/>
    <s v="Cash"/>
  </r>
  <r>
    <x v="315"/>
    <x v="1"/>
    <x v="1259"/>
    <s v="&quot;CNR3905714&quot;"/>
    <x v="0"/>
    <s v="&quot;CID8931547&quot;"/>
    <x v="2"/>
    <x v="135"/>
    <s v="Rajiv Chowk"/>
    <x v="0"/>
    <s v="null"/>
    <s v="null"/>
    <s v="null"/>
    <s v="null"/>
    <s v="null"/>
    <s v="null"/>
    <s v="null"/>
    <s v="null"/>
    <s v="null"/>
    <x v="0"/>
    <x v="0"/>
    <s v="null"/>
  </r>
  <r>
    <x v="322"/>
    <x v="10"/>
    <x v="1260"/>
    <s v="&quot;CNR6152848&quot;"/>
    <x v="0"/>
    <s v="&quot;CID3821860&quot;"/>
    <x v="5"/>
    <x v="118"/>
    <s v="Green Park"/>
    <x v="0"/>
    <s v="null"/>
    <s v="null"/>
    <s v="null"/>
    <s v="null"/>
    <s v="null"/>
    <s v="null"/>
    <s v="null"/>
    <s v="null"/>
    <s v="null"/>
    <x v="0"/>
    <x v="0"/>
    <s v="null"/>
  </r>
  <r>
    <x v="66"/>
    <x v="1"/>
    <x v="1261"/>
    <s v="&quot;CNR2200859&quot;"/>
    <x v="2"/>
    <s v="&quot;CID6727040&quot;"/>
    <x v="4"/>
    <x v="0"/>
    <s v="Jama Masjid"/>
    <x v="121"/>
    <n v="17.7"/>
    <s v="null"/>
    <s v="null"/>
    <s v="null"/>
    <s v="null"/>
    <s v="null"/>
    <s v="null"/>
    <n v="300"/>
    <n v="36.450000000000003"/>
    <x v="1"/>
    <x v="4"/>
    <s v="Debit Card"/>
  </r>
  <r>
    <x v="81"/>
    <x v="6"/>
    <x v="1262"/>
    <s v="&quot;CNR6640473&quot;"/>
    <x v="3"/>
    <s v="&quot;CID2669162&quot;"/>
    <x v="2"/>
    <x v="71"/>
    <s v="Karkarduma"/>
    <x v="109"/>
    <s v="null"/>
    <s v="null"/>
    <s v="null"/>
    <n v="1"/>
    <s v="The customer was coughing/sick"/>
    <s v="null"/>
    <s v="null"/>
    <s v="null"/>
    <s v="null"/>
    <x v="0"/>
    <x v="0"/>
    <s v="null"/>
  </r>
  <r>
    <x v="79"/>
    <x v="4"/>
    <x v="1263"/>
    <s v="&quot;CNR8602745&quot;"/>
    <x v="3"/>
    <s v="&quot;CID6173644&quot;"/>
    <x v="5"/>
    <x v="121"/>
    <s v="Nawada"/>
    <x v="93"/>
    <s v="null"/>
    <s v="null"/>
    <s v="null"/>
    <n v="1"/>
    <s v="Customer related issue"/>
    <s v="null"/>
    <s v="null"/>
    <s v="null"/>
    <s v="null"/>
    <x v="0"/>
    <x v="0"/>
    <s v="null"/>
  </r>
  <r>
    <x v="162"/>
    <x v="6"/>
    <x v="1264"/>
    <s v="&quot;CNR9352835&quot;"/>
    <x v="4"/>
    <s v="&quot;CID4457487&quot;"/>
    <x v="2"/>
    <x v="150"/>
    <s v="Old Gurgaon"/>
    <x v="61"/>
    <s v="null"/>
    <n v="1"/>
    <s v="Change of plans"/>
    <s v="null"/>
    <s v="null"/>
    <s v="null"/>
    <s v="null"/>
    <s v="null"/>
    <s v="null"/>
    <x v="0"/>
    <x v="0"/>
    <s v="null"/>
  </r>
  <r>
    <x v="84"/>
    <x v="9"/>
    <x v="1265"/>
    <s v="&quot;CNR8100419&quot;"/>
    <x v="3"/>
    <s v="&quot;CID6692588&quot;"/>
    <x v="4"/>
    <x v="94"/>
    <s v="GTB Nagar"/>
    <x v="1"/>
    <s v="null"/>
    <s v="null"/>
    <s v="null"/>
    <n v="1"/>
    <s v="Customer related issue"/>
    <s v="null"/>
    <s v="null"/>
    <s v="null"/>
    <s v="null"/>
    <x v="0"/>
    <x v="0"/>
    <s v="null"/>
  </r>
  <r>
    <x v="225"/>
    <x v="2"/>
    <x v="1266"/>
    <s v="&quot;CNR2814652&quot;"/>
    <x v="2"/>
    <s v="&quot;CID4581539&quot;"/>
    <x v="5"/>
    <x v="104"/>
    <s v="Civil Lines Gurgaon"/>
    <x v="9"/>
    <n v="43.8"/>
    <s v="null"/>
    <s v="null"/>
    <s v="null"/>
    <s v="null"/>
    <s v="null"/>
    <s v="null"/>
    <n v="275"/>
    <n v="23.54"/>
    <x v="2"/>
    <x v="13"/>
    <s v="Cash"/>
  </r>
  <r>
    <x v="321"/>
    <x v="6"/>
    <x v="1267"/>
    <s v="&quot;CNR8035837&quot;"/>
    <x v="4"/>
    <s v="&quot;CID8265637&quot;"/>
    <x v="2"/>
    <x v="119"/>
    <s v="Rajiv Chowk"/>
    <x v="153"/>
    <s v="null"/>
    <n v="1"/>
    <s v="Driver asked to cancel"/>
    <s v="null"/>
    <s v="null"/>
    <s v="null"/>
    <s v="null"/>
    <s v="null"/>
    <s v="null"/>
    <x v="0"/>
    <x v="0"/>
    <s v="null"/>
  </r>
  <r>
    <x v="17"/>
    <x v="7"/>
    <x v="1268"/>
    <s v="&quot;CNR1848296&quot;"/>
    <x v="4"/>
    <s v="&quot;CID8604615&quot;"/>
    <x v="1"/>
    <x v="129"/>
    <s v="Arjangarh"/>
    <x v="24"/>
    <s v="null"/>
    <n v="1"/>
    <s v="Change of plans"/>
    <s v="null"/>
    <s v="null"/>
    <s v="null"/>
    <s v="null"/>
    <s v="null"/>
    <s v="null"/>
    <x v="0"/>
    <x v="0"/>
    <s v="null"/>
  </r>
  <r>
    <x v="286"/>
    <x v="2"/>
    <x v="1269"/>
    <s v="&quot;CNR3979470&quot;"/>
    <x v="2"/>
    <s v="&quot;CID2119463&quot;"/>
    <x v="2"/>
    <x v="88"/>
    <s v="Indraprastha"/>
    <x v="8"/>
    <n v="44.7"/>
    <s v="null"/>
    <s v="null"/>
    <s v="null"/>
    <s v="null"/>
    <s v="null"/>
    <s v="null"/>
    <n v="557"/>
    <n v="26.49"/>
    <x v="12"/>
    <x v="2"/>
    <s v="Debit Card"/>
  </r>
  <r>
    <x v="228"/>
    <x v="0"/>
    <x v="1270"/>
    <s v="&quot;CNR2318755&quot;"/>
    <x v="0"/>
    <s v="&quot;CID7837406&quot;"/>
    <x v="1"/>
    <x v="143"/>
    <s v="Rohini West"/>
    <x v="0"/>
    <s v="null"/>
    <s v="null"/>
    <s v="null"/>
    <s v="null"/>
    <s v="null"/>
    <s v="null"/>
    <s v="null"/>
    <s v="null"/>
    <s v="null"/>
    <x v="0"/>
    <x v="0"/>
    <s v="null"/>
  </r>
  <r>
    <x v="43"/>
    <x v="2"/>
    <x v="1271"/>
    <s v="&quot;CNR3360741&quot;"/>
    <x v="2"/>
    <s v="&quot;CID6511674&quot;"/>
    <x v="4"/>
    <x v="9"/>
    <s v="Sadar Bazar Gurgaon"/>
    <x v="95"/>
    <n v="35.200000000000003"/>
    <s v="null"/>
    <s v="null"/>
    <s v="null"/>
    <s v="null"/>
    <s v="null"/>
    <s v="null"/>
    <n v="919"/>
    <n v="2.14"/>
    <x v="8"/>
    <x v="4"/>
    <s v="Cash"/>
  </r>
  <r>
    <x v="182"/>
    <x v="3"/>
    <x v="1272"/>
    <s v="&quot;CNR7710350&quot;"/>
    <x v="3"/>
    <s v="&quot;CID7033162&quot;"/>
    <x v="6"/>
    <x v="140"/>
    <s v="Inderlok"/>
    <x v="24"/>
    <s v="null"/>
    <s v="null"/>
    <s v="null"/>
    <n v="1"/>
    <s v="Customer related issue"/>
    <s v="null"/>
    <s v="null"/>
    <s v="null"/>
    <s v="null"/>
    <x v="0"/>
    <x v="0"/>
    <s v="null"/>
  </r>
  <r>
    <x v="268"/>
    <x v="9"/>
    <x v="1273"/>
    <s v="&quot;CNR6077256&quot;"/>
    <x v="3"/>
    <s v="&quot;CID8753757&quot;"/>
    <x v="5"/>
    <x v="167"/>
    <s v="Punjabi Bagh"/>
    <x v="23"/>
    <s v="null"/>
    <s v="null"/>
    <s v="null"/>
    <n v="1"/>
    <s v="More than permitted people in there"/>
    <s v="null"/>
    <s v="null"/>
    <s v="null"/>
    <s v="null"/>
    <x v="0"/>
    <x v="0"/>
    <s v="null"/>
  </r>
  <r>
    <x v="221"/>
    <x v="8"/>
    <x v="1274"/>
    <s v="&quot;CNR9047135&quot;"/>
    <x v="2"/>
    <s v="&quot;CID6857695&quot;"/>
    <x v="5"/>
    <x v="129"/>
    <s v="Arjangarh"/>
    <x v="117"/>
    <n v="30.5"/>
    <s v="null"/>
    <s v="null"/>
    <s v="null"/>
    <s v="null"/>
    <s v="null"/>
    <s v="null"/>
    <n v="135"/>
    <n v="43.35"/>
    <x v="6"/>
    <x v="4"/>
    <s v="UPI"/>
  </r>
  <r>
    <x v="270"/>
    <x v="9"/>
    <x v="1275"/>
    <s v="&quot;CNR2829477&quot;"/>
    <x v="1"/>
    <s v="&quot;CID8764825&quot;"/>
    <x v="0"/>
    <x v="102"/>
    <s v="Mehrauli"/>
    <x v="5"/>
    <n v="25.1"/>
    <s v="null"/>
    <s v="null"/>
    <s v="null"/>
    <s v="null"/>
    <n v="1"/>
    <s v="Other Issue"/>
    <n v="191"/>
    <n v="13.69"/>
    <x v="0"/>
    <x v="0"/>
    <s v="Uber Wallet"/>
  </r>
  <r>
    <x v="263"/>
    <x v="7"/>
    <x v="1276"/>
    <s v="&quot;CNR6570807&quot;"/>
    <x v="3"/>
    <s v="&quot;CID5965629&quot;"/>
    <x v="1"/>
    <x v="130"/>
    <s v="Aya Nagar"/>
    <x v="106"/>
    <s v="null"/>
    <s v="null"/>
    <s v="null"/>
    <n v="1"/>
    <s v="Personal &amp; Car related issues"/>
    <s v="null"/>
    <s v="null"/>
    <s v="null"/>
    <s v="null"/>
    <x v="0"/>
    <x v="0"/>
    <s v="null"/>
  </r>
  <r>
    <x v="215"/>
    <x v="7"/>
    <x v="1277"/>
    <s v="&quot;CNR4783118&quot;"/>
    <x v="2"/>
    <s v="&quot;CID3710964&quot;"/>
    <x v="6"/>
    <x v="27"/>
    <s v="Arjangarh"/>
    <x v="70"/>
    <n v="24.9"/>
    <s v="null"/>
    <s v="null"/>
    <s v="null"/>
    <s v="null"/>
    <s v="null"/>
    <s v="null"/>
    <n v="1052"/>
    <n v="37.619999999999997"/>
    <x v="6"/>
    <x v="6"/>
    <s v="Uber Wallet"/>
  </r>
  <r>
    <x v="308"/>
    <x v="8"/>
    <x v="1278"/>
    <s v="&quot;CNR3920468&quot;"/>
    <x v="2"/>
    <s v="&quot;CID9192106&quot;"/>
    <x v="4"/>
    <x v="86"/>
    <s v="Jama Masjid"/>
    <x v="25"/>
    <n v="37.9"/>
    <s v="null"/>
    <s v="null"/>
    <s v="null"/>
    <s v="null"/>
    <s v="null"/>
    <s v="null"/>
    <n v="484"/>
    <n v="31.48"/>
    <x v="10"/>
    <x v="3"/>
    <s v="Credit Card"/>
  </r>
  <r>
    <x v="0"/>
    <x v="0"/>
    <x v="1279"/>
    <s v="&quot;CNR8734614&quot;"/>
    <x v="2"/>
    <s v="&quot;CID5457947&quot;"/>
    <x v="2"/>
    <x v="34"/>
    <s v="Kashmere Gate ISBT"/>
    <x v="8"/>
    <n v="30"/>
    <s v="null"/>
    <s v="null"/>
    <s v="null"/>
    <s v="null"/>
    <s v="null"/>
    <s v="null"/>
    <n v="849"/>
    <n v="34.049999999999997"/>
    <x v="14"/>
    <x v="2"/>
    <s v="Cash"/>
  </r>
  <r>
    <x v="190"/>
    <x v="0"/>
    <x v="1280"/>
    <s v="&quot;CNR2940039&quot;"/>
    <x v="2"/>
    <s v="&quot;CID5570675&quot;"/>
    <x v="3"/>
    <x v="125"/>
    <s v="IMT Manesar"/>
    <x v="14"/>
    <n v="21.3"/>
    <s v="null"/>
    <s v="null"/>
    <s v="null"/>
    <s v="null"/>
    <s v="null"/>
    <s v="null"/>
    <n v="407"/>
    <n v="14.91"/>
    <x v="5"/>
    <x v="4"/>
    <s v="UPI"/>
  </r>
  <r>
    <x v="353"/>
    <x v="0"/>
    <x v="1281"/>
    <s v="&quot;CNR5977963&quot;"/>
    <x v="2"/>
    <s v="&quot;CID4969846&quot;"/>
    <x v="2"/>
    <x v="57"/>
    <s v="Kashmere Gate"/>
    <x v="66"/>
    <n v="28"/>
    <s v="null"/>
    <s v="null"/>
    <s v="null"/>
    <s v="null"/>
    <s v="null"/>
    <s v="null"/>
    <n v="542"/>
    <n v="26.7"/>
    <x v="8"/>
    <x v="5"/>
    <s v="Cash"/>
  </r>
  <r>
    <x v="284"/>
    <x v="3"/>
    <x v="440"/>
    <s v="&quot;CNR7404881&quot;"/>
    <x v="2"/>
    <s v="&quot;CID2753595&quot;"/>
    <x v="3"/>
    <x v="110"/>
    <s v="Dwarka Mor"/>
    <x v="44"/>
    <n v="38.1"/>
    <s v="null"/>
    <s v="null"/>
    <s v="null"/>
    <s v="null"/>
    <s v="null"/>
    <s v="null"/>
    <n v="1461"/>
    <n v="44.3"/>
    <x v="5"/>
    <x v="2"/>
    <s v="Cash"/>
  </r>
  <r>
    <x v="80"/>
    <x v="11"/>
    <x v="1282"/>
    <s v="&quot;CNR4266422&quot;"/>
    <x v="2"/>
    <s v="&quot;CID4272727&quot;"/>
    <x v="2"/>
    <x v="67"/>
    <s v="INA Market"/>
    <x v="11"/>
    <n v="36.700000000000003"/>
    <s v="null"/>
    <s v="null"/>
    <s v="null"/>
    <s v="null"/>
    <s v="null"/>
    <s v="null"/>
    <n v="298"/>
    <n v="31.23"/>
    <x v="14"/>
    <x v="7"/>
    <s v="Cash"/>
  </r>
  <r>
    <x v="350"/>
    <x v="5"/>
    <x v="1283"/>
    <s v="&quot;CNR2422547&quot;"/>
    <x v="2"/>
    <s v="&quot;CID7269888&quot;"/>
    <x v="2"/>
    <x v="110"/>
    <s v="Seelampur"/>
    <x v="95"/>
    <n v="33.700000000000003"/>
    <s v="null"/>
    <s v="null"/>
    <s v="null"/>
    <s v="null"/>
    <s v="null"/>
    <s v="null"/>
    <n v="139"/>
    <n v="41.91"/>
    <x v="6"/>
    <x v="6"/>
    <s v="Credit Card"/>
  </r>
  <r>
    <x v="214"/>
    <x v="3"/>
    <x v="1284"/>
    <s v="&quot;CNR6461404&quot;"/>
    <x v="2"/>
    <s v="&quot;CID6823770&quot;"/>
    <x v="3"/>
    <x v="120"/>
    <s v="Keshav Puram"/>
    <x v="79"/>
    <n v="16.5"/>
    <s v="null"/>
    <s v="null"/>
    <s v="null"/>
    <s v="null"/>
    <s v="null"/>
    <s v="null"/>
    <n v="297"/>
    <n v="30.75"/>
    <x v="13"/>
    <x v="3"/>
    <s v="Debit Card"/>
  </r>
  <r>
    <x v="247"/>
    <x v="10"/>
    <x v="1285"/>
    <s v="&quot;CNR6414402&quot;"/>
    <x v="4"/>
    <s v="&quot;CID3449198&quot;"/>
    <x v="2"/>
    <x v="33"/>
    <s v="Tis Hazari"/>
    <x v="27"/>
    <s v="null"/>
    <n v="1"/>
    <s v="Change of plans"/>
    <s v="null"/>
    <s v="null"/>
    <s v="null"/>
    <s v="null"/>
    <s v="null"/>
    <s v="null"/>
    <x v="0"/>
    <x v="0"/>
    <s v="null"/>
  </r>
  <r>
    <x v="150"/>
    <x v="0"/>
    <x v="1286"/>
    <s v="&quot;CNR2682037&quot;"/>
    <x v="3"/>
    <s v="&quot;CID8280197&quot;"/>
    <x v="1"/>
    <x v="62"/>
    <s v="Paharganj"/>
    <x v="73"/>
    <s v="null"/>
    <s v="null"/>
    <s v="null"/>
    <n v="1"/>
    <s v="More than permitted people in there"/>
    <s v="null"/>
    <s v="null"/>
    <s v="null"/>
    <s v="null"/>
    <x v="0"/>
    <x v="0"/>
    <s v="null"/>
  </r>
  <r>
    <x v="291"/>
    <x v="10"/>
    <x v="1287"/>
    <s v="&quot;CNR2412683&quot;"/>
    <x v="2"/>
    <s v="&quot;CID6579742&quot;"/>
    <x v="4"/>
    <x v="84"/>
    <s v="Vishwavidyalaya"/>
    <x v="15"/>
    <n v="41.6"/>
    <s v="null"/>
    <s v="null"/>
    <s v="null"/>
    <s v="null"/>
    <s v="null"/>
    <s v="null"/>
    <n v="331"/>
    <n v="31.38"/>
    <x v="6"/>
    <x v="3"/>
    <s v="Debit Card"/>
  </r>
  <r>
    <x v="118"/>
    <x v="7"/>
    <x v="1288"/>
    <s v="&quot;CNR4086586&quot;"/>
    <x v="3"/>
    <s v="&quot;CID8199368&quot;"/>
    <x v="1"/>
    <x v="145"/>
    <s v="Gurgaon Railway Station"/>
    <x v="18"/>
    <s v="null"/>
    <s v="null"/>
    <s v="null"/>
    <n v="1"/>
    <s v="More than permitted people in there"/>
    <s v="null"/>
    <s v="null"/>
    <s v="null"/>
    <s v="null"/>
    <x v="0"/>
    <x v="0"/>
    <s v="null"/>
  </r>
  <r>
    <x v="250"/>
    <x v="10"/>
    <x v="1289"/>
    <s v="&quot;CNR7434952&quot;"/>
    <x v="1"/>
    <s v="&quot;CID3124125&quot;"/>
    <x v="5"/>
    <x v="143"/>
    <s v="Greater Noida"/>
    <x v="69"/>
    <n v="18.2"/>
    <s v="null"/>
    <s v="null"/>
    <s v="null"/>
    <s v="null"/>
    <n v="1"/>
    <s v="Vehicle Breakdown"/>
    <n v="477"/>
    <n v="16.22"/>
    <x v="0"/>
    <x v="0"/>
    <s v="UPI"/>
  </r>
  <r>
    <x v="206"/>
    <x v="10"/>
    <x v="1290"/>
    <s v="&quot;CNR5724237&quot;"/>
    <x v="3"/>
    <s v="&quot;CID5731938&quot;"/>
    <x v="5"/>
    <x v="14"/>
    <s v="Basai Dhankot"/>
    <x v="5"/>
    <s v="null"/>
    <s v="null"/>
    <s v="null"/>
    <n v="1"/>
    <s v="Customer related issue"/>
    <s v="null"/>
    <s v="null"/>
    <s v="null"/>
    <s v="null"/>
    <x v="0"/>
    <x v="0"/>
    <s v="null"/>
  </r>
  <r>
    <x v="97"/>
    <x v="8"/>
    <x v="1291"/>
    <s v="&quot;CNR9105289&quot;"/>
    <x v="0"/>
    <s v="&quot;CID5473405&quot;"/>
    <x v="1"/>
    <x v="145"/>
    <s v="Seelampur"/>
    <x v="0"/>
    <s v="null"/>
    <s v="null"/>
    <s v="null"/>
    <s v="null"/>
    <s v="null"/>
    <s v="null"/>
    <s v="null"/>
    <s v="null"/>
    <s v="null"/>
    <x v="0"/>
    <x v="0"/>
    <s v="null"/>
  </r>
  <r>
    <x v="321"/>
    <x v="6"/>
    <x v="1292"/>
    <s v="&quot;CNR8140892&quot;"/>
    <x v="1"/>
    <s v="&quot;CID1641337&quot;"/>
    <x v="5"/>
    <x v="87"/>
    <s v="Noida Sector 18"/>
    <x v="78"/>
    <n v="19.600000000000001"/>
    <s v="null"/>
    <s v="null"/>
    <s v="null"/>
    <s v="null"/>
    <n v="1"/>
    <s v="Vehicle Breakdown"/>
    <n v="205"/>
    <n v="15.7"/>
    <x v="0"/>
    <x v="0"/>
    <s v="UPI"/>
  </r>
  <r>
    <x v="343"/>
    <x v="5"/>
    <x v="1293"/>
    <s v="&quot;CNR3911009&quot;"/>
    <x v="2"/>
    <s v="&quot;CID6376854&quot;"/>
    <x v="5"/>
    <x v="119"/>
    <s v="Jahangirpuri"/>
    <x v="87"/>
    <n v="17.7"/>
    <s v="null"/>
    <s v="null"/>
    <s v="null"/>
    <s v="null"/>
    <s v="null"/>
    <s v="null"/>
    <n v="307"/>
    <n v="9.91"/>
    <x v="2"/>
    <x v="4"/>
    <s v="UPI"/>
  </r>
  <r>
    <x v="355"/>
    <x v="7"/>
    <x v="1294"/>
    <s v="&quot;CNR7881174&quot;"/>
    <x v="3"/>
    <s v="&quot;CID1406656&quot;"/>
    <x v="4"/>
    <x v="44"/>
    <s v="RK Puram"/>
    <x v="56"/>
    <s v="null"/>
    <s v="null"/>
    <s v="null"/>
    <n v="1"/>
    <s v="The customer was coughing/sick"/>
    <s v="null"/>
    <s v="null"/>
    <s v="null"/>
    <s v="null"/>
    <x v="0"/>
    <x v="0"/>
    <s v="null"/>
  </r>
  <r>
    <x v="172"/>
    <x v="11"/>
    <x v="1295"/>
    <s v="&quot;CNR6234496&quot;"/>
    <x v="1"/>
    <s v="&quot;CID2254882&quot;"/>
    <x v="3"/>
    <x v="145"/>
    <s v="Ramesh Nagar"/>
    <x v="101"/>
    <n v="24.3"/>
    <s v="null"/>
    <s v="null"/>
    <s v="null"/>
    <s v="null"/>
    <n v="1"/>
    <s v="Other Issue"/>
    <n v="849"/>
    <n v="16.34"/>
    <x v="0"/>
    <x v="0"/>
    <s v="UPI"/>
  </r>
  <r>
    <x v="339"/>
    <x v="10"/>
    <x v="1296"/>
    <s v="&quot;CNR7294075&quot;"/>
    <x v="2"/>
    <s v="&quot;CID6392882&quot;"/>
    <x v="4"/>
    <x v="30"/>
    <s v="Kanhaiya Nagar"/>
    <x v="48"/>
    <n v="18.100000000000001"/>
    <s v="null"/>
    <s v="null"/>
    <s v="null"/>
    <s v="null"/>
    <s v="null"/>
    <s v="null"/>
    <n v="739"/>
    <n v="36.6"/>
    <x v="6"/>
    <x v="6"/>
    <s v="UPI"/>
  </r>
  <r>
    <x v="314"/>
    <x v="9"/>
    <x v="1297"/>
    <s v="&quot;CNR6930200&quot;"/>
    <x v="3"/>
    <s v="&quot;CID2621252&quot;"/>
    <x v="5"/>
    <x v="23"/>
    <s v="Central Secretariat"/>
    <x v="32"/>
    <s v="null"/>
    <s v="null"/>
    <s v="null"/>
    <n v="1"/>
    <s v="Customer related issue"/>
    <s v="null"/>
    <s v="null"/>
    <s v="null"/>
    <s v="null"/>
    <x v="0"/>
    <x v="0"/>
    <s v="null"/>
  </r>
  <r>
    <x v="173"/>
    <x v="4"/>
    <x v="1298"/>
    <s v="&quot;CNR7500978&quot;"/>
    <x v="1"/>
    <s v="&quot;CID3116920&quot;"/>
    <x v="6"/>
    <x v="76"/>
    <s v="Shahdara"/>
    <x v="63"/>
    <n v="25"/>
    <s v="null"/>
    <s v="null"/>
    <s v="null"/>
    <s v="null"/>
    <n v="1"/>
    <s v="Other Issue"/>
    <n v="106"/>
    <n v="13.97"/>
    <x v="0"/>
    <x v="0"/>
    <s v="UPI"/>
  </r>
  <r>
    <x v="273"/>
    <x v="8"/>
    <x v="1299"/>
    <s v="&quot;CNR4384581&quot;"/>
    <x v="2"/>
    <s v="&quot;CID6788724&quot;"/>
    <x v="1"/>
    <x v="96"/>
    <s v="Ghitorni"/>
    <x v="31"/>
    <n v="23.8"/>
    <s v="null"/>
    <s v="null"/>
    <s v="null"/>
    <s v="null"/>
    <s v="null"/>
    <s v="null"/>
    <n v="820"/>
    <n v="32.93"/>
    <x v="6"/>
    <x v="1"/>
    <s v="Uber Wallet"/>
  </r>
  <r>
    <x v="315"/>
    <x v="1"/>
    <x v="1300"/>
    <s v="&quot;CNR9213654&quot;"/>
    <x v="1"/>
    <s v="&quot;CID3125976&quot;"/>
    <x v="4"/>
    <x v="36"/>
    <s v="Noida Sector 62"/>
    <x v="20"/>
    <n v="12.2"/>
    <s v="null"/>
    <s v="null"/>
    <s v="null"/>
    <s v="null"/>
    <n v="1"/>
    <s v="Other Issue"/>
    <n v="822"/>
    <n v="14.85"/>
    <x v="0"/>
    <x v="0"/>
    <s v="UPI"/>
  </r>
  <r>
    <x v="168"/>
    <x v="4"/>
    <x v="1301"/>
    <s v="&quot;CNR6103117&quot;"/>
    <x v="2"/>
    <s v="&quot;CID7297645&quot;"/>
    <x v="2"/>
    <x v="171"/>
    <s v="Meerut"/>
    <x v="30"/>
    <n v="19.600000000000001"/>
    <s v="null"/>
    <s v="null"/>
    <s v="null"/>
    <s v="null"/>
    <s v="null"/>
    <s v="null"/>
    <n v="2060"/>
    <n v="29.61"/>
    <x v="2"/>
    <x v="3"/>
    <s v="Uber Wallet"/>
  </r>
  <r>
    <x v="13"/>
    <x v="4"/>
    <x v="1302"/>
    <s v="&quot;CNR9567421&quot;"/>
    <x v="4"/>
    <s v="&quot;CID4263992&quot;"/>
    <x v="4"/>
    <x v="7"/>
    <s v="INA Market"/>
    <x v="119"/>
    <s v="null"/>
    <n v="1"/>
    <s v="Wrong Address"/>
    <s v="null"/>
    <s v="null"/>
    <s v="null"/>
    <s v="null"/>
    <s v="null"/>
    <s v="null"/>
    <x v="0"/>
    <x v="0"/>
    <s v="null"/>
  </r>
  <r>
    <x v="100"/>
    <x v="0"/>
    <x v="1303"/>
    <s v="&quot;CNR4440585&quot;"/>
    <x v="2"/>
    <s v="&quot;CID9563353&quot;"/>
    <x v="2"/>
    <x v="152"/>
    <s v="Palam Vihar"/>
    <x v="73"/>
    <n v="16.8"/>
    <s v="null"/>
    <s v="null"/>
    <s v="null"/>
    <s v="null"/>
    <s v="null"/>
    <s v="null"/>
    <n v="336"/>
    <n v="41.67"/>
    <x v="6"/>
    <x v="8"/>
    <s v="UPI"/>
  </r>
  <r>
    <x v="185"/>
    <x v="8"/>
    <x v="1304"/>
    <s v="&quot;CNR2126335&quot;"/>
    <x v="3"/>
    <s v="&quot;CID3268404&quot;"/>
    <x v="2"/>
    <x v="30"/>
    <s v="Mehrauli"/>
    <x v="32"/>
    <s v="null"/>
    <s v="null"/>
    <s v="null"/>
    <n v="1"/>
    <s v="The customer was coughing/sick"/>
    <s v="null"/>
    <s v="null"/>
    <s v="null"/>
    <s v="null"/>
    <x v="0"/>
    <x v="0"/>
    <s v="null"/>
  </r>
  <r>
    <x v="129"/>
    <x v="2"/>
    <x v="1305"/>
    <s v="&quot;CNR4701328&quot;"/>
    <x v="1"/>
    <s v="&quot;CID3166317&quot;"/>
    <x v="1"/>
    <x v="67"/>
    <s v="Azadpur"/>
    <x v="99"/>
    <n v="27.4"/>
    <s v="null"/>
    <s v="null"/>
    <s v="null"/>
    <s v="null"/>
    <n v="1"/>
    <s v="Other Issue"/>
    <n v="478"/>
    <n v="18.82"/>
    <x v="0"/>
    <x v="0"/>
    <s v="UPI"/>
  </r>
  <r>
    <x v="294"/>
    <x v="4"/>
    <x v="1306"/>
    <s v="&quot;CNR2663745&quot;"/>
    <x v="2"/>
    <s v="&quot;CID7818797&quot;"/>
    <x v="2"/>
    <x v="29"/>
    <s v="Paschim Vihar"/>
    <x v="51"/>
    <n v="34.6"/>
    <s v="null"/>
    <s v="null"/>
    <s v="null"/>
    <s v="null"/>
    <s v="null"/>
    <s v="null"/>
    <n v="413"/>
    <n v="4.08"/>
    <x v="1"/>
    <x v="11"/>
    <s v="UPI"/>
  </r>
  <r>
    <x v="15"/>
    <x v="6"/>
    <x v="1307"/>
    <s v="&quot;CNR6628353&quot;"/>
    <x v="3"/>
    <s v="&quot;CID8644192&quot;"/>
    <x v="4"/>
    <x v="106"/>
    <s v="Subhash Nagar"/>
    <x v="137"/>
    <s v="null"/>
    <s v="null"/>
    <s v="null"/>
    <n v="1"/>
    <s v="Personal &amp; Car related issues"/>
    <s v="null"/>
    <s v="null"/>
    <s v="null"/>
    <s v="null"/>
    <x v="0"/>
    <x v="0"/>
    <s v="null"/>
  </r>
  <r>
    <x v="121"/>
    <x v="6"/>
    <x v="1308"/>
    <s v="&quot;CNR5349006&quot;"/>
    <x v="2"/>
    <s v="&quot;CID7801739&quot;"/>
    <x v="5"/>
    <x v="76"/>
    <s v="DLF Phase 3"/>
    <x v="10"/>
    <n v="32.4"/>
    <s v="null"/>
    <s v="null"/>
    <s v="null"/>
    <s v="null"/>
    <s v="null"/>
    <s v="null"/>
    <n v="273"/>
    <n v="10.92"/>
    <x v="8"/>
    <x v="3"/>
    <s v="UPI"/>
  </r>
  <r>
    <x v="270"/>
    <x v="9"/>
    <x v="1309"/>
    <s v="&quot;CNR2966974&quot;"/>
    <x v="3"/>
    <s v="&quot;CID5196326&quot;"/>
    <x v="5"/>
    <x v="164"/>
    <s v="Kaushambi"/>
    <x v="13"/>
    <s v="null"/>
    <s v="null"/>
    <s v="null"/>
    <n v="1"/>
    <s v="Personal &amp; Car related issues"/>
    <s v="null"/>
    <s v="null"/>
    <s v="null"/>
    <s v="null"/>
    <x v="0"/>
    <x v="0"/>
    <s v="null"/>
  </r>
  <r>
    <x v="55"/>
    <x v="8"/>
    <x v="1310"/>
    <s v="&quot;CNR6471732&quot;"/>
    <x v="1"/>
    <s v="&quot;CID8604432&quot;"/>
    <x v="2"/>
    <x v="155"/>
    <s v="Gwal Pahari"/>
    <x v="95"/>
    <n v="27.5"/>
    <s v="null"/>
    <s v="null"/>
    <s v="null"/>
    <s v="null"/>
    <n v="1"/>
    <s v="Vehicle Breakdown"/>
    <n v="839"/>
    <n v="9.9"/>
    <x v="0"/>
    <x v="0"/>
    <s v="UPI"/>
  </r>
  <r>
    <x v="209"/>
    <x v="2"/>
    <x v="1311"/>
    <s v="&quot;CNR4320305&quot;"/>
    <x v="2"/>
    <s v="&quot;CID1767919&quot;"/>
    <x v="5"/>
    <x v="58"/>
    <s v="Kirti Nagar"/>
    <x v="62"/>
    <n v="32.9"/>
    <s v="null"/>
    <s v="null"/>
    <s v="null"/>
    <s v="null"/>
    <s v="null"/>
    <s v="null"/>
    <n v="947"/>
    <n v="16.52"/>
    <x v="13"/>
    <x v="6"/>
    <s v="Cash"/>
  </r>
  <r>
    <x v="133"/>
    <x v="8"/>
    <x v="1312"/>
    <s v="&quot;CNR6955003&quot;"/>
    <x v="2"/>
    <s v="&quot;CID3120064&quot;"/>
    <x v="2"/>
    <x v="134"/>
    <s v="Gurgaon Sector 29"/>
    <x v="106"/>
    <n v="23.5"/>
    <s v="null"/>
    <s v="null"/>
    <s v="null"/>
    <s v="null"/>
    <s v="null"/>
    <s v="null"/>
    <n v="135"/>
    <n v="18.260000000000002"/>
    <x v="14"/>
    <x v="4"/>
    <s v="Debit Card"/>
  </r>
  <r>
    <x v="133"/>
    <x v="8"/>
    <x v="1313"/>
    <s v="&quot;CNR6242669&quot;"/>
    <x v="0"/>
    <s v="&quot;CID7730528&quot;"/>
    <x v="5"/>
    <x v="32"/>
    <s v="IMT Manesar"/>
    <x v="0"/>
    <s v="null"/>
    <s v="null"/>
    <s v="null"/>
    <s v="null"/>
    <s v="null"/>
    <s v="null"/>
    <s v="null"/>
    <s v="null"/>
    <s v="null"/>
    <x v="0"/>
    <x v="0"/>
    <s v="null"/>
  </r>
  <r>
    <x v="82"/>
    <x v="3"/>
    <x v="1314"/>
    <s v="&quot;CNR5803170&quot;"/>
    <x v="2"/>
    <s v="&quot;CID3781033&quot;"/>
    <x v="2"/>
    <x v="38"/>
    <s v="Samaypur Badli"/>
    <x v="59"/>
    <n v="39.799999999999997"/>
    <s v="null"/>
    <s v="null"/>
    <s v="null"/>
    <s v="null"/>
    <s v="null"/>
    <s v="null"/>
    <n v="626"/>
    <n v="20.309999999999999"/>
    <x v="14"/>
    <x v="6"/>
    <s v="UPI"/>
  </r>
  <r>
    <x v="72"/>
    <x v="4"/>
    <x v="1315"/>
    <s v="&quot;CNR2472912&quot;"/>
    <x v="2"/>
    <s v="&quot;CID6714573&quot;"/>
    <x v="5"/>
    <x v="133"/>
    <s v="Samaypur Badli"/>
    <x v="101"/>
    <n v="39.5"/>
    <s v="null"/>
    <s v="null"/>
    <s v="null"/>
    <s v="null"/>
    <s v="null"/>
    <s v="null"/>
    <n v="582"/>
    <n v="34.08"/>
    <x v="2"/>
    <x v="1"/>
    <s v="Cash"/>
  </r>
  <r>
    <x v="153"/>
    <x v="8"/>
    <x v="1316"/>
    <s v="&quot;CNR9749536&quot;"/>
    <x v="2"/>
    <s v="&quot;CID9719978&quot;"/>
    <x v="2"/>
    <x v="69"/>
    <s v="Paschim Vihar"/>
    <x v="119"/>
    <n v="17.899999999999999"/>
    <s v="null"/>
    <s v="null"/>
    <s v="null"/>
    <s v="null"/>
    <s v="null"/>
    <s v="null"/>
    <n v="332"/>
    <n v="49.36"/>
    <x v="2"/>
    <x v="18"/>
    <s v="Cash"/>
  </r>
  <r>
    <x v="213"/>
    <x v="3"/>
    <x v="1317"/>
    <s v="&quot;CNR5765982&quot;"/>
    <x v="2"/>
    <s v="&quot;CID1580809&quot;"/>
    <x v="2"/>
    <x v="34"/>
    <s v="Kherki Daula Toll"/>
    <x v="110"/>
    <n v="44.8"/>
    <s v="null"/>
    <s v="null"/>
    <s v="null"/>
    <s v="null"/>
    <s v="null"/>
    <s v="null"/>
    <n v="741"/>
    <n v="21.11"/>
    <x v="12"/>
    <x v="14"/>
    <s v="Cash"/>
  </r>
  <r>
    <x v="65"/>
    <x v="9"/>
    <x v="1318"/>
    <s v="&quot;CNR2386376&quot;"/>
    <x v="2"/>
    <s v="&quot;CID4198435&quot;"/>
    <x v="1"/>
    <x v="24"/>
    <s v="Kirti Nagar"/>
    <x v="83"/>
    <n v="22.8"/>
    <s v="null"/>
    <s v="null"/>
    <s v="null"/>
    <s v="null"/>
    <s v="null"/>
    <s v="null"/>
    <n v="148"/>
    <n v="25.88"/>
    <x v="6"/>
    <x v="8"/>
    <s v="UPI"/>
  </r>
  <r>
    <x v="145"/>
    <x v="7"/>
    <x v="1319"/>
    <s v="&quot;CNR6006351&quot;"/>
    <x v="2"/>
    <s v="&quot;CID6272410&quot;"/>
    <x v="5"/>
    <x v="123"/>
    <s v="Mansarovar Park"/>
    <x v="22"/>
    <n v="26.9"/>
    <s v="null"/>
    <s v="null"/>
    <s v="null"/>
    <s v="null"/>
    <s v="null"/>
    <s v="null"/>
    <n v="106"/>
    <n v="43.23"/>
    <x v="7"/>
    <x v="3"/>
    <s v="Debit Card"/>
  </r>
  <r>
    <x v="149"/>
    <x v="8"/>
    <x v="1320"/>
    <s v="&quot;CNR4696389&quot;"/>
    <x v="4"/>
    <s v="&quot;CID6634327&quot;"/>
    <x v="5"/>
    <x v="142"/>
    <s v="IGI Airport"/>
    <x v="136"/>
    <s v="null"/>
    <n v="1"/>
    <s v="Driver asked to cancel"/>
    <s v="null"/>
    <s v="null"/>
    <s v="null"/>
    <s v="null"/>
    <s v="null"/>
    <s v="null"/>
    <x v="0"/>
    <x v="0"/>
    <s v="null"/>
  </r>
  <r>
    <x v="115"/>
    <x v="11"/>
    <x v="1321"/>
    <s v="&quot;CNR7842897&quot;"/>
    <x v="2"/>
    <s v="&quot;CID9682469&quot;"/>
    <x v="3"/>
    <x v="57"/>
    <s v="Manesar"/>
    <x v="15"/>
    <n v="26"/>
    <s v="null"/>
    <s v="null"/>
    <s v="null"/>
    <s v="null"/>
    <s v="null"/>
    <s v="null"/>
    <n v="1072"/>
    <n v="43.56"/>
    <x v="3"/>
    <x v="1"/>
    <s v="Cash"/>
  </r>
  <r>
    <x v="123"/>
    <x v="1"/>
    <x v="1322"/>
    <s v="&quot;CNR7373817&quot;"/>
    <x v="0"/>
    <s v="&quot;CID2106539&quot;"/>
    <x v="4"/>
    <x v="143"/>
    <s v="Noida Film City"/>
    <x v="0"/>
    <s v="null"/>
    <s v="null"/>
    <s v="null"/>
    <s v="null"/>
    <s v="null"/>
    <s v="null"/>
    <s v="null"/>
    <s v="null"/>
    <s v="null"/>
    <x v="0"/>
    <x v="0"/>
    <s v="null"/>
  </r>
  <r>
    <x v="352"/>
    <x v="4"/>
    <x v="1323"/>
    <s v="&quot;CNR7886440&quot;"/>
    <x v="2"/>
    <s v="&quot;CID9017268&quot;"/>
    <x v="5"/>
    <x v="116"/>
    <s v="Mayur Vihar"/>
    <x v="88"/>
    <n v="15.9"/>
    <s v="null"/>
    <s v="null"/>
    <s v="null"/>
    <s v="null"/>
    <s v="null"/>
    <s v="null"/>
    <n v="3453"/>
    <n v="18.13"/>
    <x v="3"/>
    <x v="5"/>
    <s v="Cash"/>
  </r>
  <r>
    <x v="132"/>
    <x v="5"/>
    <x v="1324"/>
    <s v="&quot;CNR1185434&quot;"/>
    <x v="0"/>
    <s v="&quot;CID5838933&quot;"/>
    <x v="6"/>
    <x v="81"/>
    <s v="Kherki Daula Toll"/>
    <x v="0"/>
    <s v="null"/>
    <s v="null"/>
    <s v="null"/>
    <s v="null"/>
    <s v="null"/>
    <s v="null"/>
    <s v="null"/>
    <s v="null"/>
    <s v="null"/>
    <x v="0"/>
    <x v="0"/>
    <s v="null"/>
  </r>
  <r>
    <x v="277"/>
    <x v="10"/>
    <x v="1325"/>
    <s v="&quot;CNR5201278&quot;"/>
    <x v="3"/>
    <s v="&quot;CID7536959&quot;"/>
    <x v="5"/>
    <x v="33"/>
    <s v="Dwarka Sector 21"/>
    <x v="101"/>
    <s v="null"/>
    <s v="null"/>
    <s v="null"/>
    <n v="1"/>
    <s v="The customer was coughing/sick"/>
    <s v="null"/>
    <s v="null"/>
    <s v="null"/>
    <s v="null"/>
    <x v="0"/>
    <x v="0"/>
    <s v="null"/>
  </r>
  <r>
    <x v="143"/>
    <x v="7"/>
    <x v="1326"/>
    <s v="&quot;CNR5636142&quot;"/>
    <x v="2"/>
    <s v="&quot;CID1200846&quot;"/>
    <x v="1"/>
    <x v="137"/>
    <s v="Akshardham"/>
    <x v="106"/>
    <n v="39.1"/>
    <s v="null"/>
    <s v="null"/>
    <s v="null"/>
    <s v="null"/>
    <s v="null"/>
    <s v="null"/>
    <n v="164"/>
    <n v="26.19"/>
    <x v="3"/>
    <x v="8"/>
    <s v="Credit Card"/>
  </r>
  <r>
    <x v="250"/>
    <x v="10"/>
    <x v="1327"/>
    <s v="&quot;CNR8588773&quot;"/>
    <x v="2"/>
    <s v="&quot;CID5275312&quot;"/>
    <x v="1"/>
    <x v="21"/>
    <s v="Manesar"/>
    <x v="116"/>
    <n v="35.1"/>
    <s v="null"/>
    <s v="null"/>
    <s v="null"/>
    <s v="null"/>
    <s v="null"/>
    <s v="null"/>
    <n v="819"/>
    <n v="14.9"/>
    <x v="7"/>
    <x v="6"/>
    <s v="Debit Card"/>
  </r>
  <r>
    <x v="9"/>
    <x v="7"/>
    <x v="1328"/>
    <s v="&quot;CNR1417679&quot;"/>
    <x v="2"/>
    <s v="&quot;CID7239882&quot;"/>
    <x v="4"/>
    <x v="175"/>
    <s v="Subhash Nagar"/>
    <x v="57"/>
    <n v="28.8"/>
    <s v="null"/>
    <s v="null"/>
    <s v="null"/>
    <s v="null"/>
    <s v="null"/>
    <s v="null"/>
    <n v="853"/>
    <n v="25.15"/>
    <x v="6"/>
    <x v="13"/>
    <s v="UPI"/>
  </r>
  <r>
    <x v="280"/>
    <x v="10"/>
    <x v="1329"/>
    <s v="&quot;CNR8291409&quot;"/>
    <x v="2"/>
    <s v="&quot;CID8280540&quot;"/>
    <x v="1"/>
    <x v="142"/>
    <s v="Janakpuri"/>
    <x v="58"/>
    <n v="35.700000000000003"/>
    <s v="null"/>
    <s v="null"/>
    <s v="null"/>
    <s v="null"/>
    <s v="null"/>
    <s v="null"/>
    <n v="1384"/>
    <n v="24.35"/>
    <x v="2"/>
    <x v="14"/>
    <s v="Credit Card"/>
  </r>
  <r>
    <x v="62"/>
    <x v="10"/>
    <x v="1330"/>
    <s v="&quot;CNR3753381&quot;"/>
    <x v="2"/>
    <s v="&quot;CID9784303&quot;"/>
    <x v="2"/>
    <x v="66"/>
    <s v="Vishwavidyalaya"/>
    <x v="92"/>
    <n v="15.8"/>
    <s v="null"/>
    <s v="null"/>
    <s v="null"/>
    <s v="null"/>
    <s v="null"/>
    <s v="null"/>
    <n v="794"/>
    <n v="23.09"/>
    <x v="8"/>
    <x v="6"/>
    <s v="Uber Wallet"/>
  </r>
  <r>
    <x v="276"/>
    <x v="11"/>
    <x v="1331"/>
    <s v="&quot;CNR5194772&quot;"/>
    <x v="2"/>
    <s v="&quot;CID9081249&quot;"/>
    <x v="1"/>
    <x v="99"/>
    <s v="Shivaji Park"/>
    <x v="71"/>
    <n v="17"/>
    <s v="null"/>
    <s v="null"/>
    <s v="null"/>
    <s v="null"/>
    <s v="null"/>
    <s v="null"/>
    <n v="92"/>
    <n v="46.1"/>
    <x v="5"/>
    <x v="17"/>
    <s v="Cash"/>
  </r>
  <r>
    <x v="43"/>
    <x v="2"/>
    <x v="1332"/>
    <s v="&quot;CNR5198880&quot;"/>
    <x v="2"/>
    <s v="&quot;CID8785925&quot;"/>
    <x v="3"/>
    <x v="94"/>
    <s v="Rajouri Garden"/>
    <x v="149"/>
    <n v="43.6"/>
    <s v="null"/>
    <s v="null"/>
    <s v="null"/>
    <s v="null"/>
    <s v="null"/>
    <s v="null"/>
    <n v="413"/>
    <n v="18.16"/>
    <x v="5"/>
    <x v="10"/>
    <s v="UPI"/>
  </r>
  <r>
    <x v="253"/>
    <x v="7"/>
    <x v="1333"/>
    <s v="&quot;CNR9106369&quot;"/>
    <x v="2"/>
    <s v="&quot;CID7947941&quot;"/>
    <x v="5"/>
    <x v="73"/>
    <s v="Greater Noida"/>
    <x v="21"/>
    <n v="25.8"/>
    <s v="null"/>
    <s v="null"/>
    <s v="null"/>
    <s v="null"/>
    <s v="null"/>
    <s v="null"/>
    <n v="297"/>
    <n v="21.13"/>
    <x v="14"/>
    <x v="4"/>
    <s v="Cash"/>
  </r>
  <r>
    <x v="178"/>
    <x v="0"/>
    <x v="1334"/>
    <s v="&quot;CNR2947659&quot;"/>
    <x v="4"/>
    <s v="&quot;CID7661037&quot;"/>
    <x v="1"/>
    <x v="57"/>
    <s v="Dwarka Sector 21"/>
    <x v="54"/>
    <s v="null"/>
    <n v="1"/>
    <s v="Wrong Address"/>
    <s v="null"/>
    <s v="null"/>
    <s v="null"/>
    <s v="null"/>
    <s v="null"/>
    <s v="null"/>
    <x v="0"/>
    <x v="0"/>
    <s v="null"/>
  </r>
  <r>
    <x v="258"/>
    <x v="11"/>
    <x v="1335"/>
    <s v="&quot;CNR7073975&quot;"/>
    <x v="4"/>
    <s v="&quot;CID9112501&quot;"/>
    <x v="5"/>
    <x v="98"/>
    <s v="Meerut"/>
    <x v="124"/>
    <s v="null"/>
    <n v="1"/>
    <s v="Driver is not moving towards pickup location"/>
    <s v="null"/>
    <s v="null"/>
    <s v="null"/>
    <s v="null"/>
    <s v="null"/>
    <s v="null"/>
    <x v="0"/>
    <x v="0"/>
    <s v="null"/>
  </r>
  <r>
    <x v="106"/>
    <x v="10"/>
    <x v="1336"/>
    <s v="&quot;CNR8341970&quot;"/>
    <x v="2"/>
    <s v="&quot;CID5343442&quot;"/>
    <x v="2"/>
    <x v="95"/>
    <s v="Udyog Vihar"/>
    <x v="119"/>
    <n v="17.600000000000001"/>
    <s v="null"/>
    <s v="null"/>
    <s v="null"/>
    <s v="null"/>
    <s v="null"/>
    <s v="null"/>
    <n v="1150"/>
    <n v="46.37"/>
    <x v="12"/>
    <x v="7"/>
    <s v="Debit Card"/>
  </r>
  <r>
    <x v="223"/>
    <x v="1"/>
    <x v="1337"/>
    <s v="&quot;CNR2991923&quot;"/>
    <x v="2"/>
    <s v="&quot;CID2409817&quot;"/>
    <x v="0"/>
    <x v="174"/>
    <s v="Paharganj"/>
    <x v="68"/>
    <n v="27.4"/>
    <s v="null"/>
    <s v="null"/>
    <s v="null"/>
    <s v="null"/>
    <s v="null"/>
    <s v="null"/>
    <n v="701"/>
    <n v="32.57"/>
    <x v="5"/>
    <x v="6"/>
    <s v="Uber Wallet"/>
  </r>
  <r>
    <x v="321"/>
    <x v="6"/>
    <x v="1338"/>
    <s v="&quot;CNR6298627&quot;"/>
    <x v="0"/>
    <s v="&quot;CID7089807&quot;"/>
    <x v="2"/>
    <x v="40"/>
    <s v="Ardee City"/>
    <x v="0"/>
    <s v="null"/>
    <s v="null"/>
    <s v="null"/>
    <s v="null"/>
    <s v="null"/>
    <s v="null"/>
    <s v="null"/>
    <s v="null"/>
    <s v="null"/>
    <x v="0"/>
    <x v="0"/>
    <s v="null"/>
  </r>
  <r>
    <x v="246"/>
    <x v="10"/>
    <x v="1339"/>
    <s v="&quot;CNR4249262&quot;"/>
    <x v="2"/>
    <s v="&quot;CID8165426&quot;"/>
    <x v="4"/>
    <x v="16"/>
    <s v="Arjangarh"/>
    <x v="120"/>
    <n v="38.6"/>
    <s v="null"/>
    <s v="null"/>
    <s v="null"/>
    <s v="null"/>
    <s v="null"/>
    <s v="null"/>
    <n v="92"/>
    <n v="46.98"/>
    <x v="8"/>
    <x v="12"/>
    <s v="UPI"/>
  </r>
  <r>
    <x v="7"/>
    <x v="0"/>
    <x v="1340"/>
    <s v="&quot;CNR7098808&quot;"/>
    <x v="2"/>
    <s v="&quot;CID5935795&quot;"/>
    <x v="1"/>
    <x v="94"/>
    <s v="Kirti Nagar"/>
    <x v="11"/>
    <n v="31.4"/>
    <s v="null"/>
    <s v="null"/>
    <s v="null"/>
    <s v="null"/>
    <s v="null"/>
    <s v="null"/>
    <n v="52"/>
    <n v="46.04"/>
    <x v="7"/>
    <x v="2"/>
    <s v="Debit Card"/>
  </r>
  <r>
    <x v="14"/>
    <x v="3"/>
    <x v="1341"/>
    <s v="&quot;CNR3874830&quot;"/>
    <x v="2"/>
    <s v="&quot;CID6952194&quot;"/>
    <x v="2"/>
    <x v="70"/>
    <s v="Panchsheel Park"/>
    <x v="90"/>
    <n v="23.6"/>
    <s v="null"/>
    <s v="null"/>
    <s v="null"/>
    <s v="null"/>
    <s v="null"/>
    <s v="null"/>
    <n v="317"/>
    <n v="40.549999999999997"/>
    <x v="14"/>
    <x v="6"/>
    <s v="Cash"/>
  </r>
  <r>
    <x v="271"/>
    <x v="4"/>
    <x v="1342"/>
    <s v="&quot;CNR3438759&quot;"/>
    <x v="3"/>
    <s v="&quot;CID2196399&quot;"/>
    <x v="2"/>
    <x v="38"/>
    <s v="Vinobapuri"/>
    <x v="13"/>
    <s v="null"/>
    <s v="null"/>
    <s v="null"/>
    <n v="1"/>
    <s v="The customer was coughing/sick"/>
    <s v="null"/>
    <s v="null"/>
    <s v="null"/>
    <s v="null"/>
    <x v="0"/>
    <x v="0"/>
    <s v="null"/>
  </r>
  <r>
    <x v="74"/>
    <x v="0"/>
    <x v="1092"/>
    <s v="&quot;CNR5625585&quot;"/>
    <x v="2"/>
    <s v="&quot;CID4757284&quot;"/>
    <x v="2"/>
    <x v="17"/>
    <s v="Model Town"/>
    <x v="122"/>
    <n v="16"/>
    <s v="null"/>
    <s v="null"/>
    <s v="null"/>
    <s v="null"/>
    <s v="null"/>
    <s v="null"/>
    <n v="388"/>
    <n v="48.17"/>
    <x v="14"/>
    <x v="4"/>
    <s v="UPI"/>
  </r>
  <r>
    <x v="12"/>
    <x v="6"/>
    <x v="1343"/>
    <s v="&quot;CNR3968342&quot;"/>
    <x v="2"/>
    <s v="&quot;CID4252629&quot;"/>
    <x v="4"/>
    <x v="109"/>
    <s v="Vishwavidyalaya"/>
    <x v="114"/>
    <n v="21.6"/>
    <s v="null"/>
    <s v="null"/>
    <s v="null"/>
    <s v="null"/>
    <s v="null"/>
    <s v="null"/>
    <n v="381"/>
    <n v="2.5"/>
    <x v="5"/>
    <x v="1"/>
    <s v="Credit Card"/>
  </r>
  <r>
    <x v="250"/>
    <x v="10"/>
    <x v="1344"/>
    <s v="&quot;CNR1029172&quot;"/>
    <x v="1"/>
    <s v="&quot;CID2615731&quot;"/>
    <x v="4"/>
    <x v="75"/>
    <s v="Narsinghpur"/>
    <x v="94"/>
    <n v="26.7"/>
    <s v="null"/>
    <s v="null"/>
    <s v="null"/>
    <s v="null"/>
    <n v="1"/>
    <s v="Customer Demand"/>
    <n v="429"/>
    <n v="16.16"/>
    <x v="0"/>
    <x v="0"/>
    <s v="UPI"/>
  </r>
  <r>
    <x v="108"/>
    <x v="2"/>
    <x v="1345"/>
    <s v="&quot;CNR3026612&quot;"/>
    <x v="2"/>
    <s v="&quot;CID1685236&quot;"/>
    <x v="5"/>
    <x v="43"/>
    <s v="Hauz Khas"/>
    <x v="110"/>
    <n v="24.3"/>
    <s v="null"/>
    <s v="null"/>
    <s v="null"/>
    <s v="null"/>
    <s v="null"/>
    <s v="null"/>
    <n v="459"/>
    <n v="20.39"/>
    <x v="14"/>
    <x v="3"/>
    <s v="UPI"/>
  </r>
  <r>
    <x v="121"/>
    <x v="6"/>
    <x v="1346"/>
    <s v="&quot;CNR1047034&quot;"/>
    <x v="2"/>
    <s v="&quot;CID1367246&quot;"/>
    <x v="0"/>
    <x v="150"/>
    <s v="Pataudi Chowk"/>
    <x v="76"/>
    <n v="40.200000000000003"/>
    <s v="null"/>
    <s v="null"/>
    <s v="null"/>
    <s v="null"/>
    <s v="null"/>
    <s v="null"/>
    <n v="195"/>
    <n v="16.55"/>
    <x v="13"/>
    <x v="10"/>
    <s v="UPI"/>
  </r>
  <r>
    <x v="268"/>
    <x v="9"/>
    <x v="1347"/>
    <s v="&quot;CNR4868449&quot;"/>
    <x v="0"/>
    <s v="&quot;CID8654337&quot;"/>
    <x v="2"/>
    <x v="173"/>
    <s v="Cyber Hub"/>
    <x v="0"/>
    <s v="null"/>
    <s v="null"/>
    <s v="null"/>
    <s v="null"/>
    <s v="null"/>
    <s v="null"/>
    <s v="null"/>
    <s v="null"/>
    <s v="null"/>
    <x v="0"/>
    <x v="0"/>
    <s v="null"/>
  </r>
  <r>
    <x v="129"/>
    <x v="2"/>
    <x v="1348"/>
    <s v="&quot;CNR6006055&quot;"/>
    <x v="2"/>
    <s v="&quot;CID7101749&quot;"/>
    <x v="0"/>
    <x v="88"/>
    <s v="Vasant Kunj"/>
    <x v="124"/>
    <n v="17.5"/>
    <s v="null"/>
    <s v="null"/>
    <s v="null"/>
    <s v="null"/>
    <s v="null"/>
    <s v="null"/>
    <n v="354"/>
    <n v="33.35"/>
    <x v="14"/>
    <x v="6"/>
    <s v="Cash"/>
  </r>
  <r>
    <x v="253"/>
    <x v="7"/>
    <x v="1349"/>
    <s v="&quot;CNR1306540&quot;"/>
    <x v="2"/>
    <s v="&quot;CID9576860&quot;"/>
    <x v="4"/>
    <x v="126"/>
    <s v="Karkarduma"/>
    <x v="91"/>
    <n v="24.2"/>
    <s v="null"/>
    <s v="null"/>
    <s v="null"/>
    <s v="null"/>
    <s v="null"/>
    <s v="null"/>
    <n v="145"/>
    <n v="9.09"/>
    <x v="5"/>
    <x v="3"/>
    <s v="UPI"/>
  </r>
  <r>
    <x v="52"/>
    <x v="11"/>
    <x v="1350"/>
    <s v="&quot;CNR1910528&quot;"/>
    <x v="2"/>
    <s v="&quot;CID8911619&quot;"/>
    <x v="5"/>
    <x v="164"/>
    <s v="Mundka"/>
    <x v="29"/>
    <n v="28.6"/>
    <s v="null"/>
    <s v="null"/>
    <s v="null"/>
    <s v="null"/>
    <s v="null"/>
    <s v="null"/>
    <n v="386"/>
    <n v="19.309999999999999"/>
    <x v="8"/>
    <x v="5"/>
    <s v="Cash"/>
  </r>
  <r>
    <x v="296"/>
    <x v="1"/>
    <x v="1351"/>
    <s v="&quot;CNR6885607&quot;"/>
    <x v="2"/>
    <s v="&quot;CID2781979&quot;"/>
    <x v="4"/>
    <x v="63"/>
    <s v="Panipat"/>
    <x v="137"/>
    <n v="33"/>
    <s v="null"/>
    <s v="null"/>
    <s v="null"/>
    <s v="null"/>
    <s v="null"/>
    <s v="null"/>
    <n v="198"/>
    <n v="18.04"/>
    <x v="8"/>
    <x v="3"/>
    <s v="UPI"/>
  </r>
  <r>
    <x v="225"/>
    <x v="2"/>
    <x v="1352"/>
    <s v="&quot;CNR9370876&quot;"/>
    <x v="2"/>
    <s v="&quot;CID7940377&quot;"/>
    <x v="2"/>
    <x v="55"/>
    <s v="Ambience Mall"/>
    <x v="96"/>
    <n v="15.1"/>
    <s v="null"/>
    <s v="null"/>
    <s v="null"/>
    <s v="null"/>
    <s v="null"/>
    <s v="null"/>
    <n v="620"/>
    <n v="43.51"/>
    <x v="5"/>
    <x v="3"/>
    <s v="UPI"/>
  </r>
  <r>
    <x v="150"/>
    <x v="0"/>
    <x v="1353"/>
    <s v="&quot;CNR7026390&quot;"/>
    <x v="2"/>
    <s v="&quot;CID9883697&quot;"/>
    <x v="5"/>
    <x v="155"/>
    <s v="Badshahpur"/>
    <x v="7"/>
    <n v="32.1"/>
    <s v="null"/>
    <s v="null"/>
    <s v="null"/>
    <s v="null"/>
    <s v="null"/>
    <s v="null"/>
    <n v="661"/>
    <n v="33.49"/>
    <x v="6"/>
    <x v="2"/>
    <s v="Cash"/>
  </r>
  <r>
    <x v="197"/>
    <x v="6"/>
    <x v="1354"/>
    <s v="&quot;CNR7673925&quot;"/>
    <x v="2"/>
    <s v="&quot;CID6300601&quot;"/>
    <x v="0"/>
    <x v="135"/>
    <s v="IGI Airport"/>
    <x v="88"/>
    <n v="44.7"/>
    <s v="null"/>
    <s v="null"/>
    <s v="null"/>
    <s v="null"/>
    <s v="null"/>
    <s v="null"/>
    <n v="354"/>
    <n v="49.59"/>
    <x v="14"/>
    <x v="2"/>
    <s v="Cash"/>
  </r>
  <r>
    <x v="24"/>
    <x v="2"/>
    <x v="1355"/>
    <s v="&quot;CNR2988976&quot;"/>
    <x v="4"/>
    <s v="&quot;CID4131442&quot;"/>
    <x v="2"/>
    <x v="88"/>
    <s v="Inderlok"/>
    <x v="71"/>
    <s v="null"/>
    <n v="1"/>
    <s v="Change of plans"/>
    <s v="null"/>
    <s v="null"/>
    <s v="null"/>
    <s v="null"/>
    <s v="null"/>
    <s v="null"/>
    <x v="0"/>
    <x v="0"/>
    <s v="null"/>
  </r>
  <r>
    <x v="220"/>
    <x v="11"/>
    <x v="1356"/>
    <s v="&quot;CNR7826352&quot;"/>
    <x v="2"/>
    <s v="&quot;CID6775111&quot;"/>
    <x v="1"/>
    <x v="66"/>
    <s v="Tilak Nagar"/>
    <x v="69"/>
    <n v="37.9"/>
    <s v="null"/>
    <s v="null"/>
    <s v="null"/>
    <s v="null"/>
    <s v="null"/>
    <s v="null"/>
    <n v="390"/>
    <n v="19.149999999999999"/>
    <x v="6"/>
    <x v="5"/>
    <s v="UPI"/>
  </r>
  <r>
    <x v="8"/>
    <x v="4"/>
    <x v="1357"/>
    <s v="&quot;CNR1508646&quot;"/>
    <x v="2"/>
    <s v="&quot;CID6447979&quot;"/>
    <x v="2"/>
    <x v="128"/>
    <s v="Sikanderpur"/>
    <x v="41"/>
    <n v="43.4"/>
    <s v="null"/>
    <s v="null"/>
    <s v="null"/>
    <s v="null"/>
    <s v="null"/>
    <s v="null"/>
    <n v="243"/>
    <n v="25.73"/>
    <x v="8"/>
    <x v="1"/>
    <s v="UPI"/>
  </r>
  <r>
    <x v="193"/>
    <x v="11"/>
    <x v="1358"/>
    <s v="&quot;CNR6383214&quot;"/>
    <x v="3"/>
    <s v="&quot;CID2325586&quot;"/>
    <x v="2"/>
    <x v="154"/>
    <s v="Rohini West"/>
    <x v="96"/>
    <s v="null"/>
    <s v="null"/>
    <s v="null"/>
    <n v="1"/>
    <s v="Personal &amp; Car related issues"/>
    <s v="null"/>
    <s v="null"/>
    <s v="null"/>
    <s v="null"/>
    <x v="0"/>
    <x v="0"/>
    <s v="null"/>
  </r>
  <r>
    <x v="273"/>
    <x v="8"/>
    <x v="1359"/>
    <s v="&quot;CNR8516982&quot;"/>
    <x v="2"/>
    <s v="&quot;CID2384834&quot;"/>
    <x v="3"/>
    <x v="164"/>
    <s v="Kalkaji"/>
    <x v="126"/>
    <n v="17.2"/>
    <s v="null"/>
    <s v="null"/>
    <s v="null"/>
    <s v="null"/>
    <s v="null"/>
    <s v="null"/>
    <n v="865"/>
    <n v="33.96"/>
    <x v="18"/>
    <x v="4"/>
    <s v="UPI"/>
  </r>
  <r>
    <x v="88"/>
    <x v="0"/>
    <x v="1294"/>
    <s v="&quot;CNR6953222&quot;"/>
    <x v="2"/>
    <s v="&quot;CID5992493&quot;"/>
    <x v="5"/>
    <x v="32"/>
    <s v="Ghitorni Village"/>
    <x v="13"/>
    <n v="19"/>
    <s v="null"/>
    <s v="null"/>
    <s v="null"/>
    <s v="null"/>
    <s v="null"/>
    <s v="null"/>
    <n v="50"/>
    <n v="37.08"/>
    <x v="15"/>
    <x v="8"/>
    <s v="UPI"/>
  </r>
  <r>
    <x v="230"/>
    <x v="4"/>
    <x v="1360"/>
    <s v="&quot;CNR9295063&quot;"/>
    <x v="2"/>
    <s v="&quot;CID3118154&quot;"/>
    <x v="4"/>
    <x v="142"/>
    <s v="Anand Vihar ISBT"/>
    <x v="11"/>
    <n v="17.600000000000001"/>
    <s v="null"/>
    <s v="null"/>
    <s v="null"/>
    <s v="null"/>
    <s v="null"/>
    <s v="null"/>
    <n v="582"/>
    <n v="48.97"/>
    <x v="12"/>
    <x v="6"/>
    <s v="UPI"/>
  </r>
  <r>
    <x v="145"/>
    <x v="7"/>
    <x v="1361"/>
    <s v="&quot;CNR3522211&quot;"/>
    <x v="2"/>
    <s v="&quot;CID7824024&quot;"/>
    <x v="2"/>
    <x v="173"/>
    <s v="Greater Kailash"/>
    <x v="131"/>
    <n v="31.8"/>
    <s v="null"/>
    <s v="null"/>
    <s v="null"/>
    <s v="null"/>
    <s v="null"/>
    <s v="null"/>
    <n v="419"/>
    <n v="2.38"/>
    <x v="1"/>
    <x v="10"/>
    <s v="Credit Card"/>
  </r>
  <r>
    <x v="188"/>
    <x v="11"/>
    <x v="1362"/>
    <s v="&quot;CNR6821815&quot;"/>
    <x v="2"/>
    <s v="&quot;CID4410214&quot;"/>
    <x v="3"/>
    <x v="28"/>
    <s v="Green Park"/>
    <x v="2"/>
    <n v="26.6"/>
    <s v="null"/>
    <s v="null"/>
    <s v="null"/>
    <s v="null"/>
    <s v="null"/>
    <s v="null"/>
    <n v="489"/>
    <n v="24.79"/>
    <x v="3"/>
    <x v="14"/>
    <s v="Cash"/>
  </r>
  <r>
    <x v="92"/>
    <x v="6"/>
    <x v="1363"/>
    <s v="&quot;CNR5271191&quot;"/>
    <x v="2"/>
    <s v="&quot;CID2859016&quot;"/>
    <x v="5"/>
    <x v="128"/>
    <s v="Uttam Nagar"/>
    <x v="114"/>
    <n v="25.7"/>
    <s v="null"/>
    <s v="null"/>
    <s v="null"/>
    <s v="null"/>
    <s v="null"/>
    <s v="null"/>
    <n v="248"/>
    <n v="5.93"/>
    <x v="2"/>
    <x v="11"/>
    <s v="UPI"/>
  </r>
  <r>
    <x v="62"/>
    <x v="10"/>
    <x v="1364"/>
    <s v="&quot;CNR9211257&quot;"/>
    <x v="2"/>
    <s v="&quot;CID6692447&quot;"/>
    <x v="4"/>
    <x v="49"/>
    <s v="Okhla"/>
    <x v="83"/>
    <n v="42.5"/>
    <s v="null"/>
    <s v="null"/>
    <s v="null"/>
    <s v="null"/>
    <s v="null"/>
    <s v="null"/>
    <n v="359"/>
    <n v="28.71"/>
    <x v="6"/>
    <x v="10"/>
    <s v="Cash"/>
  </r>
  <r>
    <x v="207"/>
    <x v="8"/>
    <x v="1365"/>
    <s v="&quot;CNR8301647&quot;"/>
    <x v="3"/>
    <s v="&quot;CID7820319&quot;"/>
    <x v="2"/>
    <x v="14"/>
    <s v="Bhiwadi"/>
    <x v="70"/>
    <s v="null"/>
    <s v="null"/>
    <s v="null"/>
    <n v="1"/>
    <s v="Customer related issue"/>
    <s v="null"/>
    <s v="null"/>
    <s v="null"/>
    <s v="null"/>
    <x v="0"/>
    <x v="0"/>
    <s v="null"/>
  </r>
  <r>
    <x v="257"/>
    <x v="9"/>
    <x v="1366"/>
    <s v="&quot;CNR7169526&quot;"/>
    <x v="2"/>
    <s v="&quot;CID3831361&quot;"/>
    <x v="2"/>
    <x v="49"/>
    <s v="AIIMS"/>
    <x v="120"/>
    <n v="34.9"/>
    <s v="null"/>
    <s v="null"/>
    <s v="null"/>
    <s v="null"/>
    <s v="null"/>
    <s v="null"/>
    <n v="1643"/>
    <n v="30.78"/>
    <x v="19"/>
    <x v="5"/>
    <s v="Uber Wallet"/>
  </r>
  <r>
    <x v="304"/>
    <x v="1"/>
    <x v="1367"/>
    <s v="&quot;CNR8443087&quot;"/>
    <x v="0"/>
    <s v="&quot;CID8134339&quot;"/>
    <x v="0"/>
    <x v="133"/>
    <s v="Kalkaji"/>
    <x v="0"/>
    <s v="null"/>
    <s v="null"/>
    <s v="null"/>
    <s v="null"/>
    <s v="null"/>
    <s v="null"/>
    <s v="null"/>
    <s v="null"/>
    <s v="null"/>
    <x v="0"/>
    <x v="0"/>
    <s v="null"/>
  </r>
  <r>
    <x v="16"/>
    <x v="8"/>
    <x v="1368"/>
    <s v="&quot;CNR1912594&quot;"/>
    <x v="3"/>
    <s v="&quot;CID6375475&quot;"/>
    <x v="1"/>
    <x v="138"/>
    <s v="Subhash Nagar"/>
    <x v="5"/>
    <s v="null"/>
    <s v="null"/>
    <s v="null"/>
    <n v="1"/>
    <s v="Personal &amp; Car related issues"/>
    <s v="null"/>
    <s v="null"/>
    <s v="null"/>
    <s v="null"/>
    <x v="0"/>
    <x v="0"/>
    <s v="null"/>
  </r>
  <r>
    <x v="126"/>
    <x v="9"/>
    <x v="1369"/>
    <s v="&quot;CNR5632602&quot;"/>
    <x v="3"/>
    <s v="&quot;CID9895446&quot;"/>
    <x v="5"/>
    <x v="163"/>
    <s v="Chandni Chowk"/>
    <x v="77"/>
    <s v="null"/>
    <s v="null"/>
    <s v="null"/>
    <n v="1"/>
    <s v="More than permitted people in there"/>
    <s v="null"/>
    <s v="null"/>
    <s v="null"/>
    <s v="null"/>
    <x v="0"/>
    <x v="0"/>
    <s v="null"/>
  </r>
  <r>
    <x v="54"/>
    <x v="9"/>
    <x v="1370"/>
    <s v="&quot;CNR7344478&quot;"/>
    <x v="3"/>
    <s v="&quot;CID9789686&quot;"/>
    <x v="0"/>
    <x v="126"/>
    <s v="Bhiwadi"/>
    <x v="107"/>
    <s v="null"/>
    <s v="null"/>
    <s v="null"/>
    <n v="1"/>
    <s v="The customer was coughing/sick"/>
    <s v="null"/>
    <s v="null"/>
    <s v="null"/>
    <s v="null"/>
    <x v="0"/>
    <x v="0"/>
    <s v="null"/>
  </r>
  <r>
    <x v="224"/>
    <x v="5"/>
    <x v="1371"/>
    <s v="&quot;CNR6964686&quot;"/>
    <x v="1"/>
    <s v="&quot;CID8706030&quot;"/>
    <x v="3"/>
    <x v="38"/>
    <s v="Rajiv Chowk"/>
    <x v="69"/>
    <n v="25.1"/>
    <s v="null"/>
    <s v="null"/>
    <s v="null"/>
    <s v="null"/>
    <n v="1"/>
    <s v="Other Issue"/>
    <n v="241"/>
    <n v="3.54"/>
    <x v="0"/>
    <x v="0"/>
    <s v="UPI"/>
  </r>
  <r>
    <x v="259"/>
    <x v="0"/>
    <x v="1372"/>
    <s v="&quot;CNR1745413&quot;"/>
    <x v="0"/>
    <s v="&quot;CID5581269&quot;"/>
    <x v="0"/>
    <x v="91"/>
    <s v="Aya Nagar"/>
    <x v="0"/>
    <s v="null"/>
    <s v="null"/>
    <s v="null"/>
    <s v="null"/>
    <s v="null"/>
    <s v="null"/>
    <s v="null"/>
    <s v="null"/>
    <s v="null"/>
    <x v="0"/>
    <x v="0"/>
    <s v="null"/>
  </r>
  <r>
    <x v="293"/>
    <x v="3"/>
    <x v="1373"/>
    <s v="&quot;CNR8731068&quot;"/>
    <x v="3"/>
    <s v="&quot;CID4015011&quot;"/>
    <x v="3"/>
    <x v="152"/>
    <s v="Mansarovar Park"/>
    <x v="104"/>
    <s v="null"/>
    <s v="null"/>
    <s v="null"/>
    <n v="1"/>
    <s v="More than permitted people in there"/>
    <s v="null"/>
    <s v="null"/>
    <s v="null"/>
    <s v="null"/>
    <x v="0"/>
    <x v="0"/>
    <s v="null"/>
  </r>
  <r>
    <x v="356"/>
    <x v="3"/>
    <x v="1374"/>
    <s v="&quot;CNR5008576&quot;"/>
    <x v="4"/>
    <s v="&quot;CID5846005&quot;"/>
    <x v="1"/>
    <x v="65"/>
    <s v="Dilshad Garden"/>
    <x v="48"/>
    <s v="null"/>
    <n v="1"/>
    <s v="AC is not working"/>
    <s v="null"/>
    <s v="null"/>
    <s v="null"/>
    <s v="null"/>
    <s v="null"/>
    <s v="null"/>
    <x v="0"/>
    <x v="0"/>
    <s v="null"/>
  </r>
  <r>
    <x v="66"/>
    <x v="1"/>
    <x v="1375"/>
    <s v="&quot;CNR4406511&quot;"/>
    <x v="1"/>
    <s v="&quot;CID1060191&quot;"/>
    <x v="5"/>
    <x v="99"/>
    <s v="Samaypur Badli"/>
    <x v="9"/>
    <n v="21.9"/>
    <s v="null"/>
    <s v="null"/>
    <s v="null"/>
    <s v="null"/>
    <n v="1"/>
    <s v="Vehicle Breakdown"/>
    <n v="299"/>
    <n v="13.62"/>
    <x v="0"/>
    <x v="0"/>
    <s v="UPI"/>
  </r>
  <r>
    <x v="336"/>
    <x v="1"/>
    <x v="1376"/>
    <s v="&quot;CNR8556345&quot;"/>
    <x v="4"/>
    <s v="&quot;CID6849947&quot;"/>
    <x v="5"/>
    <x v="41"/>
    <s v="Raj Nagar Extension"/>
    <x v="73"/>
    <s v="null"/>
    <n v="1"/>
    <s v="AC is not working"/>
    <s v="null"/>
    <s v="null"/>
    <s v="null"/>
    <s v="null"/>
    <s v="null"/>
    <s v="null"/>
    <x v="0"/>
    <x v="0"/>
    <s v="null"/>
  </r>
  <r>
    <x v="219"/>
    <x v="7"/>
    <x v="1377"/>
    <s v="&quot;CNR9743675&quot;"/>
    <x v="0"/>
    <s v="&quot;CID6480970&quot;"/>
    <x v="5"/>
    <x v="44"/>
    <s v="Saket"/>
    <x v="0"/>
    <s v="null"/>
    <s v="null"/>
    <s v="null"/>
    <s v="null"/>
    <s v="null"/>
    <s v="null"/>
    <s v="null"/>
    <s v="null"/>
    <s v="null"/>
    <x v="0"/>
    <x v="0"/>
    <s v="null"/>
  </r>
  <r>
    <x v="313"/>
    <x v="2"/>
    <x v="1378"/>
    <s v="&quot;CNR4055449&quot;"/>
    <x v="3"/>
    <s v="&quot;CID5645584&quot;"/>
    <x v="0"/>
    <x v="80"/>
    <s v="Greater Noida"/>
    <x v="35"/>
    <s v="null"/>
    <s v="null"/>
    <s v="null"/>
    <n v="1"/>
    <s v="Personal &amp; Car related issues"/>
    <s v="null"/>
    <s v="null"/>
    <s v="null"/>
    <s v="null"/>
    <x v="0"/>
    <x v="0"/>
    <s v="null"/>
  </r>
  <r>
    <x v="349"/>
    <x v="1"/>
    <x v="1379"/>
    <s v="&quot;CNR2930986&quot;"/>
    <x v="2"/>
    <s v="&quot;CID2074886&quot;"/>
    <x v="5"/>
    <x v="50"/>
    <s v="Chandni Chowk"/>
    <x v="71"/>
    <n v="44.8"/>
    <s v="null"/>
    <s v="null"/>
    <s v="null"/>
    <s v="null"/>
    <s v="null"/>
    <s v="null"/>
    <n v="357"/>
    <n v="5.61"/>
    <x v="7"/>
    <x v="4"/>
    <s v="Uber Wallet"/>
  </r>
  <r>
    <x v="0"/>
    <x v="0"/>
    <x v="1380"/>
    <s v="&quot;CNR1985687&quot;"/>
    <x v="2"/>
    <s v="&quot;CID2439014&quot;"/>
    <x v="2"/>
    <x v="104"/>
    <s v="Golf Course Road"/>
    <x v="9"/>
    <n v="43.2"/>
    <s v="null"/>
    <s v="null"/>
    <s v="null"/>
    <s v="null"/>
    <s v="null"/>
    <s v="null"/>
    <n v="1046"/>
    <n v="11.6"/>
    <x v="15"/>
    <x v="3"/>
    <s v="UPI"/>
  </r>
  <r>
    <x v="126"/>
    <x v="9"/>
    <x v="1381"/>
    <s v="&quot;CNR1948359&quot;"/>
    <x v="2"/>
    <s v="&quot;CID4839988&quot;"/>
    <x v="2"/>
    <x v="54"/>
    <s v="Vinobapuri"/>
    <x v="121"/>
    <n v="39.799999999999997"/>
    <s v="null"/>
    <s v="null"/>
    <s v="null"/>
    <s v="null"/>
    <s v="null"/>
    <s v="null"/>
    <n v="887"/>
    <n v="28.28"/>
    <x v="5"/>
    <x v="1"/>
    <s v="Uber Wallet"/>
  </r>
  <r>
    <x v="88"/>
    <x v="0"/>
    <x v="1382"/>
    <s v="&quot;CNR5094256&quot;"/>
    <x v="3"/>
    <s v="&quot;CID3470774&quot;"/>
    <x v="1"/>
    <x v="174"/>
    <s v="Basai Dhankot"/>
    <x v="103"/>
    <s v="null"/>
    <s v="null"/>
    <s v="null"/>
    <n v="1"/>
    <s v="More than permitted people in there"/>
    <s v="null"/>
    <s v="null"/>
    <s v="null"/>
    <s v="null"/>
    <x v="0"/>
    <x v="0"/>
    <s v="null"/>
  </r>
  <r>
    <x v="125"/>
    <x v="2"/>
    <x v="1383"/>
    <s v="&quot;CNR3839277&quot;"/>
    <x v="2"/>
    <s v="&quot;CID5761496&quot;"/>
    <x v="1"/>
    <x v="56"/>
    <s v="Karkarduma"/>
    <x v="27"/>
    <n v="18.8"/>
    <s v="null"/>
    <s v="null"/>
    <s v="null"/>
    <s v="null"/>
    <s v="null"/>
    <s v="null"/>
    <n v="176"/>
    <n v="15.09"/>
    <x v="6"/>
    <x v="3"/>
    <s v="Cash"/>
  </r>
  <r>
    <x v="287"/>
    <x v="11"/>
    <x v="1384"/>
    <s v="&quot;CNR7602428&quot;"/>
    <x v="2"/>
    <s v="&quot;CID2618192&quot;"/>
    <x v="4"/>
    <x v="125"/>
    <s v="Munirka"/>
    <x v="103"/>
    <n v="40.799999999999997"/>
    <s v="null"/>
    <s v="null"/>
    <s v="null"/>
    <s v="null"/>
    <s v="null"/>
    <s v="null"/>
    <n v="467"/>
    <n v="14.72"/>
    <x v="15"/>
    <x v="3"/>
    <s v="Cash"/>
  </r>
  <r>
    <x v="123"/>
    <x v="1"/>
    <x v="1385"/>
    <s v="&quot;CNR2657941&quot;"/>
    <x v="1"/>
    <s v="&quot;CID2353139&quot;"/>
    <x v="4"/>
    <x v="31"/>
    <s v="Badshahpur"/>
    <x v="37"/>
    <n v="22.8"/>
    <s v="null"/>
    <s v="null"/>
    <s v="null"/>
    <s v="null"/>
    <n v="1"/>
    <s v="Customer Demand"/>
    <n v="597"/>
    <n v="6.87"/>
    <x v="0"/>
    <x v="0"/>
    <s v="Credit Card"/>
  </r>
  <r>
    <x v="272"/>
    <x v="1"/>
    <x v="1386"/>
    <s v="&quot;CNR1789209&quot;"/>
    <x v="2"/>
    <s v="&quot;CID1846811&quot;"/>
    <x v="2"/>
    <x v="22"/>
    <s v="New Delhi Railway Station"/>
    <x v="52"/>
    <n v="24.9"/>
    <s v="null"/>
    <s v="null"/>
    <s v="null"/>
    <s v="null"/>
    <s v="null"/>
    <s v="null"/>
    <n v="939"/>
    <n v="9.07"/>
    <x v="14"/>
    <x v="4"/>
    <s v="UPI"/>
  </r>
  <r>
    <x v="15"/>
    <x v="6"/>
    <x v="1387"/>
    <s v="&quot;CNR1954034&quot;"/>
    <x v="2"/>
    <s v="&quot;CID7115223&quot;"/>
    <x v="5"/>
    <x v="100"/>
    <s v="Seelampur"/>
    <x v="57"/>
    <n v="44.4"/>
    <s v="null"/>
    <s v="null"/>
    <s v="null"/>
    <s v="null"/>
    <s v="null"/>
    <s v="null"/>
    <n v="462"/>
    <n v="47.17"/>
    <x v="11"/>
    <x v="5"/>
    <s v="UPI"/>
  </r>
  <r>
    <x v="258"/>
    <x v="11"/>
    <x v="1388"/>
    <s v="&quot;CNR3765010&quot;"/>
    <x v="2"/>
    <s v="&quot;CID9124174&quot;"/>
    <x v="4"/>
    <x v="92"/>
    <s v="Lajpat Nagar"/>
    <x v="97"/>
    <n v="23"/>
    <s v="null"/>
    <s v="null"/>
    <s v="null"/>
    <s v="null"/>
    <s v="null"/>
    <s v="null"/>
    <n v="335"/>
    <n v="47.21"/>
    <x v="10"/>
    <x v="14"/>
    <s v="Uber Wallet"/>
  </r>
  <r>
    <x v="105"/>
    <x v="11"/>
    <x v="1389"/>
    <s v="&quot;CNR5612431&quot;"/>
    <x v="2"/>
    <s v="&quot;CID3088301&quot;"/>
    <x v="3"/>
    <x v="145"/>
    <s v="Vasant Kunj"/>
    <x v="91"/>
    <n v="31.9"/>
    <s v="null"/>
    <s v="null"/>
    <s v="null"/>
    <s v="null"/>
    <s v="null"/>
    <s v="null"/>
    <n v="332"/>
    <n v="48.7"/>
    <x v="15"/>
    <x v="2"/>
    <s v="UPI"/>
  </r>
  <r>
    <x v="106"/>
    <x v="10"/>
    <x v="1390"/>
    <s v="&quot;CNR2137304&quot;"/>
    <x v="3"/>
    <s v="&quot;CID6853358&quot;"/>
    <x v="2"/>
    <x v="4"/>
    <s v="Gwal Pahari"/>
    <x v="15"/>
    <s v="null"/>
    <s v="null"/>
    <s v="null"/>
    <n v="1"/>
    <s v="Customer related issue"/>
    <s v="null"/>
    <s v="null"/>
    <s v="null"/>
    <s v="null"/>
    <x v="0"/>
    <x v="0"/>
    <s v="null"/>
  </r>
  <r>
    <x v="144"/>
    <x v="8"/>
    <x v="1391"/>
    <s v="&quot;CNR5111641&quot;"/>
    <x v="2"/>
    <s v="&quot;CID6957716&quot;"/>
    <x v="5"/>
    <x v="14"/>
    <s v="Sarojini Nagar"/>
    <x v="48"/>
    <n v="15.9"/>
    <s v="null"/>
    <s v="null"/>
    <s v="null"/>
    <s v="null"/>
    <s v="null"/>
    <s v="null"/>
    <n v="960"/>
    <n v="34.11"/>
    <x v="2"/>
    <x v="2"/>
    <s v="Debit Card"/>
  </r>
  <r>
    <x v="46"/>
    <x v="9"/>
    <x v="1392"/>
    <s v="&quot;CNR3566105&quot;"/>
    <x v="3"/>
    <s v="&quot;CID2033815&quot;"/>
    <x v="3"/>
    <x v="57"/>
    <s v="Dilshad Garden"/>
    <x v="97"/>
    <s v="null"/>
    <s v="null"/>
    <s v="null"/>
    <n v="1"/>
    <s v="Personal &amp; Car related issues"/>
    <s v="null"/>
    <s v="null"/>
    <s v="null"/>
    <s v="null"/>
    <x v="0"/>
    <x v="0"/>
    <s v="null"/>
  </r>
  <r>
    <x v="217"/>
    <x v="2"/>
    <x v="1393"/>
    <s v="&quot;CNR5857825&quot;"/>
    <x v="3"/>
    <s v="&quot;CID2049884&quot;"/>
    <x v="5"/>
    <x v="93"/>
    <s v="Sonipat"/>
    <x v="74"/>
    <s v="null"/>
    <s v="null"/>
    <s v="null"/>
    <n v="1"/>
    <s v="Customer related issue"/>
    <s v="null"/>
    <s v="null"/>
    <s v="null"/>
    <s v="null"/>
    <x v="0"/>
    <x v="0"/>
    <s v="null"/>
  </r>
  <r>
    <x v="357"/>
    <x v="11"/>
    <x v="1394"/>
    <s v="&quot;CNR8226742&quot;"/>
    <x v="2"/>
    <s v="&quot;CID1855408&quot;"/>
    <x v="5"/>
    <x v="20"/>
    <s v="Shastri Nagar"/>
    <x v="98"/>
    <n v="38"/>
    <s v="null"/>
    <s v="null"/>
    <s v="null"/>
    <s v="null"/>
    <s v="null"/>
    <s v="null"/>
    <n v="3227"/>
    <n v="49.86"/>
    <x v="2"/>
    <x v="8"/>
    <s v="Cash"/>
  </r>
  <r>
    <x v="325"/>
    <x v="5"/>
    <x v="1395"/>
    <s v="&quot;CNR6567762&quot;"/>
    <x v="2"/>
    <s v="&quot;CID3118228&quot;"/>
    <x v="2"/>
    <x v="153"/>
    <s v="Barakhamba Road"/>
    <x v="63"/>
    <n v="28.7"/>
    <s v="null"/>
    <s v="null"/>
    <s v="null"/>
    <s v="null"/>
    <s v="null"/>
    <s v="null"/>
    <n v="645"/>
    <n v="22.71"/>
    <x v="14"/>
    <x v="4"/>
    <s v="UPI"/>
  </r>
  <r>
    <x v="247"/>
    <x v="10"/>
    <x v="1396"/>
    <s v="&quot;CNR6354226&quot;"/>
    <x v="3"/>
    <s v="&quot;CID6622851&quot;"/>
    <x v="0"/>
    <x v="124"/>
    <s v="Qutub Minar"/>
    <x v="106"/>
    <s v="null"/>
    <s v="null"/>
    <s v="null"/>
    <n v="1"/>
    <s v="More than permitted people in there"/>
    <s v="null"/>
    <s v="null"/>
    <s v="null"/>
    <s v="null"/>
    <x v="0"/>
    <x v="0"/>
    <s v="null"/>
  </r>
  <r>
    <x v="235"/>
    <x v="7"/>
    <x v="1397"/>
    <s v="&quot;CNR6381345&quot;"/>
    <x v="3"/>
    <s v="&quot;CID6285663&quot;"/>
    <x v="3"/>
    <x v="17"/>
    <s v="Badarpur"/>
    <x v="61"/>
    <s v="null"/>
    <s v="null"/>
    <s v="null"/>
    <n v="1"/>
    <s v="The customer was coughing/sick"/>
    <s v="null"/>
    <s v="null"/>
    <s v="null"/>
    <s v="null"/>
    <x v="0"/>
    <x v="0"/>
    <s v="null"/>
  </r>
  <r>
    <x v="213"/>
    <x v="3"/>
    <x v="1398"/>
    <s v="&quot;CNR9044972&quot;"/>
    <x v="2"/>
    <s v="&quot;CID9553443&quot;"/>
    <x v="0"/>
    <x v="93"/>
    <s v="Udyog Vihar Phase 4"/>
    <x v="107"/>
    <n v="16.5"/>
    <s v="null"/>
    <s v="null"/>
    <s v="null"/>
    <s v="null"/>
    <s v="null"/>
    <s v="null"/>
    <n v="309"/>
    <n v="18.18"/>
    <x v="19"/>
    <x v="3"/>
    <s v="Debit Card"/>
  </r>
  <r>
    <x v="58"/>
    <x v="0"/>
    <x v="1399"/>
    <s v="&quot;CNR4665242&quot;"/>
    <x v="2"/>
    <s v="&quot;CID1907267&quot;"/>
    <x v="3"/>
    <x v="158"/>
    <s v="India Gate"/>
    <x v="117"/>
    <n v="26.3"/>
    <s v="null"/>
    <s v="null"/>
    <s v="null"/>
    <s v="null"/>
    <s v="null"/>
    <s v="null"/>
    <n v="160"/>
    <n v="22.56"/>
    <x v="12"/>
    <x v="19"/>
    <s v="Uber Wallet"/>
  </r>
  <r>
    <x v="19"/>
    <x v="9"/>
    <x v="1400"/>
    <s v="&quot;CNR6099496&quot;"/>
    <x v="2"/>
    <s v="&quot;CID1896038&quot;"/>
    <x v="5"/>
    <x v="73"/>
    <s v="Rajiv Nagar"/>
    <x v="60"/>
    <n v="38.200000000000003"/>
    <s v="null"/>
    <s v="null"/>
    <s v="null"/>
    <s v="null"/>
    <s v="null"/>
    <s v="null"/>
    <n v="181"/>
    <n v="2.41"/>
    <x v="10"/>
    <x v="6"/>
    <s v="UPI"/>
  </r>
  <r>
    <x v="275"/>
    <x v="6"/>
    <x v="1401"/>
    <s v="&quot;CNR7489199&quot;"/>
    <x v="2"/>
    <s v="&quot;CID2512802&quot;"/>
    <x v="4"/>
    <x v="153"/>
    <s v="Rohini"/>
    <x v="57"/>
    <n v="25.9"/>
    <s v="null"/>
    <s v="null"/>
    <s v="null"/>
    <s v="null"/>
    <s v="null"/>
    <s v="null"/>
    <n v="816"/>
    <n v="33.909999999999997"/>
    <x v="6"/>
    <x v="7"/>
    <s v="UPI"/>
  </r>
  <r>
    <x v="22"/>
    <x v="5"/>
    <x v="1402"/>
    <s v="&quot;CNR1137985&quot;"/>
    <x v="2"/>
    <s v="&quot;CID7691917&quot;"/>
    <x v="1"/>
    <x v="161"/>
    <s v="Badarpur"/>
    <x v="50"/>
    <n v="25.1"/>
    <s v="null"/>
    <s v="null"/>
    <s v="null"/>
    <s v="null"/>
    <s v="null"/>
    <s v="null"/>
    <n v="137"/>
    <n v="36.57"/>
    <x v="16"/>
    <x v="6"/>
    <s v="UPI"/>
  </r>
  <r>
    <x v="39"/>
    <x v="4"/>
    <x v="1403"/>
    <s v="&quot;CNR2724044&quot;"/>
    <x v="2"/>
    <s v="&quot;CID3554106&quot;"/>
    <x v="2"/>
    <x v="96"/>
    <s v="Rajiv Chowk"/>
    <x v="10"/>
    <n v="41.8"/>
    <s v="null"/>
    <s v="null"/>
    <s v="null"/>
    <s v="null"/>
    <s v="null"/>
    <s v="null"/>
    <n v="352"/>
    <n v="27.89"/>
    <x v="7"/>
    <x v="2"/>
    <s v="UPI"/>
  </r>
  <r>
    <x v="148"/>
    <x v="6"/>
    <x v="1404"/>
    <s v="&quot;CNR2045650&quot;"/>
    <x v="1"/>
    <s v="&quot;CID1553016&quot;"/>
    <x v="3"/>
    <x v="59"/>
    <s v="Badarpur"/>
    <x v="1"/>
    <n v="19"/>
    <s v="null"/>
    <s v="null"/>
    <s v="null"/>
    <s v="null"/>
    <n v="1"/>
    <s v="Customer Demand"/>
    <n v="379"/>
    <n v="3.15"/>
    <x v="0"/>
    <x v="0"/>
    <s v="UPI"/>
  </r>
  <r>
    <x v="195"/>
    <x v="3"/>
    <x v="1405"/>
    <s v="&quot;CNR3632677&quot;"/>
    <x v="4"/>
    <s v="&quot;CID8976910&quot;"/>
    <x v="1"/>
    <x v="35"/>
    <s v="Meerut"/>
    <x v="154"/>
    <s v="null"/>
    <n v="1"/>
    <s v="AC is not working"/>
    <s v="null"/>
    <s v="null"/>
    <s v="null"/>
    <s v="null"/>
    <s v="null"/>
    <s v="null"/>
    <x v="0"/>
    <x v="0"/>
    <s v="null"/>
  </r>
  <r>
    <x v="239"/>
    <x v="4"/>
    <x v="1406"/>
    <s v="&quot;CNR8254132&quot;"/>
    <x v="2"/>
    <s v="&quot;CID9757771&quot;"/>
    <x v="2"/>
    <x v="41"/>
    <s v="ITO"/>
    <x v="32"/>
    <n v="15.6"/>
    <s v="null"/>
    <s v="null"/>
    <s v="null"/>
    <s v="null"/>
    <s v="null"/>
    <s v="null"/>
    <n v="544"/>
    <n v="23.81"/>
    <x v="12"/>
    <x v="15"/>
    <s v="Cash"/>
  </r>
  <r>
    <x v="119"/>
    <x v="10"/>
    <x v="1407"/>
    <s v="&quot;CNR7225005&quot;"/>
    <x v="3"/>
    <s v="&quot;CID6816473&quot;"/>
    <x v="0"/>
    <x v="102"/>
    <s v="Madipur"/>
    <x v="23"/>
    <s v="null"/>
    <s v="null"/>
    <s v="null"/>
    <n v="1"/>
    <s v="Personal &amp; Car related issues"/>
    <s v="null"/>
    <s v="null"/>
    <s v="null"/>
    <s v="null"/>
    <x v="0"/>
    <x v="0"/>
    <s v="null"/>
  </r>
  <r>
    <x v="80"/>
    <x v="11"/>
    <x v="1408"/>
    <s v="&quot;CNR3956062&quot;"/>
    <x v="2"/>
    <s v="&quot;CID3223309&quot;"/>
    <x v="6"/>
    <x v="82"/>
    <s v="Khan Market"/>
    <x v="29"/>
    <n v="44.3"/>
    <s v="null"/>
    <s v="null"/>
    <s v="null"/>
    <s v="null"/>
    <s v="null"/>
    <s v="null"/>
    <n v="476"/>
    <n v="36.49"/>
    <x v="12"/>
    <x v="1"/>
    <s v="UPI"/>
  </r>
  <r>
    <x v="254"/>
    <x v="5"/>
    <x v="1409"/>
    <s v="&quot;CNR8131452&quot;"/>
    <x v="2"/>
    <s v="&quot;CID7322198&quot;"/>
    <x v="5"/>
    <x v="144"/>
    <s v="Vinobapuri"/>
    <x v="20"/>
    <n v="29.9"/>
    <s v="null"/>
    <s v="null"/>
    <s v="null"/>
    <s v="null"/>
    <s v="null"/>
    <s v="null"/>
    <n v="258"/>
    <n v="33.39"/>
    <x v="6"/>
    <x v="4"/>
    <s v="UPI"/>
  </r>
  <r>
    <x v="350"/>
    <x v="5"/>
    <x v="1410"/>
    <s v="&quot;CNR6065326&quot;"/>
    <x v="2"/>
    <s v="&quot;CID5251660&quot;"/>
    <x v="2"/>
    <x v="17"/>
    <s v="Vishwavidyalaya"/>
    <x v="97"/>
    <n v="18.5"/>
    <s v="null"/>
    <s v="null"/>
    <s v="null"/>
    <s v="null"/>
    <s v="null"/>
    <s v="null"/>
    <n v="728"/>
    <n v="15.05"/>
    <x v="9"/>
    <x v="3"/>
    <s v="Cash"/>
  </r>
  <r>
    <x v="82"/>
    <x v="3"/>
    <x v="1411"/>
    <s v="&quot;CNR7509475&quot;"/>
    <x v="4"/>
    <s v="&quot;CID8269891&quot;"/>
    <x v="2"/>
    <x v="174"/>
    <s v="Huda City Centre"/>
    <x v="154"/>
    <s v="null"/>
    <n v="1"/>
    <s v="Wrong Address"/>
    <s v="null"/>
    <s v="null"/>
    <s v="null"/>
    <s v="null"/>
    <s v="null"/>
    <s v="null"/>
    <x v="0"/>
    <x v="0"/>
    <s v="null"/>
  </r>
  <r>
    <x v="326"/>
    <x v="3"/>
    <x v="1412"/>
    <s v="&quot;CNR2620983&quot;"/>
    <x v="0"/>
    <s v="&quot;CID3704528&quot;"/>
    <x v="5"/>
    <x v="116"/>
    <s v="DLF City Court"/>
    <x v="0"/>
    <s v="null"/>
    <s v="null"/>
    <s v="null"/>
    <s v="null"/>
    <s v="null"/>
    <s v="null"/>
    <s v="null"/>
    <s v="null"/>
    <s v="null"/>
    <x v="0"/>
    <x v="0"/>
    <s v="null"/>
  </r>
  <r>
    <x v="86"/>
    <x v="0"/>
    <x v="1413"/>
    <s v="&quot;CNR8742263&quot;"/>
    <x v="2"/>
    <s v="&quot;CID4481410&quot;"/>
    <x v="5"/>
    <x v="4"/>
    <s v="MG Road"/>
    <x v="77"/>
    <n v="27.1"/>
    <s v="null"/>
    <s v="null"/>
    <s v="null"/>
    <s v="null"/>
    <s v="null"/>
    <s v="null"/>
    <n v="335"/>
    <n v="19.97"/>
    <x v="6"/>
    <x v="3"/>
    <s v="Debit Card"/>
  </r>
  <r>
    <x v="154"/>
    <x v="7"/>
    <x v="1414"/>
    <s v="&quot;CNR5285954&quot;"/>
    <x v="3"/>
    <s v="&quot;CID9794267&quot;"/>
    <x v="1"/>
    <x v="15"/>
    <s v="Huda City Centre"/>
    <x v="42"/>
    <s v="null"/>
    <s v="null"/>
    <s v="null"/>
    <n v="1"/>
    <s v="The customer was coughing/sick"/>
    <s v="null"/>
    <s v="null"/>
    <s v="null"/>
    <s v="null"/>
    <x v="0"/>
    <x v="0"/>
    <s v="null"/>
  </r>
  <r>
    <x v="172"/>
    <x v="11"/>
    <x v="1415"/>
    <s v="&quot;CNR7074903&quot;"/>
    <x v="2"/>
    <s v="&quot;CID3097521&quot;"/>
    <x v="5"/>
    <x v="50"/>
    <s v="Bahadurgarh"/>
    <x v="37"/>
    <n v="17.8"/>
    <s v="null"/>
    <s v="null"/>
    <s v="null"/>
    <s v="null"/>
    <s v="null"/>
    <s v="null"/>
    <n v="112"/>
    <n v="31.17"/>
    <x v="6"/>
    <x v="2"/>
    <s v="Debit Card"/>
  </r>
  <r>
    <x v="2"/>
    <x v="2"/>
    <x v="1416"/>
    <s v="&quot;CNR5024037&quot;"/>
    <x v="3"/>
    <s v="&quot;CID9281756&quot;"/>
    <x v="2"/>
    <x v="58"/>
    <s v="Vidhan Sabha"/>
    <x v="87"/>
    <s v="null"/>
    <s v="null"/>
    <s v="null"/>
    <n v="1"/>
    <s v="Personal &amp; Car related issues"/>
    <s v="null"/>
    <s v="null"/>
    <s v="null"/>
    <s v="null"/>
    <x v="0"/>
    <x v="0"/>
    <s v="null"/>
  </r>
  <r>
    <x v="36"/>
    <x v="3"/>
    <x v="1417"/>
    <s v="&quot;CNR4938354&quot;"/>
    <x v="2"/>
    <s v="&quot;CID4689934&quot;"/>
    <x v="1"/>
    <x v="22"/>
    <s v="Panchsheel Park"/>
    <x v="41"/>
    <n v="44.6"/>
    <s v="null"/>
    <s v="null"/>
    <s v="null"/>
    <s v="null"/>
    <s v="null"/>
    <s v="null"/>
    <n v="544"/>
    <n v="27.4"/>
    <x v="5"/>
    <x v="17"/>
    <s v="Cash"/>
  </r>
  <r>
    <x v="151"/>
    <x v="4"/>
    <x v="1418"/>
    <s v="&quot;CNR5143543&quot;"/>
    <x v="2"/>
    <s v="&quot;CID9965076&quot;"/>
    <x v="2"/>
    <x v="144"/>
    <s v="Ashok Vihar"/>
    <x v="116"/>
    <n v="18"/>
    <s v="null"/>
    <s v="null"/>
    <s v="null"/>
    <s v="null"/>
    <s v="null"/>
    <s v="null"/>
    <n v="609"/>
    <n v="20.51"/>
    <x v="8"/>
    <x v="5"/>
    <s v="UPI"/>
  </r>
  <r>
    <x v="324"/>
    <x v="4"/>
    <x v="1419"/>
    <s v="&quot;CNR5394451&quot;"/>
    <x v="2"/>
    <s v="&quot;CID2882325&quot;"/>
    <x v="4"/>
    <x v="97"/>
    <s v="Green Park"/>
    <x v="5"/>
    <n v="16.7"/>
    <s v="null"/>
    <s v="null"/>
    <s v="null"/>
    <s v="null"/>
    <s v="null"/>
    <s v="null"/>
    <n v="136"/>
    <n v="45.7"/>
    <x v="2"/>
    <x v="14"/>
    <s v="UPI"/>
  </r>
  <r>
    <x v="54"/>
    <x v="9"/>
    <x v="1420"/>
    <s v="&quot;CNR5683028&quot;"/>
    <x v="2"/>
    <s v="&quot;CID7179832&quot;"/>
    <x v="5"/>
    <x v="133"/>
    <s v="MG Road"/>
    <x v="59"/>
    <n v="41"/>
    <s v="null"/>
    <s v="null"/>
    <s v="null"/>
    <s v="null"/>
    <s v="null"/>
    <s v="null"/>
    <n v="209"/>
    <n v="20.190000000000001"/>
    <x v="14"/>
    <x v="12"/>
    <s v="Uber Wallet"/>
  </r>
  <r>
    <x v="327"/>
    <x v="6"/>
    <x v="1421"/>
    <s v="&quot;CNR5510975&quot;"/>
    <x v="3"/>
    <s v="&quot;CID9119302&quot;"/>
    <x v="0"/>
    <x v="3"/>
    <s v="Anand Vihar ISBT"/>
    <x v="46"/>
    <s v="null"/>
    <s v="null"/>
    <s v="null"/>
    <n v="1"/>
    <s v="The customer was coughing/sick"/>
    <s v="null"/>
    <s v="null"/>
    <s v="null"/>
    <s v="null"/>
    <x v="0"/>
    <x v="0"/>
    <s v="null"/>
  </r>
  <r>
    <x v="255"/>
    <x v="3"/>
    <x v="1422"/>
    <s v="&quot;CNR4673166&quot;"/>
    <x v="3"/>
    <s v="&quot;CID6174273&quot;"/>
    <x v="1"/>
    <x v="144"/>
    <s v="Ghitorni"/>
    <x v="118"/>
    <s v="null"/>
    <s v="null"/>
    <s v="null"/>
    <n v="1"/>
    <s v="The customer was coughing/sick"/>
    <s v="null"/>
    <s v="null"/>
    <s v="null"/>
    <s v="null"/>
    <x v="0"/>
    <x v="0"/>
    <s v="null"/>
  </r>
  <r>
    <x v="203"/>
    <x v="7"/>
    <x v="1423"/>
    <s v="&quot;CNR5156638&quot;"/>
    <x v="3"/>
    <s v="&quot;CID2740031&quot;"/>
    <x v="1"/>
    <x v="139"/>
    <s v="Golf Course Road"/>
    <x v="39"/>
    <s v="null"/>
    <s v="null"/>
    <s v="null"/>
    <n v="1"/>
    <s v="Customer related issue"/>
    <s v="null"/>
    <s v="null"/>
    <s v="null"/>
    <s v="null"/>
    <x v="0"/>
    <x v="0"/>
    <s v="null"/>
  </r>
  <r>
    <x v="82"/>
    <x v="3"/>
    <x v="1424"/>
    <s v="&quot;CNR3333047&quot;"/>
    <x v="3"/>
    <s v="&quot;CID3041269&quot;"/>
    <x v="2"/>
    <x v="157"/>
    <s v="Paschim Vihar"/>
    <x v="55"/>
    <s v="null"/>
    <s v="null"/>
    <s v="null"/>
    <n v="1"/>
    <s v="Personal &amp; Car related issues"/>
    <s v="null"/>
    <s v="null"/>
    <s v="null"/>
    <s v="null"/>
    <x v="0"/>
    <x v="0"/>
    <s v="null"/>
  </r>
  <r>
    <x v="258"/>
    <x v="11"/>
    <x v="1425"/>
    <s v="&quot;CNR9263685&quot;"/>
    <x v="3"/>
    <s v="&quot;CID3243366&quot;"/>
    <x v="6"/>
    <x v="111"/>
    <s v="Sarojini Nagar"/>
    <x v="65"/>
    <s v="null"/>
    <s v="null"/>
    <s v="null"/>
    <n v="1"/>
    <s v="More than permitted people in there"/>
    <s v="null"/>
    <s v="null"/>
    <s v="null"/>
    <s v="null"/>
    <x v="0"/>
    <x v="0"/>
    <s v="null"/>
  </r>
  <r>
    <x v="236"/>
    <x v="5"/>
    <x v="1426"/>
    <s v="&quot;CNR9554863&quot;"/>
    <x v="2"/>
    <s v="&quot;CID2557936&quot;"/>
    <x v="3"/>
    <x v="156"/>
    <s v="Old Gurgaon"/>
    <x v="105"/>
    <n v="21.3"/>
    <s v="null"/>
    <s v="null"/>
    <s v="null"/>
    <s v="null"/>
    <s v="null"/>
    <s v="null"/>
    <n v="847"/>
    <n v="23.27"/>
    <x v="11"/>
    <x v="9"/>
    <s v="UPI"/>
  </r>
  <r>
    <x v="199"/>
    <x v="11"/>
    <x v="1427"/>
    <s v="&quot;CNR1993725&quot;"/>
    <x v="3"/>
    <s v="&quot;CID7441368&quot;"/>
    <x v="2"/>
    <x v="137"/>
    <s v="Subhash Nagar"/>
    <x v="107"/>
    <s v="null"/>
    <s v="null"/>
    <s v="null"/>
    <n v="1"/>
    <s v="More than permitted people in there"/>
    <s v="null"/>
    <s v="null"/>
    <s v="null"/>
    <s v="null"/>
    <x v="0"/>
    <x v="0"/>
    <s v="null"/>
  </r>
  <r>
    <x v="106"/>
    <x v="10"/>
    <x v="1428"/>
    <s v="&quot;CNR4947416&quot;"/>
    <x v="2"/>
    <s v="&quot;CID3656227&quot;"/>
    <x v="0"/>
    <x v="153"/>
    <s v="Mansarovar Park"/>
    <x v="73"/>
    <n v="32.9"/>
    <s v="null"/>
    <s v="null"/>
    <s v="null"/>
    <s v="null"/>
    <s v="null"/>
    <s v="null"/>
    <n v="577"/>
    <n v="31.19"/>
    <x v="14"/>
    <x v="14"/>
    <s v="Cash"/>
  </r>
  <r>
    <x v="301"/>
    <x v="4"/>
    <x v="1429"/>
    <s v="&quot;CNR9064014&quot;"/>
    <x v="2"/>
    <s v="&quot;CID9012618&quot;"/>
    <x v="5"/>
    <x v="136"/>
    <s v="Khandsa"/>
    <x v="28"/>
    <n v="15.2"/>
    <s v="null"/>
    <s v="null"/>
    <s v="null"/>
    <s v="null"/>
    <s v="null"/>
    <s v="null"/>
    <n v="52"/>
    <n v="40.6"/>
    <x v="6"/>
    <x v="14"/>
    <s v="Cash"/>
  </r>
  <r>
    <x v="17"/>
    <x v="7"/>
    <x v="910"/>
    <s v="&quot;CNR1220666&quot;"/>
    <x v="2"/>
    <s v="&quot;CID8288391&quot;"/>
    <x v="4"/>
    <x v="39"/>
    <s v="Noida Sector 62"/>
    <x v="9"/>
    <n v="31.8"/>
    <s v="null"/>
    <s v="null"/>
    <s v="null"/>
    <s v="null"/>
    <s v="null"/>
    <s v="null"/>
    <n v="751"/>
    <n v="14.74"/>
    <x v="13"/>
    <x v="10"/>
    <s v="Debit Card"/>
  </r>
  <r>
    <x v="242"/>
    <x v="5"/>
    <x v="1430"/>
    <s v="&quot;CNR8696128&quot;"/>
    <x v="4"/>
    <s v="&quot;CID4048591&quot;"/>
    <x v="5"/>
    <x v="74"/>
    <s v="Palam Vihar"/>
    <x v="116"/>
    <s v="null"/>
    <n v="1"/>
    <s v="Driver is not moving towards pickup location"/>
    <s v="null"/>
    <s v="null"/>
    <s v="null"/>
    <s v="null"/>
    <s v="null"/>
    <s v="null"/>
    <x v="0"/>
    <x v="0"/>
    <s v="null"/>
  </r>
  <r>
    <x v="76"/>
    <x v="6"/>
    <x v="1431"/>
    <s v="&quot;CNR2139085&quot;"/>
    <x v="3"/>
    <s v="&quot;CID6937468&quot;"/>
    <x v="2"/>
    <x v="36"/>
    <s v="Shastri Nagar"/>
    <x v="93"/>
    <s v="null"/>
    <s v="null"/>
    <s v="null"/>
    <n v="1"/>
    <s v="Personal &amp; Car related issues"/>
    <s v="null"/>
    <s v="null"/>
    <s v="null"/>
    <s v="null"/>
    <x v="0"/>
    <x v="0"/>
    <s v="null"/>
  </r>
  <r>
    <x v="263"/>
    <x v="7"/>
    <x v="1432"/>
    <s v="&quot;CNR9790703&quot;"/>
    <x v="2"/>
    <s v="&quot;CID6628432&quot;"/>
    <x v="5"/>
    <x v="171"/>
    <s v="Cyber Hub"/>
    <x v="25"/>
    <n v="25.8"/>
    <s v="null"/>
    <s v="null"/>
    <s v="null"/>
    <s v="null"/>
    <s v="null"/>
    <s v="null"/>
    <n v="947"/>
    <n v="31.96"/>
    <x v="14"/>
    <x v="4"/>
    <s v="Cash"/>
  </r>
  <r>
    <x v="260"/>
    <x v="9"/>
    <x v="1433"/>
    <s v="&quot;CNR5788844&quot;"/>
    <x v="3"/>
    <s v="&quot;CID8109974&quot;"/>
    <x v="2"/>
    <x v="50"/>
    <s v="Pulbangash"/>
    <x v="36"/>
    <s v="null"/>
    <s v="null"/>
    <s v="null"/>
    <n v="1"/>
    <s v="The customer was coughing/sick"/>
    <s v="null"/>
    <s v="null"/>
    <s v="null"/>
    <s v="null"/>
    <x v="0"/>
    <x v="0"/>
    <s v="null"/>
  </r>
  <r>
    <x v="204"/>
    <x v="7"/>
    <x v="1434"/>
    <s v="&quot;CNR6257443&quot;"/>
    <x v="2"/>
    <s v="&quot;CID7158119&quot;"/>
    <x v="2"/>
    <x v="37"/>
    <s v="Lal Quila"/>
    <x v="2"/>
    <n v="17.100000000000001"/>
    <s v="null"/>
    <s v="null"/>
    <s v="null"/>
    <s v="null"/>
    <s v="null"/>
    <s v="null"/>
    <n v="671"/>
    <n v="34.75"/>
    <x v="5"/>
    <x v="1"/>
    <s v="UPI"/>
  </r>
  <r>
    <x v="267"/>
    <x v="10"/>
    <x v="1435"/>
    <s v="&quot;CNR2100867&quot;"/>
    <x v="0"/>
    <s v="&quot;CID2240424&quot;"/>
    <x v="2"/>
    <x v="49"/>
    <s v="Ghitorni Village"/>
    <x v="0"/>
    <s v="null"/>
    <s v="null"/>
    <s v="null"/>
    <s v="null"/>
    <s v="null"/>
    <s v="null"/>
    <s v="null"/>
    <s v="null"/>
    <s v="null"/>
    <x v="0"/>
    <x v="0"/>
    <s v="null"/>
  </r>
  <r>
    <x v="216"/>
    <x v="1"/>
    <x v="1436"/>
    <s v="&quot;CNR3357604&quot;"/>
    <x v="2"/>
    <s v="&quot;CID2270853&quot;"/>
    <x v="2"/>
    <x v="158"/>
    <s v="Bhiwadi"/>
    <x v="65"/>
    <n v="15.3"/>
    <s v="null"/>
    <s v="null"/>
    <s v="null"/>
    <s v="null"/>
    <s v="null"/>
    <s v="null"/>
    <n v="468"/>
    <n v="35.29"/>
    <x v="5"/>
    <x v="14"/>
    <s v="Debit Card"/>
  </r>
  <r>
    <x v="132"/>
    <x v="5"/>
    <x v="1437"/>
    <s v="&quot;CNR6378906&quot;"/>
    <x v="2"/>
    <s v="&quot;CID4320820&quot;"/>
    <x v="2"/>
    <x v="101"/>
    <s v="Vaishali"/>
    <x v="50"/>
    <n v="18.600000000000001"/>
    <s v="null"/>
    <s v="null"/>
    <s v="null"/>
    <s v="null"/>
    <s v="null"/>
    <s v="null"/>
    <n v="162"/>
    <n v="23.95"/>
    <x v="15"/>
    <x v="15"/>
    <s v="Cash"/>
  </r>
  <r>
    <x v="191"/>
    <x v="9"/>
    <x v="1438"/>
    <s v="&quot;CNR4616065&quot;"/>
    <x v="4"/>
    <s v="&quot;CID7075974&quot;"/>
    <x v="0"/>
    <x v="134"/>
    <s v="Chhatarpur"/>
    <x v="124"/>
    <s v="null"/>
    <n v="1"/>
    <s v="Wrong Address"/>
    <s v="null"/>
    <s v="null"/>
    <s v="null"/>
    <s v="null"/>
    <s v="null"/>
    <s v="null"/>
    <x v="0"/>
    <x v="0"/>
    <s v="null"/>
  </r>
  <r>
    <x v="15"/>
    <x v="6"/>
    <x v="1439"/>
    <s v="&quot;CNR6914295&quot;"/>
    <x v="2"/>
    <s v="&quot;CID6995151&quot;"/>
    <x v="4"/>
    <x v="43"/>
    <s v="Pragati Maidan"/>
    <x v="6"/>
    <n v="40"/>
    <s v="null"/>
    <s v="null"/>
    <s v="null"/>
    <s v="null"/>
    <s v="null"/>
    <s v="null"/>
    <n v="384"/>
    <n v="43.54"/>
    <x v="3"/>
    <x v="14"/>
    <s v="Uber Wallet"/>
  </r>
  <r>
    <x v="238"/>
    <x v="11"/>
    <x v="1281"/>
    <s v="&quot;CNR2116759&quot;"/>
    <x v="4"/>
    <s v="&quot;CID7023290&quot;"/>
    <x v="3"/>
    <x v="102"/>
    <s v="Karol Bagh"/>
    <x v="155"/>
    <s v="null"/>
    <n v="1"/>
    <s v="Driver asked to cancel"/>
    <s v="null"/>
    <s v="null"/>
    <s v="null"/>
    <s v="null"/>
    <s v="null"/>
    <s v="null"/>
    <x v="0"/>
    <x v="0"/>
    <s v="null"/>
  </r>
  <r>
    <x v="1"/>
    <x v="1"/>
    <x v="1440"/>
    <s v="&quot;CNR4508411&quot;"/>
    <x v="2"/>
    <s v="&quot;CID9941037&quot;"/>
    <x v="5"/>
    <x v="33"/>
    <s v="Qutub Minar"/>
    <x v="77"/>
    <n v="19.2"/>
    <s v="null"/>
    <s v="null"/>
    <s v="null"/>
    <s v="null"/>
    <s v="null"/>
    <s v="null"/>
    <n v="288"/>
    <n v="13.51"/>
    <x v="8"/>
    <x v="6"/>
    <s v="Credit Card"/>
  </r>
  <r>
    <x v="347"/>
    <x v="4"/>
    <x v="1441"/>
    <s v="&quot;CNR8149775&quot;"/>
    <x v="2"/>
    <s v="&quot;CID9718733&quot;"/>
    <x v="3"/>
    <x v="84"/>
    <s v="Pitampura"/>
    <x v="104"/>
    <n v="31"/>
    <s v="null"/>
    <s v="null"/>
    <s v="null"/>
    <s v="null"/>
    <s v="null"/>
    <s v="null"/>
    <n v="158"/>
    <n v="16.82"/>
    <x v="6"/>
    <x v="13"/>
    <s v="UPI"/>
  </r>
  <r>
    <x v="327"/>
    <x v="6"/>
    <x v="1442"/>
    <s v="&quot;CNR8841090&quot;"/>
    <x v="2"/>
    <s v="&quot;CID5732489&quot;"/>
    <x v="4"/>
    <x v="13"/>
    <s v="Subhash Chowk"/>
    <x v="6"/>
    <n v="45"/>
    <s v="null"/>
    <s v="null"/>
    <s v="null"/>
    <s v="null"/>
    <s v="null"/>
    <s v="null"/>
    <n v="801"/>
    <n v="44.35"/>
    <x v="7"/>
    <x v="7"/>
    <s v="UPI"/>
  </r>
  <r>
    <x v="77"/>
    <x v="6"/>
    <x v="1443"/>
    <s v="&quot;CNR4595647&quot;"/>
    <x v="2"/>
    <s v="&quot;CID8125225&quot;"/>
    <x v="1"/>
    <x v="93"/>
    <s v="Noida Film City"/>
    <x v="103"/>
    <n v="31.4"/>
    <s v="null"/>
    <s v="null"/>
    <s v="null"/>
    <s v="null"/>
    <s v="null"/>
    <s v="null"/>
    <n v="362"/>
    <n v="45.48"/>
    <x v="7"/>
    <x v="4"/>
    <s v="Debit Card"/>
  </r>
  <r>
    <x v="89"/>
    <x v="4"/>
    <x v="1444"/>
    <s v="&quot;CNR1241179&quot;"/>
    <x v="2"/>
    <s v="&quot;CID1210470&quot;"/>
    <x v="5"/>
    <x v="57"/>
    <s v="ITO"/>
    <x v="21"/>
    <n v="41"/>
    <s v="null"/>
    <s v="null"/>
    <s v="null"/>
    <s v="null"/>
    <s v="null"/>
    <s v="null"/>
    <n v="587"/>
    <n v="15.83"/>
    <x v="14"/>
    <x v="3"/>
    <s v="Uber Wallet"/>
  </r>
  <r>
    <x v="86"/>
    <x v="0"/>
    <x v="1445"/>
    <s v="&quot;CNR5574631&quot;"/>
    <x v="2"/>
    <s v="&quot;CID3269363&quot;"/>
    <x v="4"/>
    <x v="64"/>
    <s v="Adarsh Nagar"/>
    <x v="132"/>
    <n v="18.100000000000001"/>
    <s v="null"/>
    <s v="null"/>
    <s v="null"/>
    <s v="null"/>
    <s v="null"/>
    <s v="null"/>
    <n v="537"/>
    <n v="3.53"/>
    <x v="6"/>
    <x v="6"/>
    <s v="Cash"/>
  </r>
  <r>
    <x v="50"/>
    <x v="0"/>
    <x v="1446"/>
    <s v="&quot;CNR5528090&quot;"/>
    <x v="2"/>
    <s v="&quot;CID1081955&quot;"/>
    <x v="5"/>
    <x v="130"/>
    <s v="Ramesh Nagar"/>
    <x v="117"/>
    <n v="18"/>
    <s v="null"/>
    <s v="null"/>
    <s v="null"/>
    <s v="null"/>
    <s v="null"/>
    <s v="null"/>
    <n v="108"/>
    <n v="39.36"/>
    <x v="12"/>
    <x v="15"/>
    <s v="Cash"/>
  </r>
  <r>
    <x v="142"/>
    <x v="7"/>
    <x v="1447"/>
    <s v="&quot;CNR1881031&quot;"/>
    <x v="1"/>
    <s v="&quot;CID5491076&quot;"/>
    <x v="2"/>
    <x v="109"/>
    <s v="Nirman Vihar"/>
    <x v="88"/>
    <n v="25.4"/>
    <s v="null"/>
    <s v="null"/>
    <s v="null"/>
    <s v="null"/>
    <n v="1"/>
    <s v="Customer Demand"/>
    <n v="194"/>
    <n v="19.989999999999998"/>
    <x v="0"/>
    <x v="0"/>
    <s v="UPI"/>
  </r>
  <r>
    <x v="354"/>
    <x v="8"/>
    <x v="1448"/>
    <s v="&quot;CNR3207142&quot;"/>
    <x v="2"/>
    <s v="&quot;CID4665133&quot;"/>
    <x v="6"/>
    <x v="40"/>
    <s v="Badarpur"/>
    <x v="73"/>
    <n v="26.3"/>
    <s v="null"/>
    <s v="null"/>
    <s v="null"/>
    <s v="null"/>
    <s v="null"/>
    <s v="null"/>
    <n v="591"/>
    <n v="14.68"/>
    <x v="3"/>
    <x v="4"/>
    <s v="Uber Wallet"/>
  </r>
  <r>
    <x v="276"/>
    <x v="11"/>
    <x v="1449"/>
    <s v="&quot;CNR9375758&quot;"/>
    <x v="2"/>
    <s v="&quot;CID7485198&quot;"/>
    <x v="3"/>
    <x v="148"/>
    <s v="Janakpuri"/>
    <x v="39"/>
    <n v="28.5"/>
    <s v="null"/>
    <s v="null"/>
    <s v="null"/>
    <s v="null"/>
    <s v="null"/>
    <s v="null"/>
    <n v="707"/>
    <n v="3.49"/>
    <x v="15"/>
    <x v="3"/>
    <s v="UPI"/>
  </r>
  <r>
    <x v="254"/>
    <x v="5"/>
    <x v="1450"/>
    <s v="&quot;CNR7218841&quot;"/>
    <x v="0"/>
    <s v="&quot;CID8359905&quot;"/>
    <x v="4"/>
    <x v="41"/>
    <s v="Nehru Place"/>
    <x v="0"/>
    <s v="null"/>
    <s v="null"/>
    <s v="null"/>
    <s v="null"/>
    <s v="null"/>
    <s v="null"/>
    <s v="null"/>
    <s v="null"/>
    <s v="null"/>
    <x v="0"/>
    <x v="0"/>
    <s v="null"/>
  </r>
  <r>
    <x v="32"/>
    <x v="5"/>
    <x v="1451"/>
    <s v="&quot;CNR7768814&quot;"/>
    <x v="4"/>
    <s v="&quot;CID7781598&quot;"/>
    <x v="5"/>
    <x v="86"/>
    <s v="Jahangirpuri"/>
    <x v="120"/>
    <s v="null"/>
    <n v="1"/>
    <s v="Wrong Address"/>
    <s v="null"/>
    <s v="null"/>
    <s v="null"/>
    <s v="null"/>
    <s v="null"/>
    <s v="null"/>
    <x v="0"/>
    <x v="0"/>
    <s v="null"/>
  </r>
  <r>
    <x v="140"/>
    <x v="1"/>
    <x v="1452"/>
    <s v="&quot;CNR8427969&quot;"/>
    <x v="2"/>
    <s v="&quot;CID5795044&quot;"/>
    <x v="5"/>
    <x v="11"/>
    <s v="Inderlok"/>
    <x v="24"/>
    <n v="35.5"/>
    <s v="null"/>
    <s v="null"/>
    <s v="null"/>
    <s v="null"/>
    <s v="null"/>
    <s v="null"/>
    <n v="52"/>
    <n v="37.619999999999997"/>
    <x v="6"/>
    <x v="8"/>
    <s v="Uber Wallet"/>
  </r>
  <r>
    <x v="242"/>
    <x v="5"/>
    <x v="1453"/>
    <s v="&quot;CNR8714051&quot;"/>
    <x v="2"/>
    <s v="&quot;CID2553189&quot;"/>
    <x v="1"/>
    <x v="87"/>
    <s v="Kalkaji"/>
    <x v="36"/>
    <n v="39.5"/>
    <s v="null"/>
    <s v="null"/>
    <s v="null"/>
    <s v="null"/>
    <s v="null"/>
    <s v="null"/>
    <n v="520"/>
    <n v="27.98"/>
    <x v="3"/>
    <x v="3"/>
    <s v="Cash"/>
  </r>
  <r>
    <x v="178"/>
    <x v="0"/>
    <x v="1454"/>
    <s v="&quot;CNR9349050&quot;"/>
    <x v="2"/>
    <s v="&quot;CID2484971&quot;"/>
    <x v="2"/>
    <x v="125"/>
    <s v="Ramesh Nagar"/>
    <x v="95"/>
    <n v="41"/>
    <s v="null"/>
    <s v="null"/>
    <s v="null"/>
    <s v="null"/>
    <s v="null"/>
    <s v="null"/>
    <n v="551"/>
    <n v="48.84"/>
    <x v="3"/>
    <x v="1"/>
    <s v="Uber Wallet"/>
  </r>
  <r>
    <x v="134"/>
    <x v="1"/>
    <x v="1455"/>
    <s v="&quot;CNR6497665&quot;"/>
    <x v="3"/>
    <s v="&quot;CID8659472&quot;"/>
    <x v="1"/>
    <x v="96"/>
    <s v="Khandsa"/>
    <x v="13"/>
    <s v="null"/>
    <s v="null"/>
    <s v="null"/>
    <n v="1"/>
    <s v="Customer related issue"/>
    <s v="null"/>
    <s v="null"/>
    <s v="null"/>
    <s v="null"/>
    <x v="0"/>
    <x v="0"/>
    <s v="null"/>
  </r>
  <r>
    <x v="348"/>
    <x v="6"/>
    <x v="1456"/>
    <s v="&quot;CNR8940007&quot;"/>
    <x v="2"/>
    <s v="&quot;CID1648428&quot;"/>
    <x v="5"/>
    <x v="17"/>
    <s v="Vasant Kunj"/>
    <x v="141"/>
    <n v="24.9"/>
    <s v="null"/>
    <s v="null"/>
    <s v="null"/>
    <s v="null"/>
    <s v="null"/>
    <s v="null"/>
    <n v="325"/>
    <n v="47.93"/>
    <x v="6"/>
    <x v="13"/>
    <s v="Cash"/>
  </r>
  <r>
    <x v="291"/>
    <x v="10"/>
    <x v="1457"/>
    <s v="&quot;CNR1860922&quot;"/>
    <x v="0"/>
    <s v="&quot;CID1351997&quot;"/>
    <x v="2"/>
    <x v="26"/>
    <s v="Vishwavidyalaya"/>
    <x v="0"/>
    <s v="null"/>
    <s v="null"/>
    <s v="null"/>
    <s v="null"/>
    <s v="null"/>
    <s v="null"/>
    <s v="null"/>
    <s v="null"/>
    <s v="null"/>
    <x v="0"/>
    <x v="0"/>
    <s v="null"/>
  </r>
  <r>
    <x v="126"/>
    <x v="9"/>
    <x v="1458"/>
    <s v="&quot;CNR6006779&quot;"/>
    <x v="2"/>
    <s v="&quot;CID4911892&quot;"/>
    <x v="5"/>
    <x v="53"/>
    <s v="Anand Vihar"/>
    <x v="127"/>
    <n v="41.6"/>
    <s v="null"/>
    <s v="null"/>
    <s v="null"/>
    <s v="null"/>
    <s v="null"/>
    <s v="null"/>
    <n v="312"/>
    <n v="9.16"/>
    <x v="12"/>
    <x v="15"/>
    <s v="Credit Card"/>
  </r>
  <r>
    <x v="90"/>
    <x v="11"/>
    <x v="1459"/>
    <s v="&quot;CNR9143169&quot;"/>
    <x v="1"/>
    <s v="&quot;CID6815980&quot;"/>
    <x v="2"/>
    <x v="147"/>
    <s v="Seelampur"/>
    <x v="141"/>
    <n v="13.6"/>
    <s v="null"/>
    <s v="null"/>
    <s v="null"/>
    <s v="null"/>
    <n v="1"/>
    <s v="Vehicle Breakdown"/>
    <n v="313"/>
    <n v="17.579999999999998"/>
    <x v="0"/>
    <x v="0"/>
    <s v="UPI"/>
  </r>
  <r>
    <x v="42"/>
    <x v="11"/>
    <x v="1460"/>
    <s v="&quot;CNR4602312&quot;"/>
    <x v="3"/>
    <s v="&quot;CID3302506&quot;"/>
    <x v="2"/>
    <x v="3"/>
    <s v="Gwal Pahari"/>
    <x v="111"/>
    <s v="null"/>
    <s v="null"/>
    <s v="null"/>
    <n v="1"/>
    <s v="More than permitted people in there"/>
    <s v="null"/>
    <s v="null"/>
    <s v="null"/>
    <s v="null"/>
    <x v="0"/>
    <x v="0"/>
    <s v="null"/>
  </r>
  <r>
    <x v="60"/>
    <x v="0"/>
    <x v="1461"/>
    <s v="&quot;CNR4491148&quot;"/>
    <x v="0"/>
    <s v="&quot;CID5115385&quot;"/>
    <x v="1"/>
    <x v="13"/>
    <s v="IFFCO Chowk"/>
    <x v="0"/>
    <s v="null"/>
    <s v="null"/>
    <s v="null"/>
    <s v="null"/>
    <s v="null"/>
    <s v="null"/>
    <s v="null"/>
    <s v="null"/>
    <s v="null"/>
    <x v="0"/>
    <x v="0"/>
    <s v="null"/>
  </r>
  <r>
    <x v="141"/>
    <x v="5"/>
    <x v="1462"/>
    <s v="&quot;CNR1863599&quot;"/>
    <x v="2"/>
    <s v="&quot;CID9022805&quot;"/>
    <x v="2"/>
    <x v="165"/>
    <s v="Udyog Vihar"/>
    <x v="38"/>
    <n v="29"/>
    <s v="null"/>
    <s v="null"/>
    <s v="null"/>
    <s v="null"/>
    <s v="null"/>
    <s v="null"/>
    <n v="528"/>
    <n v="32.72"/>
    <x v="13"/>
    <x v="13"/>
    <s v="UPI"/>
  </r>
  <r>
    <x v="221"/>
    <x v="8"/>
    <x v="1463"/>
    <s v="&quot;CNR1093918&quot;"/>
    <x v="2"/>
    <s v="&quot;CID6304896&quot;"/>
    <x v="6"/>
    <x v="18"/>
    <s v="Maidan Garhi"/>
    <x v="103"/>
    <n v="28.2"/>
    <s v="null"/>
    <s v="null"/>
    <s v="null"/>
    <s v="null"/>
    <s v="null"/>
    <s v="null"/>
    <n v="406"/>
    <n v="46.35"/>
    <x v="10"/>
    <x v="13"/>
    <s v="UPI"/>
  </r>
  <r>
    <x v="298"/>
    <x v="6"/>
    <x v="1464"/>
    <s v="&quot;CNR9166698&quot;"/>
    <x v="2"/>
    <s v="&quot;CID3748310&quot;"/>
    <x v="4"/>
    <x v="13"/>
    <s v="DLF Phase 3"/>
    <x v="97"/>
    <n v="44.6"/>
    <s v="null"/>
    <s v="null"/>
    <s v="null"/>
    <s v="null"/>
    <s v="null"/>
    <s v="null"/>
    <n v="824"/>
    <n v="19.329999999999998"/>
    <x v="3"/>
    <x v="5"/>
    <s v="Uber Wallet"/>
  </r>
  <r>
    <x v="149"/>
    <x v="8"/>
    <x v="1465"/>
    <s v="&quot;CNR9120123&quot;"/>
    <x v="2"/>
    <s v="&quot;CID8106985&quot;"/>
    <x v="2"/>
    <x v="158"/>
    <s v="Green Park"/>
    <x v="46"/>
    <n v="24.2"/>
    <s v="null"/>
    <s v="null"/>
    <s v="null"/>
    <s v="null"/>
    <s v="null"/>
    <s v="null"/>
    <n v="213"/>
    <n v="2.12"/>
    <x v="8"/>
    <x v="8"/>
    <s v="UPI"/>
  </r>
  <r>
    <x v="165"/>
    <x v="2"/>
    <x v="1466"/>
    <s v="&quot;CNR4590072&quot;"/>
    <x v="2"/>
    <s v="&quot;CID2697173&quot;"/>
    <x v="5"/>
    <x v="169"/>
    <s v="Panchsheel Park"/>
    <x v="2"/>
    <n v="28.9"/>
    <s v="null"/>
    <s v="null"/>
    <s v="null"/>
    <s v="null"/>
    <s v="null"/>
    <s v="null"/>
    <n v="2290"/>
    <n v="20.82"/>
    <x v="14"/>
    <x v="3"/>
    <s v="UPI"/>
  </r>
  <r>
    <x v="260"/>
    <x v="9"/>
    <x v="1467"/>
    <s v="&quot;CNR3809272&quot;"/>
    <x v="3"/>
    <s v="&quot;CID4919567&quot;"/>
    <x v="2"/>
    <x v="86"/>
    <s v="Vinobapuri"/>
    <x v="47"/>
    <s v="null"/>
    <s v="null"/>
    <s v="null"/>
    <n v="1"/>
    <s v="Personal &amp; Car related issues"/>
    <s v="null"/>
    <s v="null"/>
    <s v="null"/>
    <s v="null"/>
    <x v="0"/>
    <x v="0"/>
    <s v="null"/>
  </r>
  <r>
    <x v="283"/>
    <x v="7"/>
    <x v="1468"/>
    <s v="&quot;CNR4129219&quot;"/>
    <x v="2"/>
    <s v="&quot;CID3268920&quot;"/>
    <x v="5"/>
    <x v="150"/>
    <s v="Uttam Nagar"/>
    <x v="114"/>
    <n v="44.9"/>
    <s v="null"/>
    <s v="null"/>
    <s v="null"/>
    <s v="null"/>
    <s v="null"/>
    <s v="null"/>
    <n v="278"/>
    <n v="42.34"/>
    <x v="2"/>
    <x v="3"/>
    <s v="UPI"/>
  </r>
  <r>
    <x v="75"/>
    <x v="7"/>
    <x v="1469"/>
    <s v="&quot;CNR2018417&quot;"/>
    <x v="2"/>
    <s v="&quot;CID6398834&quot;"/>
    <x v="5"/>
    <x v="12"/>
    <s v="INA Market"/>
    <x v="15"/>
    <n v="29"/>
    <s v="null"/>
    <s v="null"/>
    <s v="null"/>
    <s v="null"/>
    <s v="null"/>
    <s v="null"/>
    <n v="485"/>
    <n v="11.96"/>
    <x v="19"/>
    <x v="3"/>
    <s v="Uber Wallet"/>
  </r>
  <r>
    <x v="233"/>
    <x v="2"/>
    <x v="1470"/>
    <s v="&quot;CNR6516112&quot;"/>
    <x v="2"/>
    <s v="&quot;CID1144761&quot;"/>
    <x v="5"/>
    <x v="110"/>
    <s v="Sohna Road"/>
    <x v="39"/>
    <n v="41.9"/>
    <s v="null"/>
    <s v="null"/>
    <s v="null"/>
    <s v="null"/>
    <s v="null"/>
    <s v="null"/>
    <n v="240"/>
    <n v="28.73"/>
    <x v="17"/>
    <x v="14"/>
    <s v="Credit Card"/>
  </r>
  <r>
    <x v="358"/>
    <x v="9"/>
    <x v="1471"/>
    <s v="&quot;CNR7218668&quot;"/>
    <x v="1"/>
    <s v="&quot;CID3034417&quot;"/>
    <x v="0"/>
    <x v="35"/>
    <s v="Badarpur"/>
    <x v="67"/>
    <n v="16"/>
    <s v="null"/>
    <s v="null"/>
    <s v="null"/>
    <s v="null"/>
    <n v="1"/>
    <s v="Other Issue"/>
    <n v="438"/>
    <n v="7.55"/>
    <x v="0"/>
    <x v="0"/>
    <s v="UPI"/>
  </r>
  <r>
    <x v="340"/>
    <x v="11"/>
    <x v="1472"/>
    <s v="&quot;CNR4104256&quot;"/>
    <x v="2"/>
    <s v="&quot;CID8995304&quot;"/>
    <x v="2"/>
    <x v="175"/>
    <s v="Satguru Ram Singh Marg"/>
    <x v="68"/>
    <n v="26.6"/>
    <s v="null"/>
    <s v="null"/>
    <s v="null"/>
    <s v="null"/>
    <s v="null"/>
    <s v="null"/>
    <n v="470"/>
    <n v="20.72"/>
    <x v="3"/>
    <x v="4"/>
    <s v="UPI"/>
  </r>
  <r>
    <x v="72"/>
    <x v="4"/>
    <x v="1473"/>
    <s v="&quot;CNR4103455&quot;"/>
    <x v="2"/>
    <s v="&quot;CID3782982&quot;"/>
    <x v="4"/>
    <x v="77"/>
    <s v="Greater Kailash"/>
    <x v="68"/>
    <n v="25"/>
    <s v="null"/>
    <s v="null"/>
    <s v="null"/>
    <s v="null"/>
    <s v="null"/>
    <s v="null"/>
    <n v="290"/>
    <n v="22.62"/>
    <x v="16"/>
    <x v="6"/>
    <s v="UPI"/>
  </r>
  <r>
    <x v="219"/>
    <x v="7"/>
    <x v="1474"/>
    <s v="&quot;CNR2482914&quot;"/>
    <x v="0"/>
    <s v="&quot;CID6604437&quot;"/>
    <x v="4"/>
    <x v="113"/>
    <s v="Mandi House"/>
    <x v="0"/>
    <s v="null"/>
    <s v="null"/>
    <s v="null"/>
    <s v="null"/>
    <s v="null"/>
    <s v="null"/>
    <s v="null"/>
    <s v="null"/>
    <s v="null"/>
    <x v="0"/>
    <x v="0"/>
    <s v="null"/>
  </r>
  <r>
    <x v="203"/>
    <x v="7"/>
    <x v="1475"/>
    <s v="&quot;CNR6658229&quot;"/>
    <x v="2"/>
    <s v="&quot;CID4073477&quot;"/>
    <x v="2"/>
    <x v="66"/>
    <s v="Rajiv Nagar"/>
    <x v="19"/>
    <n v="22.6"/>
    <s v="null"/>
    <s v="null"/>
    <s v="null"/>
    <s v="null"/>
    <s v="null"/>
    <s v="null"/>
    <n v="475"/>
    <n v="39.69"/>
    <x v="6"/>
    <x v="4"/>
    <s v="Cash"/>
  </r>
  <r>
    <x v="327"/>
    <x v="6"/>
    <x v="1476"/>
    <s v="&quot;CNR8148362&quot;"/>
    <x v="2"/>
    <s v="&quot;CID5392636&quot;"/>
    <x v="4"/>
    <x v="153"/>
    <s v="Chanakyapuri"/>
    <x v="92"/>
    <n v="37.700000000000003"/>
    <s v="null"/>
    <s v="null"/>
    <s v="null"/>
    <s v="null"/>
    <s v="null"/>
    <s v="null"/>
    <n v="749"/>
    <n v="10.76"/>
    <x v="11"/>
    <x v="6"/>
    <s v="UPI"/>
  </r>
  <r>
    <x v="125"/>
    <x v="2"/>
    <x v="1477"/>
    <s v="&quot;CNR1632042&quot;"/>
    <x v="3"/>
    <s v="&quot;CID6071255&quot;"/>
    <x v="4"/>
    <x v="105"/>
    <s v="Basai Dhankot"/>
    <x v="59"/>
    <s v="null"/>
    <s v="null"/>
    <s v="null"/>
    <n v="1"/>
    <s v="The customer was coughing/sick"/>
    <s v="null"/>
    <s v="null"/>
    <s v="null"/>
    <s v="null"/>
    <x v="0"/>
    <x v="0"/>
    <s v="null"/>
  </r>
  <r>
    <x v="62"/>
    <x v="10"/>
    <x v="1478"/>
    <s v="&quot;CNR9403368&quot;"/>
    <x v="2"/>
    <s v="&quot;CID1802065&quot;"/>
    <x v="1"/>
    <x v="139"/>
    <s v="Vinobapuri"/>
    <x v="102"/>
    <n v="16.600000000000001"/>
    <s v="null"/>
    <s v="null"/>
    <s v="null"/>
    <s v="null"/>
    <s v="null"/>
    <s v="null"/>
    <n v="506"/>
    <n v="22.05"/>
    <x v="18"/>
    <x v="4"/>
    <s v="UPI"/>
  </r>
  <r>
    <x v="206"/>
    <x v="10"/>
    <x v="1479"/>
    <s v="&quot;CNR4998742&quot;"/>
    <x v="0"/>
    <s v="&quot;CID4145980&quot;"/>
    <x v="5"/>
    <x v="116"/>
    <s v="Arjangarh"/>
    <x v="0"/>
    <s v="null"/>
    <s v="null"/>
    <s v="null"/>
    <s v="null"/>
    <s v="null"/>
    <s v="null"/>
    <s v="null"/>
    <s v="null"/>
    <s v="null"/>
    <x v="0"/>
    <x v="0"/>
    <s v="null"/>
  </r>
  <r>
    <x v="213"/>
    <x v="3"/>
    <x v="1480"/>
    <s v="&quot;CNR1683288&quot;"/>
    <x v="2"/>
    <s v="&quot;CID6481783&quot;"/>
    <x v="2"/>
    <x v="147"/>
    <s v="Bhikaji Cama Place"/>
    <x v="91"/>
    <n v="26.5"/>
    <s v="null"/>
    <s v="null"/>
    <s v="null"/>
    <s v="null"/>
    <s v="null"/>
    <s v="null"/>
    <n v="1596"/>
    <n v="19.86"/>
    <x v="6"/>
    <x v="7"/>
    <s v="Cash"/>
  </r>
  <r>
    <x v="199"/>
    <x v="11"/>
    <x v="1481"/>
    <s v="&quot;CNR9077515&quot;"/>
    <x v="2"/>
    <s v="&quot;CID6540364&quot;"/>
    <x v="4"/>
    <x v="13"/>
    <s v="Nawada"/>
    <x v="33"/>
    <n v="19.7"/>
    <s v="null"/>
    <s v="null"/>
    <s v="null"/>
    <s v="null"/>
    <s v="null"/>
    <s v="null"/>
    <n v="145"/>
    <n v="20.62"/>
    <x v="6"/>
    <x v="1"/>
    <s v="UPI"/>
  </r>
  <r>
    <x v="304"/>
    <x v="1"/>
    <x v="1482"/>
    <s v="&quot;CNR8907357&quot;"/>
    <x v="3"/>
    <s v="&quot;CID4884205&quot;"/>
    <x v="5"/>
    <x v="53"/>
    <s v="Mehrauli"/>
    <x v="14"/>
    <s v="null"/>
    <s v="null"/>
    <s v="null"/>
    <n v="1"/>
    <s v="Personal &amp; Car related issues"/>
    <s v="null"/>
    <s v="null"/>
    <s v="null"/>
    <s v="null"/>
    <x v="0"/>
    <x v="0"/>
    <s v="null"/>
  </r>
  <r>
    <x v="195"/>
    <x v="3"/>
    <x v="1483"/>
    <s v="&quot;CNR8651238&quot;"/>
    <x v="2"/>
    <s v="&quot;CID3936877&quot;"/>
    <x v="5"/>
    <x v="73"/>
    <s v="Udyog Vihar Phase 4"/>
    <x v="29"/>
    <n v="25.8"/>
    <s v="null"/>
    <s v="null"/>
    <s v="null"/>
    <s v="null"/>
    <s v="null"/>
    <s v="null"/>
    <n v="332"/>
    <n v="40.65"/>
    <x v="3"/>
    <x v="1"/>
    <s v="Cash"/>
  </r>
  <r>
    <x v="209"/>
    <x v="2"/>
    <x v="1484"/>
    <s v="&quot;CNR1564217&quot;"/>
    <x v="0"/>
    <s v="&quot;CID1952893&quot;"/>
    <x v="2"/>
    <x v="164"/>
    <s v="Subhash Chowk"/>
    <x v="0"/>
    <s v="null"/>
    <s v="null"/>
    <s v="null"/>
    <s v="null"/>
    <s v="null"/>
    <s v="null"/>
    <s v="null"/>
    <s v="null"/>
    <s v="null"/>
    <x v="0"/>
    <x v="0"/>
    <s v="null"/>
  </r>
  <r>
    <x v="347"/>
    <x v="4"/>
    <x v="1485"/>
    <s v="&quot;CNR6186104&quot;"/>
    <x v="2"/>
    <s v="&quot;CID5860198&quot;"/>
    <x v="3"/>
    <x v="22"/>
    <s v="Rohini East"/>
    <x v="81"/>
    <n v="20.8"/>
    <s v="null"/>
    <s v="null"/>
    <s v="null"/>
    <s v="null"/>
    <s v="null"/>
    <s v="null"/>
    <n v="588"/>
    <n v="26.93"/>
    <x v="2"/>
    <x v="16"/>
    <s v="UPI"/>
  </r>
  <r>
    <x v="241"/>
    <x v="3"/>
    <x v="1486"/>
    <s v="&quot;CNR9479143&quot;"/>
    <x v="2"/>
    <s v="&quot;CID5617682&quot;"/>
    <x v="5"/>
    <x v="96"/>
    <s v="Udyog Vihar Phase 4"/>
    <x v="38"/>
    <n v="26.5"/>
    <s v="null"/>
    <s v="null"/>
    <s v="null"/>
    <s v="null"/>
    <s v="null"/>
    <s v="null"/>
    <n v="263"/>
    <n v="25.48"/>
    <x v="8"/>
    <x v="1"/>
    <s v="Uber Wallet"/>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9">
  <r>
    <d v="2024-03-23T00:00:00"/>
    <s v="March"/>
    <d v="1899-12-30T12:29:38"/>
    <s v="&quot;CNR5884300&quot;"/>
    <s v="No Driver Found"/>
    <s v="&quot;CID1982111&quot;"/>
    <x v="0"/>
    <s v="Palam Vihar"/>
    <s v="Jhilmil"/>
    <s v="null"/>
    <s v="null"/>
    <s v="null"/>
    <s v="null"/>
    <s v="null"/>
    <s v="null"/>
    <s v="null"/>
    <s v="null"/>
    <s v="null"/>
    <s v="null"/>
    <s v="null"/>
    <s v="null"/>
    <s v="null"/>
  </r>
  <r>
    <d v="2024-11-29T00:00:00"/>
    <s v="November"/>
    <d v="1899-12-30T18:01:39"/>
    <s v="&quot;CNR1326809&quot;"/>
    <s v="Incomplete"/>
    <s v="&quot;CID4604802&quot;"/>
    <x v="1"/>
    <s v="Shastri Nagar"/>
    <s v="Gurgaon Sector 56"/>
    <n v="4.9000000000000004"/>
    <n v="14"/>
    <s v="null"/>
    <s v="null"/>
    <s v="null"/>
    <s v="null"/>
    <n v="1"/>
    <s v="Vehicle Breakdown"/>
    <n v="237"/>
    <n v="5.73"/>
    <s v="null"/>
    <s v="null"/>
    <s v="UPI"/>
  </r>
  <r>
    <d v="2024-08-23T00:00:00"/>
    <s v="August"/>
    <d v="1899-12-30T08:56:10"/>
    <s v="&quot;CNR8494506&quot;"/>
    <s v="Completed"/>
    <s v="&quot;CID9202816&quot;"/>
    <x v="2"/>
    <s v="Khandsa"/>
    <s v="Malviya Nagar"/>
    <n v="13.4"/>
    <n v="25.8"/>
    <s v="null"/>
    <s v="null"/>
    <s v="null"/>
    <s v="null"/>
    <s v="null"/>
    <s v="null"/>
    <n v="627"/>
    <n v="13.58"/>
    <n v="4.9000000000000004"/>
    <n v="4.9000000000000004"/>
    <s v="Debit Card"/>
  </r>
  <r>
    <d v="2024-10-21T00:00:00"/>
    <s v="October"/>
    <d v="1899-12-30T17:17:25"/>
    <s v="&quot;CNR8906825&quot;"/>
    <s v="Completed"/>
    <s v="&quot;CID2610914&quot;"/>
    <x v="3"/>
    <s v="Central Secretariat"/>
    <s v="Inderlok"/>
    <n v="13.1"/>
    <n v="28.5"/>
    <s v="null"/>
    <s v="null"/>
    <s v="null"/>
    <s v="null"/>
    <s v="null"/>
    <s v="null"/>
    <n v="416"/>
    <n v="34.020000000000003"/>
    <n v="4.5999999999999996"/>
    <n v="5"/>
    <s v="UPI"/>
  </r>
  <r>
    <d v="2024-09-16T00:00:00"/>
    <s v="September"/>
    <d v="1899-12-30T22:08:00"/>
    <s v="&quot;CNR1950162&quot;"/>
    <s v="Completed"/>
    <s v="&quot;CID9933542&quot;"/>
    <x v="4"/>
    <s v="Ghitorni Village"/>
    <s v="Khan Market"/>
    <n v="5.3"/>
    <n v="19.600000000000001"/>
    <s v="null"/>
    <s v="null"/>
    <s v="null"/>
    <s v="null"/>
    <s v="null"/>
    <s v="null"/>
    <n v="737"/>
    <n v="48.21"/>
    <n v="4.0999999999999996"/>
    <n v="4.3"/>
    <s v="UPI"/>
  </r>
  <r>
    <d v="2024-02-06T00:00:00"/>
    <s v="February"/>
    <d v="1899-12-30T09:44:56"/>
    <s v="&quot;CNR4096693&quot;"/>
    <s v="Completed"/>
    <s v="&quot;CID4670564&quot;"/>
    <x v="2"/>
    <s v="AIIMS"/>
    <s v="Narsinghpur"/>
    <n v="5.0999999999999996"/>
    <n v="18.100000000000001"/>
    <s v="null"/>
    <s v="null"/>
    <s v="null"/>
    <s v="null"/>
    <s v="null"/>
    <s v="null"/>
    <n v="316"/>
    <n v="4.8499999999999996"/>
    <n v="4.0999999999999996"/>
    <n v="4.5999999999999996"/>
    <s v="UPI"/>
  </r>
  <r>
    <d v="2024-06-17T00:00:00"/>
    <s v="June"/>
    <d v="1899-12-30T15:45:58"/>
    <s v="&quot;CNR2002539&quot;"/>
    <s v="Completed"/>
    <s v="&quot;CID6800553&quot;"/>
    <x v="5"/>
    <s v="Vaishali"/>
    <s v="Punjabi Bagh"/>
    <n v="7.1"/>
    <n v="20.399999999999999"/>
    <s v="null"/>
    <s v="null"/>
    <s v="null"/>
    <s v="null"/>
    <s v="null"/>
    <s v="null"/>
    <n v="640"/>
    <n v="41.24"/>
    <n v="4"/>
    <n v="4.0999999999999996"/>
    <s v="UPI"/>
  </r>
  <r>
    <d v="2024-03-19T00:00:00"/>
    <s v="March"/>
    <d v="1899-12-30T17:37:37"/>
    <s v="&quot;CNR6568000&quot;"/>
    <s v="Completed"/>
    <s v="&quot;CID8610436&quot;"/>
    <x v="2"/>
    <s v="Mayur Vihar"/>
    <s v="Cyber Hub"/>
    <n v="12.1"/>
    <n v="16.5"/>
    <s v="null"/>
    <s v="null"/>
    <s v="null"/>
    <s v="null"/>
    <s v="null"/>
    <s v="null"/>
    <n v="136"/>
    <n v="6.56"/>
    <n v="4.4000000000000004"/>
    <n v="4.2"/>
    <s v="UPI"/>
  </r>
  <r>
    <d v="2024-09-14T00:00:00"/>
    <s v="September"/>
    <d v="1899-12-30T12:49:09"/>
    <s v="&quot;CNR4510807&quot;"/>
    <s v="No Driver Found"/>
    <s v="&quot;CID7873618&quot;"/>
    <x v="1"/>
    <s v="Noida Sector 62"/>
    <s v="Noida Sector 18"/>
    <s v="null"/>
    <s v="null"/>
    <s v="null"/>
    <s v="null"/>
    <s v="null"/>
    <s v="null"/>
    <s v="null"/>
    <s v="null"/>
    <s v="null"/>
    <s v="null"/>
    <s v="null"/>
    <s v="null"/>
    <s v="null"/>
  </r>
  <r>
    <d v="2024-12-16T00:00:00"/>
    <s v="December"/>
    <d v="1899-12-30T19:06:48"/>
    <s v="&quot;CNR7721892&quot;"/>
    <s v="Incomplete"/>
    <s v="&quot;CID5214275&quot;"/>
    <x v="2"/>
    <s v="Rohini"/>
    <s v="Adarsh Nagar"/>
    <n v="6.1"/>
    <n v="26"/>
    <s v="null"/>
    <s v="null"/>
    <s v="null"/>
    <s v="null"/>
    <n v="1"/>
    <s v="Other Issue"/>
    <n v="135"/>
    <n v="10.36"/>
    <s v="null"/>
    <s v="null"/>
    <s v="Cash"/>
  </r>
  <r>
    <d v="2024-06-14T00:00:00"/>
    <s v="June"/>
    <d v="1899-12-30T16:24:12"/>
    <s v="&quot;CNR9070334&quot;"/>
    <s v="Completed"/>
    <s v="&quot;CID6680340&quot;"/>
    <x v="2"/>
    <s v="Udyog Bhawan"/>
    <s v="Dwarka Sector 21"/>
    <n v="7.7"/>
    <n v="18.899999999999999"/>
    <s v="null"/>
    <s v="null"/>
    <s v="null"/>
    <s v="null"/>
    <s v="null"/>
    <s v="null"/>
    <n v="181"/>
    <n v="19.84"/>
    <n v="4.2"/>
    <n v="4.9000000000000004"/>
    <s v="Cash"/>
  </r>
  <r>
    <d v="2024-09-18T00:00:00"/>
    <s v="September"/>
    <d v="1899-12-30T08:09:38"/>
    <s v="&quot;CNR9551927&quot;"/>
    <s v="No Driver Found"/>
    <s v="&quot;CID7568143&quot;"/>
    <x v="2"/>
    <s v="Vidhan Sabha"/>
    <s v="AIIMS"/>
    <s v="null"/>
    <s v="null"/>
    <s v="null"/>
    <s v="null"/>
    <s v="null"/>
    <s v="null"/>
    <s v="null"/>
    <s v="null"/>
    <s v="null"/>
    <s v="null"/>
    <s v="null"/>
    <s v="null"/>
    <s v="null"/>
  </r>
  <r>
    <d v="2024-06-25T00:00:00"/>
    <s v="June"/>
    <d v="1899-12-30T22:44:15"/>
    <s v="&quot;CNR4386945&quot;"/>
    <s v="Cancelled by Driver"/>
    <s v="&quot;CID5543520&quot;"/>
    <x v="0"/>
    <s v="Patel Chowk"/>
    <s v="Kherki Daula Toll"/>
    <n v="4.5999999999999996"/>
    <s v="null"/>
    <s v="null"/>
    <s v="null"/>
    <n v="1"/>
    <s v="Personal &amp; Car related issues"/>
    <s v="null"/>
    <s v="null"/>
    <s v="null"/>
    <s v="null"/>
    <s v="null"/>
    <s v="null"/>
    <s v="null"/>
  </r>
  <r>
    <d v="2024-09-11T00:00:00"/>
    <s v="September"/>
    <d v="1899-12-30T19:29:39"/>
    <s v="&quot;CNR2987763&quot;"/>
    <s v="Completed"/>
    <s v="&quot;CID2669710&quot;"/>
    <x v="5"/>
    <s v="Malviya Nagar"/>
    <s v="Ghitorni Village"/>
    <n v="12.2"/>
    <n v="28.2"/>
    <s v="null"/>
    <s v="null"/>
    <s v="null"/>
    <s v="null"/>
    <s v="null"/>
    <s v="null"/>
    <n v="394"/>
    <n v="21.44"/>
    <n v="4.0999999999999996"/>
    <n v="4.7"/>
    <s v="UPI"/>
  </r>
  <r>
    <d v="2024-10-18T00:00:00"/>
    <s v="October"/>
    <d v="1899-12-30T18:28:53"/>
    <s v="&quot;CNR8962232&quot;"/>
    <s v="Completed"/>
    <s v="&quot;CID1789354&quot;"/>
    <x v="5"/>
    <s v="Madipur"/>
    <s v="GTB Nagar"/>
    <n v="14"/>
    <n v="30.9"/>
    <s v="null"/>
    <s v="null"/>
    <s v="null"/>
    <s v="null"/>
    <s v="null"/>
    <s v="null"/>
    <n v="836"/>
    <n v="39.549999999999997"/>
    <n v="4.7"/>
    <n v="4.4000000000000004"/>
    <s v="UPI"/>
  </r>
  <r>
    <d v="2024-06-07T00:00:00"/>
    <s v="June"/>
    <d v="1899-12-30T15:05:35"/>
    <s v="&quot;CNR2390352&quot;"/>
    <s v="Completed"/>
    <s v="&quot;CID5432215&quot;"/>
    <x v="2"/>
    <s v="Jama Masjid"/>
    <s v="Khan Market"/>
    <n v="8.5"/>
    <n v="36.9"/>
    <s v="null"/>
    <s v="null"/>
    <s v="null"/>
    <s v="null"/>
    <s v="null"/>
    <s v="null"/>
    <n v="410"/>
    <n v="34.76"/>
    <n v="4"/>
    <n v="4.9000000000000004"/>
    <s v="Uber Wallet"/>
  </r>
  <r>
    <d v="2024-07-01T00:00:00"/>
    <s v="July"/>
    <d v="1899-12-30T10:51:16"/>
    <s v="&quot;CNR3221338&quot;"/>
    <s v="Completed"/>
    <s v="&quot;CID2581698&quot;"/>
    <x v="3"/>
    <s v="IGI Airport"/>
    <s v="Madipur"/>
    <n v="5.6"/>
    <n v="27.5"/>
    <s v="null"/>
    <s v="null"/>
    <s v="null"/>
    <s v="null"/>
    <s v="null"/>
    <s v="null"/>
    <n v="401"/>
    <n v="21.97"/>
    <n v="4.9000000000000004"/>
    <n v="4.3"/>
    <s v="UPI"/>
  </r>
  <r>
    <d v="2024-12-15T00:00:00"/>
    <s v="December"/>
    <d v="1899-12-30T15:08:25"/>
    <s v="&quot;CNR6739317&quot;"/>
    <s v="Cancelled by Driver"/>
    <s v="&quot;CID8682675&quot;"/>
    <x v="1"/>
    <s v="Vinobapuri"/>
    <s v="GTB Nagar"/>
    <n v="6"/>
    <s v="null"/>
    <s v="null"/>
    <s v="null"/>
    <n v="1"/>
    <s v="Customer related issue"/>
    <s v="null"/>
    <s v="null"/>
    <s v="null"/>
    <s v="null"/>
    <s v="null"/>
    <s v="null"/>
    <s v="null"/>
  </r>
  <r>
    <d v="2024-11-24T00:00:00"/>
    <s v="November"/>
    <d v="1899-12-30T09:07:10"/>
    <s v="&quot;CNR6126048&quot;"/>
    <s v="Cancelled by Customer"/>
    <s v="&quot;CID1060329&quot;"/>
    <x v="0"/>
    <s v="Kashmere Gate"/>
    <s v="Anand Vihar"/>
    <n v="12.4"/>
    <s v="null"/>
    <n v="1"/>
    <s v="Driver is not moving towards pickup location"/>
    <s v="null"/>
    <s v="null"/>
    <s v="null"/>
    <s v="null"/>
    <s v="null"/>
    <s v="null"/>
    <s v="null"/>
    <s v="null"/>
    <s v="null"/>
  </r>
  <r>
    <d v="2024-05-24T00:00:00"/>
    <s v="May"/>
    <d v="1899-12-30T19:53:57"/>
    <s v="&quot;CNR9465840&quot;"/>
    <s v="Cancelled by Driver"/>
    <s v="&quot;CID9046501&quot;"/>
    <x v="0"/>
    <s v="Pitampura"/>
    <s v="Rajiv Nagar"/>
    <n v="10.3"/>
    <s v="null"/>
    <s v="null"/>
    <s v="null"/>
    <n v="1"/>
    <s v="Customer related issue"/>
    <s v="null"/>
    <s v="null"/>
    <s v="null"/>
    <s v="null"/>
    <s v="null"/>
    <s v="null"/>
    <s v="null"/>
  </r>
  <r>
    <d v="2024-12-14T00:00:00"/>
    <s v="December"/>
    <d v="1899-12-30T21:27:04"/>
    <s v="&quot;CNR9843229&quot;"/>
    <s v="Completed"/>
    <s v="&quot;CID4929303&quot;"/>
    <x v="1"/>
    <s v="Punjabi Bagh"/>
    <s v="Mansarovar Park"/>
    <n v="6.1"/>
    <n v="33.700000000000003"/>
    <s v="null"/>
    <s v="null"/>
    <s v="null"/>
    <s v="null"/>
    <s v="null"/>
    <s v="null"/>
    <n v="264"/>
    <n v="13.64"/>
    <n v="3.8"/>
    <n v="4.7"/>
    <s v="Uber Wallet"/>
  </r>
  <r>
    <d v="2024-07-29T00:00:00"/>
    <s v="July"/>
    <d v="1899-12-30T06:28:22"/>
    <s v="&quot;CNR7911434&quot;"/>
    <s v="Completed"/>
    <s v="&quot;CID8465004&quot;"/>
    <x v="2"/>
    <s v="Greater Noida"/>
    <s v="Botanical Garden"/>
    <n v="7"/>
    <n v="21.3"/>
    <s v="null"/>
    <s v="null"/>
    <s v="null"/>
    <s v="null"/>
    <s v="null"/>
    <s v="null"/>
    <n v="183"/>
    <n v="4.5"/>
    <n v="5"/>
    <n v="4.2"/>
    <s v="UPI"/>
  </r>
  <r>
    <d v="2024-02-23T00:00:00"/>
    <s v="February"/>
    <d v="1899-12-30T11:02:45"/>
    <s v="&quot;CNR6178330&quot;"/>
    <s v="Completed"/>
    <s v="&quot;CID7719678&quot;"/>
    <x v="5"/>
    <s v="Tis Hazari"/>
    <s v="IMT Manesar"/>
    <n v="10.4"/>
    <n v="25.1"/>
    <s v="null"/>
    <s v="null"/>
    <s v="null"/>
    <s v="null"/>
    <s v="null"/>
    <s v="null"/>
    <n v="713"/>
    <n v="38.03"/>
    <n v="3.7"/>
    <n v="3.6"/>
    <s v="UPI"/>
  </r>
  <r>
    <d v="2024-03-09T00:00:00"/>
    <s v="March"/>
    <d v="1899-12-30T20:14:24"/>
    <s v="&quot;CNR5309981&quot;"/>
    <s v="Completed"/>
    <s v="&quot;CID3870048&quot;"/>
    <x v="5"/>
    <s v="Noida Sector 18"/>
    <s v="Old Gurgaon"/>
    <n v="7.9"/>
    <n v="41.1"/>
    <s v="null"/>
    <s v="null"/>
    <s v="null"/>
    <s v="null"/>
    <s v="null"/>
    <s v="null"/>
    <n v="113"/>
    <n v="14.53"/>
    <n v="4.5999999999999996"/>
    <n v="4.9000000000000004"/>
    <s v="UPI"/>
  </r>
  <r>
    <d v="2024-08-28T00:00:00"/>
    <s v="August"/>
    <d v="1899-12-30T16:30:14"/>
    <s v="&quot;CNR2978950&quot;"/>
    <s v="Completed"/>
    <s v="&quot;CID2977484&quot;"/>
    <x v="2"/>
    <s v="Kanhaiya Nagar"/>
    <s v="Anand Vihar"/>
    <n v="13.6"/>
    <n v="25.2"/>
    <s v="null"/>
    <s v="null"/>
    <s v="null"/>
    <s v="null"/>
    <s v="null"/>
    <s v="null"/>
    <n v="767"/>
    <n v="7.39"/>
    <n v="3.8"/>
    <n v="4.5999999999999996"/>
    <s v="Debit Card"/>
  </r>
  <r>
    <d v="2024-08-08T00:00:00"/>
    <s v="August"/>
    <d v="1899-12-30T06:34:38"/>
    <s v="&quot;CNR2806943&quot;"/>
    <s v="Completed"/>
    <s v="&quot;CID7550481&quot;"/>
    <x v="6"/>
    <s v="Okhla"/>
    <s v="Barakhamba Road"/>
    <n v="5.0999999999999996"/>
    <n v="20.7"/>
    <s v="null"/>
    <s v="null"/>
    <s v="null"/>
    <s v="null"/>
    <s v="null"/>
    <s v="null"/>
    <n v="495"/>
    <n v="10.23"/>
    <n v="3.8"/>
    <n v="4.2"/>
    <s v="Credit Card"/>
  </r>
  <r>
    <d v="2024-01-26T00:00:00"/>
    <s v="January"/>
    <d v="1899-12-30T09:44:00"/>
    <s v="&quot;CNR3614535&quot;"/>
    <s v="Cancelled by Driver"/>
    <s v="&quot;CID2507102&quot;"/>
    <x v="2"/>
    <s v="Cyber Hub"/>
    <s v="Saket"/>
    <n v="11.5"/>
    <s v="null"/>
    <s v="null"/>
    <s v="null"/>
    <n v="1"/>
    <s v="Personal &amp; Car related issues"/>
    <s v="null"/>
    <s v="null"/>
    <s v="null"/>
    <s v="null"/>
    <s v="null"/>
    <s v="null"/>
    <s v="null"/>
  </r>
  <r>
    <d v="2024-04-12T00:00:00"/>
    <s v="April"/>
    <d v="1899-12-30T19:42:35"/>
    <s v="&quot;CNR4499383&quot;"/>
    <s v="No Driver Found"/>
    <s v="&quot;CID5717521&quot;"/>
    <x v="3"/>
    <s v="Sadar Bazar Gurgaon"/>
    <s v="Mehrauli"/>
    <s v="null"/>
    <s v="null"/>
    <s v="null"/>
    <s v="null"/>
    <s v="null"/>
    <s v="null"/>
    <s v="null"/>
    <s v="null"/>
    <s v="null"/>
    <s v="null"/>
    <s v="null"/>
    <s v="null"/>
    <s v="null"/>
  </r>
  <r>
    <d v="2024-04-05T00:00:00"/>
    <s v="April"/>
    <d v="1899-12-30T18:57:12"/>
    <s v="&quot;CNR9834201&quot;"/>
    <s v="Incomplete"/>
    <s v="&quot;CID7891331&quot;"/>
    <x v="4"/>
    <s v="Shastri Park"/>
    <s v="Botanical Garden"/>
    <n v="3.1"/>
    <n v="28.2"/>
    <s v="null"/>
    <s v="null"/>
    <s v="null"/>
    <s v="null"/>
    <n v="1"/>
    <s v="Vehicle Breakdown"/>
    <n v="304"/>
    <n v="1.98"/>
    <s v="null"/>
    <s v="null"/>
    <s v="UPI"/>
  </r>
  <r>
    <d v="2024-11-03T00:00:00"/>
    <s v="November"/>
    <d v="1899-12-30T12:24:59"/>
    <s v="&quot;CNR8779845&quot;"/>
    <s v="Completed"/>
    <s v="&quot;CID7444351&quot;"/>
    <x v="2"/>
    <s v="Faridabad Sector 15"/>
    <s v="Malviya Nagar"/>
    <n v="8.9"/>
    <n v="31.1"/>
    <s v="null"/>
    <s v="null"/>
    <s v="null"/>
    <s v="null"/>
    <s v="null"/>
    <s v="null"/>
    <n v="2847"/>
    <n v="39.21"/>
    <n v="3.1"/>
    <n v="4.5999999999999996"/>
    <s v="Debit Card"/>
  </r>
  <r>
    <d v="2024-05-18T00:00:00"/>
    <s v="May"/>
    <d v="1899-12-30T17:37:52"/>
    <s v="&quot;CNR2178654&quot;"/>
    <s v="Cancelled by Driver"/>
    <s v="&quot;CID3631860&quot;"/>
    <x v="5"/>
    <s v="Qutub Minar"/>
    <s v="Vishwavidyalaya"/>
    <n v="9.1999999999999993"/>
    <s v="null"/>
    <s v="null"/>
    <s v="null"/>
    <n v="1"/>
    <s v="More than permitted people in there"/>
    <s v="null"/>
    <s v="null"/>
    <s v="null"/>
    <s v="null"/>
    <s v="null"/>
    <s v="null"/>
    <s v="null"/>
  </r>
  <r>
    <d v="2024-11-15T00:00:00"/>
    <s v="November"/>
    <d v="1899-12-30T05:53:55"/>
    <s v="&quot;CNR3871541&quot;"/>
    <s v="Completed"/>
    <s v="&quot;CID9849259&quot;"/>
    <x v="5"/>
    <s v="Mundka"/>
    <s v="Preet Vihar"/>
    <n v="8.9"/>
    <n v="41"/>
    <s v="null"/>
    <s v="null"/>
    <s v="null"/>
    <s v="null"/>
    <s v="null"/>
    <s v="null"/>
    <n v="282"/>
    <n v="8.36"/>
    <n v="3.8"/>
    <n v="4.4000000000000004"/>
    <s v="UPI"/>
  </r>
  <r>
    <d v="2024-02-04T00:00:00"/>
    <s v="February"/>
    <d v="1899-12-30T18:08:04"/>
    <s v="&quot;CNR2877692&quot;"/>
    <s v="Completed"/>
    <s v="&quot;CID5901711&quot;"/>
    <x v="3"/>
    <s v="DLF City Court"/>
    <s v="Nehru Place"/>
    <n v="11.5"/>
    <n v="20.5"/>
    <s v="null"/>
    <s v="null"/>
    <s v="null"/>
    <s v="null"/>
    <s v="null"/>
    <s v="null"/>
    <n v="656"/>
    <n v="6.39"/>
    <n v="5"/>
    <n v="4.9000000000000004"/>
    <s v="Uber Wallet"/>
  </r>
  <r>
    <d v="2024-05-29T00:00:00"/>
    <s v="May"/>
    <d v="1899-12-30T14:05:10"/>
    <s v="&quot;CNR9603633&quot;"/>
    <s v="Completed"/>
    <s v="&quot;CID5856503&quot;"/>
    <x v="2"/>
    <s v="Tis Hazari"/>
    <s v="Shahdara"/>
    <n v="2"/>
    <n v="19.399999999999999"/>
    <s v="null"/>
    <s v="null"/>
    <s v="null"/>
    <s v="null"/>
    <s v="null"/>
    <s v="null"/>
    <n v="134"/>
    <n v="46.66"/>
    <n v="3.8"/>
    <n v="4.4000000000000004"/>
    <s v="Credit Card"/>
  </r>
  <r>
    <d v="2024-07-13T00:00:00"/>
    <s v="July"/>
    <d v="1899-12-30T19:53:15"/>
    <s v="&quot;CNR8087051&quot;"/>
    <s v="Cancelled by Driver"/>
    <s v="&quot;CID9716528&quot;"/>
    <x v="1"/>
    <s v="New Colony"/>
    <s v="Ghitorni Village"/>
    <n v="5.4"/>
    <s v="null"/>
    <s v="null"/>
    <s v="null"/>
    <n v="1"/>
    <s v="Customer related issue"/>
    <s v="null"/>
    <s v="null"/>
    <s v="null"/>
    <s v="null"/>
    <s v="null"/>
    <s v="null"/>
    <s v="null"/>
  </r>
  <r>
    <d v="2024-06-07T00:00:00"/>
    <s v="June"/>
    <d v="1899-12-30T19:21:10"/>
    <s v="&quot;CNR7823292&quot;"/>
    <s v="Completed"/>
    <s v="&quot;CID9377721&quot;"/>
    <x v="1"/>
    <s v="Nirman Vihar"/>
    <s v="Malviya Nagar"/>
    <n v="14.6"/>
    <n v="25.4"/>
    <s v="null"/>
    <s v="null"/>
    <s v="null"/>
    <s v="null"/>
    <s v="null"/>
    <s v="null"/>
    <n v="470"/>
    <n v="27.07"/>
    <n v="3.7"/>
    <n v="4.2"/>
    <s v="Cash"/>
  </r>
  <r>
    <d v="2024-05-16T00:00:00"/>
    <s v="May"/>
    <d v="1899-12-30T13:04:31"/>
    <s v="&quot;CNR9918895&quot;"/>
    <s v="Completed"/>
    <s v="&quot;CID9520433&quot;"/>
    <x v="2"/>
    <s v="New Delhi Railway Station"/>
    <s v="Noida Film City"/>
    <n v="6.7"/>
    <n v="20.5"/>
    <s v="null"/>
    <s v="null"/>
    <s v="null"/>
    <s v="null"/>
    <s v="null"/>
    <s v="null"/>
    <n v="187"/>
    <n v="12.16"/>
    <n v="4.9000000000000004"/>
    <n v="4.3"/>
    <s v="UPI"/>
  </r>
  <r>
    <d v="2024-10-02T00:00:00"/>
    <s v="October"/>
    <d v="1899-12-30T03:10:35"/>
    <s v="&quot;CNR7401001&quot;"/>
    <s v="Completed"/>
    <s v="&quot;CID9958715&quot;"/>
    <x v="3"/>
    <s v="Civil Lines Gurgaon"/>
    <s v="Mandi House"/>
    <n v="6.6"/>
    <n v="30"/>
    <s v="null"/>
    <s v="null"/>
    <s v="null"/>
    <s v="null"/>
    <s v="null"/>
    <s v="null"/>
    <n v="186"/>
    <n v="10.28"/>
    <n v="4.4000000000000004"/>
    <n v="4.5999999999999996"/>
    <s v="UPI"/>
  </r>
  <r>
    <d v="2024-02-26T00:00:00"/>
    <s v="February"/>
    <d v="1899-12-30T15:43:16"/>
    <s v="&quot;CNR2631310&quot;"/>
    <s v="Completed"/>
    <s v="&quot;CID4355670&quot;"/>
    <x v="0"/>
    <s v="Seelampur"/>
    <s v="Janakpuri"/>
    <n v="10"/>
    <n v="35.799999999999997"/>
    <s v="null"/>
    <s v="null"/>
    <s v="null"/>
    <s v="null"/>
    <s v="null"/>
    <s v="null"/>
    <n v="70"/>
    <n v="44.42"/>
    <n v="4.0999999999999996"/>
    <n v="4.4000000000000004"/>
    <s v="UPI"/>
  </r>
  <r>
    <d v="2024-09-10T00:00:00"/>
    <s v="September"/>
    <d v="1899-12-30T13:02:42"/>
    <s v="&quot;CNR4218487&quot;"/>
    <s v="Cancelled by Customer"/>
    <s v="&quot;CID3037053&quot;"/>
    <x v="4"/>
    <s v="Noida Extension"/>
    <s v="Udyog Vihar Phase 4"/>
    <n v="11"/>
    <s v="null"/>
    <n v="1"/>
    <s v="Driver is not moving towards pickup location"/>
    <s v="null"/>
    <s v="null"/>
    <s v="null"/>
    <s v="null"/>
    <s v="null"/>
    <s v="null"/>
    <s v="null"/>
    <s v="null"/>
    <s v="null"/>
  </r>
  <r>
    <d v="2024-09-12T00:00:00"/>
    <s v="September"/>
    <d v="1899-12-30T09:14:57"/>
    <s v="&quot;CNR5333099&quot;"/>
    <s v="Cancelled by Driver"/>
    <s v="&quot;CID5112050&quot;"/>
    <x v="2"/>
    <s v="Adarsh Nagar"/>
    <s v="Civil Lines Gurgaon"/>
    <n v="8"/>
    <s v="null"/>
    <s v="null"/>
    <s v="null"/>
    <n v="1"/>
    <s v="Personal &amp; Car related issues"/>
    <s v="null"/>
    <s v="null"/>
    <s v="null"/>
    <s v="null"/>
    <s v="null"/>
    <s v="null"/>
    <s v="null"/>
  </r>
  <r>
    <d v="2024-01-24T00:00:00"/>
    <s v="January"/>
    <d v="1899-12-30T10:47:57"/>
    <s v="&quot;CNR5969954&quot;"/>
    <s v="Completed"/>
    <s v="&quot;CID5558118&quot;"/>
    <x v="2"/>
    <s v="Vinobapuri"/>
    <s v="Karkarduma"/>
    <n v="12.8"/>
    <n v="18.7"/>
    <s v="null"/>
    <s v="null"/>
    <s v="null"/>
    <s v="null"/>
    <s v="null"/>
    <s v="null"/>
    <n v="273"/>
    <n v="34.64"/>
    <n v="4.5"/>
    <n v="4.5999999999999996"/>
    <s v="Uber Wallet"/>
  </r>
  <r>
    <d v="2024-02-12T00:00:00"/>
    <s v="February"/>
    <d v="1899-12-30T19:42:39"/>
    <s v="&quot;CNR4130953&quot;"/>
    <s v="Incomplete"/>
    <s v="&quot;CID3196782&quot;"/>
    <x v="3"/>
    <s v="Panipat"/>
    <s v="Tagore Garden"/>
    <n v="6.4"/>
    <n v="10.5"/>
    <s v="null"/>
    <s v="null"/>
    <s v="null"/>
    <s v="null"/>
    <n v="1"/>
    <s v="Other Issue"/>
    <n v="966"/>
    <n v="18.3"/>
    <s v="null"/>
    <s v="null"/>
    <s v="Debit Card"/>
  </r>
  <r>
    <d v="2024-10-02T00:00:00"/>
    <s v="October"/>
    <d v="1899-12-30T19:17:00"/>
    <s v="&quot;CNR6693125&quot;"/>
    <s v="Cancelled by Driver"/>
    <s v="&quot;CID7364449&quot;"/>
    <x v="2"/>
    <s v="Karol Bagh"/>
    <s v="Tagore Garden"/>
    <n v="5.4"/>
    <s v="null"/>
    <s v="null"/>
    <s v="null"/>
    <n v="1"/>
    <s v="More than permitted people in there"/>
    <s v="null"/>
    <s v="null"/>
    <s v="null"/>
    <s v="null"/>
    <s v="null"/>
    <s v="null"/>
    <s v="null"/>
  </r>
  <r>
    <d v="2024-04-01T00:00:00"/>
    <s v="April"/>
    <d v="1899-12-30T21:14:19"/>
    <s v="&quot;CNR9572979&quot;"/>
    <s v="Completed"/>
    <s v="&quot;CID3474992&quot;"/>
    <x v="1"/>
    <s v="Sultanpur"/>
    <s v="Noida Extension"/>
    <n v="12.2"/>
    <n v="42.3"/>
    <s v="null"/>
    <s v="null"/>
    <s v="null"/>
    <s v="null"/>
    <s v="null"/>
    <s v="null"/>
    <n v="251"/>
    <n v="20.91"/>
    <n v="4.2"/>
    <n v="3.6"/>
    <s v="Debit Card"/>
  </r>
  <r>
    <d v="2024-09-18T00:00:00"/>
    <s v="September"/>
    <d v="1899-12-30T21:06:36"/>
    <s v="&quot;CNR6444364&quot;"/>
    <s v="Cancelled by Driver"/>
    <s v="&quot;CID8262635&quot;"/>
    <x v="5"/>
    <s v="Moti Nagar"/>
    <s v="Anand Vihar ISBT"/>
    <n v="6.6"/>
    <s v="null"/>
    <s v="null"/>
    <s v="null"/>
    <n v="1"/>
    <s v="More than permitted people in there"/>
    <s v="null"/>
    <s v="null"/>
    <s v="null"/>
    <s v="null"/>
    <s v="null"/>
    <s v="null"/>
    <s v="null"/>
  </r>
  <r>
    <d v="2024-08-02T00:00:00"/>
    <s v="August"/>
    <d v="1899-12-30T07:17:07"/>
    <s v="&quot;CNR4862806&quot;"/>
    <s v="Cancelled by Customer"/>
    <s v="&quot;CID7875150&quot;"/>
    <x v="2"/>
    <s v="Shastri Park"/>
    <s v="Anand Vihar ISBT"/>
    <n v="11.3"/>
    <s v="null"/>
    <n v="1"/>
    <s v="Driver asked to cancel"/>
    <s v="null"/>
    <s v="null"/>
    <s v="null"/>
    <s v="null"/>
    <s v="null"/>
    <s v="null"/>
    <s v="null"/>
    <s v="null"/>
    <s v="null"/>
  </r>
  <r>
    <d v="2024-09-30T00:00:00"/>
    <s v="September"/>
    <d v="1899-12-30T13:10:50"/>
    <s v="&quot;CNR4674790&quot;"/>
    <s v="Incomplete"/>
    <s v="&quot;CID4795905&quot;"/>
    <x v="4"/>
    <s v="Dilshad Garden"/>
    <s v="Nehru Place"/>
    <n v="2.2999999999999998"/>
    <n v="29.7"/>
    <s v="null"/>
    <s v="null"/>
    <s v="null"/>
    <s v="null"/>
    <n v="1"/>
    <s v="Vehicle Breakdown"/>
    <n v="453"/>
    <n v="19.239999999999998"/>
    <s v="null"/>
    <s v="null"/>
    <s v="Debit Card"/>
  </r>
  <r>
    <d v="2024-06-16T00:00:00"/>
    <s v="June"/>
    <d v="1899-12-30T00:44:47"/>
    <s v="&quot;CNR6866217&quot;"/>
    <s v="Completed"/>
    <s v="&quot;CID7798304&quot;"/>
    <x v="1"/>
    <s v="Dilshad Garden"/>
    <s v="Nehru Place"/>
    <n v="7.8"/>
    <n v="42.2"/>
    <s v="null"/>
    <s v="null"/>
    <s v="null"/>
    <s v="null"/>
    <s v="null"/>
    <s v="null"/>
    <n v="246"/>
    <n v="8.1300000000000008"/>
    <n v="4.2"/>
    <n v="4.5"/>
    <s v="UPI"/>
  </r>
  <r>
    <d v="2024-09-18T00:00:00"/>
    <s v="September"/>
    <d v="1899-12-30T09:33:55"/>
    <s v="&quot;CNR4932611&quot;"/>
    <s v="Completed"/>
    <s v="&quot;CID8795963&quot;"/>
    <x v="2"/>
    <s v="Aya Nagar"/>
    <s v="Karkarduma"/>
    <n v="8.8000000000000007"/>
    <n v="25.2"/>
    <s v="null"/>
    <s v="null"/>
    <s v="null"/>
    <s v="null"/>
    <s v="null"/>
    <s v="null"/>
    <n v="237"/>
    <n v="2.96"/>
    <n v="3.9"/>
    <n v="3.3"/>
    <s v="UPI"/>
  </r>
  <r>
    <d v="2024-05-04T00:00:00"/>
    <s v="May"/>
    <d v="1899-12-30T21:26:59"/>
    <s v="&quot;CNR1572483&quot;"/>
    <s v="Incomplete"/>
    <s v="&quot;CID6059557&quot;"/>
    <x v="5"/>
    <s v="Rajiv Chowk"/>
    <s v="Central Secretariat"/>
    <n v="9.9"/>
    <n v="21.6"/>
    <s v="null"/>
    <s v="null"/>
    <s v="null"/>
    <s v="null"/>
    <n v="1"/>
    <s v="Vehicle Breakdown"/>
    <n v="1581"/>
    <n v="1.82"/>
    <s v="null"/>
    <s v="null"/>
    <s v="Cash"/>
  </r>
  <r>
    <d v="2024-06-03T00:00:00"/>
    <s v="June"/>
    <d v="1899-12-30T18:14:47"/>
    <s v="&quot;CNR6945858&quot;"/>
    <s v="Completed"/>
    <s v="&quot;CID9079088&quot;"/>
    <x v="5"/>
    <s v="MG Road"/>
    <s v="Hauz Rani"/>
    <n v="4.0999999999999996"/>
    <n v="25.1"/>
    <s v="null"/>
    <s v="null"/>
    <s v="null"/>
    <s v="null"/>
    <s v="null"/>
    <s v="null"/>
    <n v="379"/>
    <n v="33.04"/>
    <n v="4.2"/>
    <n v="4.5"/>
    <s v="Uber Wallet"/>
  </r>
  <r>
    <d v="2024-10-03T00:00:00"/>
    <s v="October"/>
    <d v="1899-12-30T22:20:34"/>
    <s v="&quot;CNR6584679&quot;"/>
    <s v="Completed"/>
    <s v="&quot;CID4738537&quot;"/>
    <x v="5"/>
    <s v="Jasola"/>
    <s v="Palam Vihar"/>
    <n v="11.2"/>
    <n v="40.700000000000003"/>
    <s v="null"/>
    <s v="null"/>
    <s v="null"/>
    <s v="null"/>
    <s v="null"/>
    <s v="null"/>
    <n v="545"/>
    <n v="44.7"/>
    <n v="4.3"/>
    <n v="4.3"/>
    <s v="Cash"/>
  </r>
  <r>
    <d v="2024-05-25T00:00:00"/>
    <s v="May"/>
    <d v="1899-12-30T11:24:29"/>
    <s v="&quot;CNR6125653&quot;"/>
    <s v="Completed"/>
    <s v="&quot;CID2808212&quot;"/>
    <x v="5"/>
    <s v="Kashmere Gate"/>
    <s v="RK Puram"/>
    <n v="3"/>
    <n v="35.4"/>
    <s v="null"/>
    <s v="null"/>
    <s v="null"/>
    <s v="null"/>
    <s v="null"/>
    <s v="null"/>
    <n v="479"/>
    <n v="7.38"/>
    <n v="4.2"/>
    <n v="4.5999999999999996"/>
    <s v="UPI"/>
  </r>
  <r>
    <d v="2024-03-04T00:00:00"/>
    <s v="March"/>
    <d v="1899-12-30T17:46:46"/>
    <s v="&quot;CNR6092529&quot;"/>
    <s v="Cancelled by Driver"/>
    <s v="&quot;CID5040634&quot;"/>
    <x v="1"/>
    <s v="Ardee City"/>
    <s v="Basai Dhankot"/>
    <n v="11.2"/>
    <s v="null"/>
    <s v="null"/>
    <s v="null"/>
    <n v="1"/>
    <s v="More than permitted people in there"/>
    <s v="null"/>
    <s v="null"/>
    <s v="null"/>
    <s v="null"/>
    <s v="null"/>
    <s v="null"/>
    <s v="null"/>
  </r>
  <r>
    <d v="2024-11-10T00:00:00"/>
    <s v="November"/>
    <d v="1899-12-30T05:13:57"/>
    <s v="&quot;CNR6339107&quot;"/>
    <s v="Completed"/>
    <s v="&quot;CID7358763&quot;"/>
    <x v="5"/>
    <s v="Punjabi Bagh"/>
    <s v="Madipur"/>
    <n v="9.1"/>
    <n v="23.2"/>
    <s v="null"/>
    <s v="null"/>
    <s v="null"/>
    <s v="null"/>
    <s v="null"/>
    <s v="null"/>
    <n v="647"/>
    <n v="24.93"/>
    <n v="4.3"/>
    <n v="4.7"/>
    <s v="Uber Wallet"/>
  </r>
  <r>
    <d v="2024-09-11T00:00:00"/>
    <s v="September"/>
    <d v="1899-12-30T10:36:44"/>
    <s v="&quot;CNR1349015&quot;"/>
    <s v="Cancelled by Driver"/>
    <s v="&quot;CID9386278&quot;"/>
    <x v="2"/>
    <s v="Meerut"/>
    <s v="Badarpur"/>
    <n v="4.3"/>
    <s v="null"/>
    <s v="null"/>
    <s v="null"/>
    <n v="1"/>
    <s v="More than permitted people in there"/>
    <s v="null"/>
    <s v="null"/>
    <s v="null"/>
    <s v="null"/>
    <s v="null"/>
    <s v="null"/>
    <s v="null"/>
  </r>
  <r>
    <d v="2024-04-11T00:00:00"/>
    <s v="April"/>
    <d v="1899-12-30T15:43:34"/>
    <s v="&quot;CNR9773309&quot;"/>
    <s v="No Driver Found"/>
    <s v="&quot;CID9965847&quot;"/>
    <x v="6"/>
    <s v="Anand Vihar ISBT"/>
    <s v="Dwarka Sector 21"/>
    <s v="null"/>
    <s v="null"/>
    <s v="null"/>
    <s v="null"/>
    <s v="null"/>
    <s v="null"/>
    <s v="null"/>
    <s v="null"/>
    <s v="null"/>
    <s v="null"/>
    <s v="null"/>
    <s v="null"/>
    <s v="null"/>
  </r>
  <r>
    <d v="2024-06-01T00:00:00"/>
    <s v="June"/>
    <d v="1899-12-30T10:03:27"/>
    <s v="&quot;CNR2107544&quot;"/>
    <s v="Completed"/>
    <s v="&quot;CID1266188&quot;"/>
    <x v="3"/>
    <s v="Mayur Vihar"/>
    <s v="Palam Vihar"/>
    <n v="11.4"/>
    <n v="42.1"/>
    <s v="null"/>
    <s v="null"/>
    <s v="null"/>
    <s v="null"/>
    <s v="null"/>
    <s v="null"/>
    <n v="125"/>
    <n v="25.16"/>
    <n v="4.3"/>
    <n v="5"/>
    <s v="Credit Card"/>
  </r>
  <r>
    <d v="2024-05-09T00:00:00"/>
    <s v="May"/>
    <d v="1899-12-30T10:44:30"/>
    <s v="&quot;CNR4171959&quot;"/>
    <s v="Cancelled by Driver"/>
    <s v="&quot;CID8470723&quot;"/>
    <x v="3"/>
    <s v="Lajpat Nagar"/>
    <s v="Ramesh Nagar"/>
    <n v="6.3"/>
    <s v="null"/>
    <s v="null"/>
    <s v="null"/>
    <n v="1"/>
    <s v="Customer related issue"/>
    <s v="null"/>
    <s v="null"/>
    <s v="null"/>
    <s v="null"/>
    <s v="null"/>
    <s v="null"/>
    <s v="null"/>
  </r>
  <r>
    <d v="2024-07-30T00:00:00"/>
    <s v="July"/>
    <d v="1899-12-30T12:02:26"/>
    <s v="&quot;CNR5316307&quot;"/>
    <s v="Completed"/>
    <s v="&quot;CID1816553&quot;"/>
    <x v="3"/>
    <s v="Tughlakabad"/>
    <s v="Akshardham"/>
    <n v="12.4"/>
    <n v="21.5"/>
    <s v="null"/>
    <s v="null"/>
    <s v="null"/>
    <s v="null"/>
    <s v="null"/>
    <s v="null"/>
    <n v="375"/>
    <n v="48.85"/>
    <n v="3.3"/>
    <n v="3.3"/>
    <s v="Cash"/>
  </r>
  <r>
    <d v="2024-02-25T00:00:00"/>
    <s v="February"/>
    <d v="1899-12-30T16:23:19"/>
    <s v="&quot;CNR3635865&quot;"/>
    <s v="Completed"/>
    <s v="&quot;CID6477355&quot;"/>
    <x v="2"/>
    <s v="Cyber Hub"/>
    <s v="Yamuna Bank"/>
    <n v="11.7"/>
    <n v="33"/>
    <s v="null"/>
    <s v="null"/>
    <s v="null"/>
    <s v="null"/>
    <s v="null"/>
    <s v="null"/>
    <n v="310"/>
    <n v="24.41"/>
    <n v="4.5999999999999996"/>
    <n v="3.8"/>
    <s v="Debit Card"/>
  </r>
  <r>
    <d v="2024-02-09T00:00:00"/>
    <s v="February"/>
    <d v="1899-12-30T11:15:59"/>
    <s v="&quot;CNR2497989&quot;"/>
    <s v="Cancelled by Customer"/>
    <s v="&quot;CID5007066&quot;"/>
    <x v="2"/>
    <s v="Karkarduma"/>
    <s v="IGI Airport"/>
    <n v="16.600000000000001"/>
    <s v="null"/>
    <n v="1"/>
    <s v="Driver is not moving towards pickup location"/>
    <s v="null"/>
    <s v="null"/>
    <s v="null"/>
    <s v="null"/>
    <s v="null"/>
    <s v="null"/>
    <s v="null"/>
    <s v="null"/>
    <s v="null"/>
  </r>
  <r>
    <d v="2024-03-02T00:00:00"/>
    <s v="March"/>
    <d v="1899-12-30T04:59:03"/>
    <s v="&quot;CNR8946337&quot;"/>
    <s v="Cancelled by Driver"/>
    <s v="&quot;CID6438326&quot;"/>
    <x v="1"/>
    <s v="Shastri Nagar"/>
    <s v="New Colony"/>
    <n v="5.4"/>
    <s v="null"/>
    <s v="null"/>
    <s v="null"/>
    <n v="1"/>
    <s v="Customer related issue"/>
    <s v="null"/>
    <s v="null"/>
    <s v="null"/>
    <s v="null"/>
    <s v="null"/>
    <s v="null"/>
    <s v="null"/>
  </r>
  <r>
    <d v="2024-08-27T00:00:00"/>
    <s v="August"/>
    <d v="1899-12-30T18:22:02"/>
    <s v="&quot;CNR3740694&quot;"/>
    <s v="Incomplete"/>
    <s v="&quot;CID5885514&quot;"/>
    <x v="2"/>
    <s v="Aya Nagar"/>
    <s v="Green Park"/>
    <n v="2.2999999999999998"/>
    <n v="10.1"/>
    <s v="null"/>
    <s v="null"/>
    <s v="null"/>
    <s v="null"/>
    <n v="1"/>
    <s v="Vehicle Breakdown"/>
    <n v="370"/>
    <n v="13.85"/>
    <s v="null"/>
    <s v="null"/>
    <s v="Cash"/>
  </r>
  <r>
    <d v="2024-03-08T00:00:00"/>
    <s v="March"/>
    <d v="1899-12-30T09:28:38"/>
    <s v="&quot;CNR4660896&quot;"/>
    <s v="Cancelled by Driver"/>
    <s v="&quot;CID5486947&quot;"/>
    <x v="3"/>
    <s v="Dwarka Mor"/>
    <s v="ITO"/>
    <n v="5.8"/>
    <s v="null"/>
    <s v="null"/>
    <s v="null"/>
    <n v="1"/>
    <s v="More than permitted people in there"/>
    <s v="null"/>
    <s v="null"/>
    <s v="null"/>
    <s v="null"/>
    <s v="null"/>
    <s v="null"/>
    <s v="null"/>
  </r>
  <r>
    <d v="2024-03-20T00:00:00"/>
    <s v="March"/>
    <d v="1899-12-30T09:59:11"/>
    <s v="&quot;CNR2513330&quot;"/>
    <s v="Cancelled by Driver"/>
    <s v="&quot;CID7805280&quot;"/>
    <x v="3"/>
    <s v="Adarsh Nagar"/>
    <s v="Noida Extension"/>
    <n v="6.7"/>
    <s v="null"/>
    <s v="null"/>
    <s v="null"/>
    <n v="1"/>
    <s v="Customer related issue"/>
    <s v="null"/>
    <s v="null"/>
    <s v="null"/>
    <s v="null"/>
    <s v="null"/>
    <s v="null"/>
    <s v="null"/>
  </r>
  <r>
    <d v="2024-01-25T00:00:00"/>
    <s v="January"/>
    <d v="1899-12-30T12:39:21"/>
    <s v="&quot;CNR9252424&quot;"/>
    <s v="Completed"/>
    <s v="&quot;CID9413620&quot;"/>
    <x v="0"/>
    <s v="Vidhan Sabha"/>
    <s v="Mehrauli"/>
    <n v="12.1"/>
    <n v="18.100000000000001"/>
    <s v="null"/>
    <s v="null"/>
    <s v="null"/>
    <s v="null"/>
    <s v="null"/>
    <s v="null"/>
    <n v="291"/>
    <n v="3.71"/>
    <n v="3.2"/>
    <n v="4.3"/>
    <s v="UPI"/>
  </r>
  <r>
    <d v="2024-04-11T00:00:00"/>
    <s v="April"/>
    <d v="1899-12-30T11:14:35"/>
    <s v="&quot;CNR3096031&quot;"/>
    <s v="Completed"/>
    <s v="&quot;CID3101926&quot;"/>
    <x v="2"/>
    <s v="Anand Vihar"/>
    <s v="Saket"/>
    <n v="5.8"/>
    <n v="24.3"/>
    <s v="null"/>
    <s v="null"/>
    <s v="null"/>
    <s v="null"/>
    <s v="null"/>
    <s v="null"/>
    <n v="114"/>
    <n v="32.979999999999997"/>
    <n v="4.3"/>
    <n v="4.5"/>
    <s v="Uber Wallet"/>
  </r>
  <r>
    <d v="2024-06-17T00:00:00"/>
    <s v="June"/>
    <d v="1899-12-30T20:25:47"/>
    <s v="&quot;CNR4141159&quot;"/>
    <s v="Completed"/>
    <s v="&quot;CID6810411&quot;"/>
    <x v="5"/>
    <s v="Uttam Nagar"/>
    <s v="New Delhi Railway Station"/>
    <n v="4"/>
    <n v="44.5"/>
    <s v="null"/>
    <s v="null"/>
    <s v="null"/>
    <s v="null"/>
    <s v="null"/>
    <s v="null"/>
    <n v="464"/>
    <n v="11.2"/>
    <n v="4.5"/>
    <n v="4.2"/>
    <s v="Cash"/>
  </r>
  <r>
    <d v="2024-07-29T00:00:00"/>
    <s v="July"/>
    <d v="1899-12-30T19:52:48"/>
    <s v="&quot;CNR6757829&quot;"/>
    <s v="Completed"/>
    <s v="&quot;CID8433663&quot;"/>
    <x v="1"/>
    <s v="Model Town"/>
    <s v="Mundka"/>
    <n v="3.4"/>
    <n v="27.1"/>
    <s v="null"/>
    <s v="null"/>
    <s v="null"/>
    <s v="null"/>
    <s v="null"/>
    <s v="null"/>
    <n v="160"/>
    <n v="45.4"/>
    <n v="4"/>
    <n v="5"/>
    <s v="Cash"/>
  </r>
  <r>
    <d v="2024-12-22T00:00:00"/>
    <s v="December"/>
    <d v="1899-12-30T10:53:20"/>
    <s v="&quot;CNR6204326&quot;"/>
    <s v="Cancelled by Driver"/>
    <s v="&quot;CID9419495&quot;"/>
    <x v="2"/>
    <s v="Mandi House"/>
    <s v="India Gate"/>
    <n v="11.1"/>
    <s v="null"/>
    <s v="null"/>
    <s v="null"/>
    <n v="1"/>
    <s v="Personal &amp; Car related issues"/>
    <s v="null"/>
    <s v="null"/>
    <s v="null"/>
    <s v="null"/>
    <s v="null"/>
    <s v="null"/>
    <s v="null"/>
  </r>
  <r>
    <d v="2024-12-21T00:00:00"/>
    <s v="December"/>
    <d v="1899-12-30T21:40:00"/>
    <s v="&quot;CNR3347993&quot;"/>
    <s v="Completed"/>
    <s v="&quot;CID4871438&quot;"/>
    <x v="0"/>
    <s v="Ghitorni"/>
    <s v="Pitampura"/>
    <n v="9.9"/>
    <n v="38.5"/>
    <s v="null"/>
    <s v="null"/>
    <s v="null"/>
    <s v="null"/>
    <s v="null"/>
    <s v="null"/>
    <n v="206"/>
    <n v="28.78"/>
    <n v="4.0999999999999996"/>
    <n v="3.7"/>
    <s v="Cash"/>
  </r>
  <r>
    <d v="2024-02-23T00:00:00"/>
    <s v="February"/>
    <d v="1899-12-30T11:38:09"/>
    <s v="&quot;CNR6796311&quot;"/>
    <s v="Incomplete"/>
    <s v="&quot;CID1880505&quot;"/>
    <x v="5"/>
    <s v="Ghitorni Village"/>
    <s v="Palam Vihar"/>
    <n v="5.9"/>
    <n v="17.2"/>
    <s v="null"/>
    <s v="null"/>
    <s v="null"/>
    <s v="null"/>
    <n v="1"/>
    <s v="Customer Demand"/>
    <n v="217"/>
    <n v="2.81"/>
    <s v="null"/>
    <s v="null"/>
    <s v="Credit Card"/>
  </r>
  <r>
    <d v="2024-05-05T00:00:00"/>
    <s v="May"/>
    <d v="1899-12-30T21:22:39"/>
    <s v="&quot;CNR3908312&quot;"/>
    <s v="Completed"/>
    <s v="&quot;CID8787746&quot;"/>
    <x v="4"/>
    <s v="Okhla"/>
    <s v="Netaji Subhash Place"/>
    <n v="8.1"/>
    <n v="37.299999999999997"/>
    <s v="null"/>
    <s v="null"/>
    <s v="null"/>
    <s v="null"/>
    <s v="null"/>
    <s v="null"/>
    <n v="633"/>
    <n v="17.34"/>
    <n v="4.5"/>
    <n v="4.9000000000000004"/>
    <s v="Credit Card"/>
  </r>
  <r>
    <d v="2024-11-08T00:00:00"/>
    <s v="November"/>
    <d v="1899-12-30T17:01:10"/>
    <s v="&quot;CNR9416323&quot;"/>
    <s v="Completed"/>
    <s v="&quot;CID1025742&quot;"/>
    <x v="2"/>
    <s v="DLF City Court"/>
    <s v="Udyog Vihar Phase 4"/>
    <n v="6.1"/>
    <n v="28.2"/>
    <s v="null"/>
    <s v="null"/>
    <s v="null"/>
    <s v="null"/>
    <s v="null"/>
    <s v="null"/>
    <n v="717"/>
    <n v="9.3800000000000008"/>
    <n v="4.2"/>
    <n v="4.5"/>
    <s v="UPI"/>
  </r>
  <r>
    <d v="2024-12-26T00:00:00"/>
    <s v="December"/>
    <d v="1899-12-30T21:21:55"/>
    <s v="&quot;CNR2912296&quot;"/>
    <s v="Completed"/>
    <s v="&quot;CID8094609&quot;"/>
    <x v="1"/>
    <s v="Rajiv Nagar"/>
    <s v="Ramesh Nagar"/>
    <n v="6"/>
    <n v="26.7"/>
    <s v="null"/>
    <s v="null"/>
    <s v="null"/>
    <s v="null"/>
    <s v="null"/>
    <s v="null"/>
    <n v="151"/>
    <n v="11.9"/>
    <n v="4.9000000000000004"/>
    <n v="4.5"/>
    <s v="UPI"/>
  </r>
  <r>
    <d v="2024-09-05T00:00:00"/>
    <s v="September"/>
    <d v="1899-12-30T07:44:18"/>
    <s v="&quot;CNR4611314&quot;"/>
    <s v="Completed"/>
    <s v="&quot;CID6968311&quot;"/>
    <x v="3"/>
    <s v="Sohna Road"/>
    <s v="New Delhi Railway Station"/>
    <n v="5"/>
    <n v="34.700000000000003"/>
    <s v="null"/>
    <s v="null"/>
    <s v="null"/>
    <s v="null"/>
    <s v="null"/>
    <s v="null"/>
    <n v="512"/>
    <n v="35.659999999999997"/>
    <n v="3.7"/>
    <n v="4.9000000000000004"/>
    <s v="UPI"/>
  </r>
  <r>
    <d v="2024-11-25T00:00:00"/>
    <s v="November"/>
    <d v="1899-12-30T08:29:14"/>
    <s v="&quot;CNR2601752&quot;"/>
    <s v="Cancelled by Customer"/>
    <s v="&quot;CID9283370&quot;"/>
    <x v="1"/>
    <s v="Sadar Bazar Gurgaon"/>
    <s v="Indraprastha"/>
    <n v="12"/>
    <s v="null"/>
    <n v="1"/>
    <s v="Driver asked to cancel"/>
    <s v="null"/>
    <s v="null"/>
    <s v="null"/>
    <s v="null"/>
    <s v="null"/>
    <s v="null"/>
    <s v="null"/>
    <s v="null"/>
    <s v="null"/>
  </r>
  <r>
    <d v="2024-08-15T00:00:00"/>
    <s v="August"/>
    <d v="1899-12-30T18:40:03"/>
    <s v="&quot;CNR5793527&quot;"/>
    <s v="Cancelled by Driver"/>
    <s v="&quot;CID5705499&quot;"/>
    <x v="3"/>
    <s v="Anand Vihar ISBT"/>
    <s v="Rohini"/>
    <n v="3.2"/>
    <s v="null"/>
    <s v="null"/>
    <s v="null"/>
    <n v="1"/>
    <s v="Personal &amp; Car related issues"/>
    <s v="null"/>
    <s v="null"/>
    <s v="null"/>
    <s v="null"/>
    <s v="null"/>
    <s v="null"/>
    <s v="null"/>
  </r>
  <r>
    <d v="2024-02-10T00:00:00"/>
    <s v="February"/>
    <d v="1899-12-30T09:17:39"/>
    <s v="&quot;CNR4487090&quot;"/>
    <s v="Completed"/>
    <s v="&quot;CID1210782&quot;"/>
    <x v="3"/>
    <s v="Lajpat Nagar"/>
    <s v="Chirag Delhi"/>
    <n v="9.6"/>
    <n v="39.1"/>
    <s v="null"/>
    <s v="null"/>
    <s v="null"/>
    <s v="null"/>
    <s v="null"/>
    <s v="null"/>
    <n v="1390"/>
    <n v="21.79"/>
    <n v="5"/>
    <n v="4.9000000000000004"/>
    <s v="UPI"/>
  </r>
  <r>
    <d v="2024-09-26T00:00:00"/>
    <s v="September"/>
    <d v="1899-12-30T11:33:51"/>
    <s v="&quot;CNR5266935&quot;"/>
    <s v="Cancelled by Driver"/>
    <s v="&quot;CID2831708&quot;"/>
    <x v="3"/>
    <s v="Bahadurgarh"/>
    <s v="Pataudi Chowk"/>
    <n v="3.9"/>
    <s v="null"/>
    <s v="null"/>
    <s v="null"/>
    <n v="1"/>
    <s v="More than permitted people in there"/>
    <s v="null"/>
    <s v="null"/>
    <s v="null"/>
    <s v="null"/>
    <s v="null"/>
    <s v="null"/>
    <s v="null"/>
  </r>
  <r>
    <d v="2024-07-01T00:00:00"/>
    <s v="July"/>
    <d v="1899-12-30T17:39:56"/>
    <s v="&quot;CNR1487489&quot;"/>
    <s v="Completed"/>
    <s v="&quot;CID3403699&quot;"/>
    <x v="4"/>
    <s v="Moolchand"/>
    <s v="Karol Bagh"/>
    <n v="3.9"/>
    <n v="23"/>
    <s v="null"/>
    <s v="null"/>
    <s v="null"/>
    <s v="null"/>
    <s v="null"/>
    <s v="null"/>
    <n v="224"/>
    <n v="7.86"/>
    <n v="4.0999999999999996"/>
    <n v="4.2"/>
    <s v="Cash"/>
  </r>
  <r>
    <d v="2024-10-19T00:00:00"/>
    <s v="October"/>
    <d v="1899-12-30T16:24:50"/>
    <s v="&quot;CNR6351034&quot;"/>
    <s v="Completed"/>
    <s v="&quot;CID2038230&quot;"/>
    <x v="2"/>
    <s v="Uttam Nagar"/>
    <s v="Vaishali"/>
    <n v="8.4"/>
    <n v="31.3"/>
    <s v="null"/>
    <s v="null"/>
    <s v="null"/>
    <s v="null"/>
    <s v="null"/>
    <s v="null"/>
    <n v="708"/>
    <n v="18.04"/>
    <n v="4.5999999999999996"/>
    <n v="4.8"/>
    <s v="UPI"/>
  </r>
  <r>
    <d v="2024-02-09T00:00:00"/>
    <s v="February"/>
    <d v="1899-12-30T10:51:01"/>
    <s v="&quot;CNR7600870&quot;"/>
    <s v="Completed"/>
    <s v="&quot;CID7289498&quot;"/>
    <x v="2"/>
    <s v="INA Market"/>
    <s v="IFFCO Chowk"/>
    <n v="7.7"/>
    <n v="43.7"/>
    <s v="null"/>
    <s v="null"/>
    <s v="null"/>
    <s v="null"/>
    <s v="null"/>
    <s v="null"/>
    <n v="153"/>
    <n v="15.18"/>
    <n v="4.2"/>
    <n v="3.6"/>
    <s v="Uber Wallet"/>
  </r>
  <r>
    <d v="2024-03-31T00:00:00"/>
    <s v="March"/>
    <d v="1899-12-30T12:37:12"/>
    <s v="&quot;CNR5444321&quot;"/>
    <s v="Cancelled by Driver"/>
    <s v="&quot;CID3326946&quot;"/>
    <x v="4"/>
    <s v="Sushant Lok"/>
    <s v="Noida Sector 62"/>
    <n v="6.3"/>
    <s v="null"/>
    <s v="null"/>
    <s v="null"/>
    <n v="1"/>
    <s v="The customer was coughing/sick"/>
    <s v="null"/>
    <s v="null"/>
    <s v="null"/>
    <s v="null"/>
    <s v="null"/>
    <s v="null"/>
    <s v="null"/>
  </r>
  <r>
    <d v="2024-12-11T00:00:00"/>
    <s v="December"/>
    <d v="1899-12-30T17:05:36"/>
    <s v="&quot;CNR8509610&quot;"/>
    <s v="Completed"/>
    <s v="&quot;CID8227993&quot;"/>
    <x v="4"/>
    <s v="IIT Delhi"/>
    <s v="Mansarovar Park"/>
    <n v="5"/>
    <n v="35"/>
    <s v="null"/>
    <s v="null"/>
    <s v="null"/>
    <s v="null"/>
    <s v="null"/>
    <s v="null"/>
    <n v="72"/>
    <n v="13.38"/>
    <n v="4.7"/>
    <n v="4.2"/>
    <s v="Cash"/>
  </r>
  <r>
    <d v="2024-06-19T00:00:00"/>
    <s v="June"/>
    <d v="1899-12-30T16:19:41"/>
    <s v="&quot;CNR6851549&quot;"/>
    <s v="Incomplete"/>
    <s v="&quot;CID9560489&quot;"/>
    <x v="1"/>
    <s v="Satguru Ram Singh Marg"/>
    <s v="Punjabi Bagh"/>
    <n v="8.9"/>
    <n v="15.6"/>
    <s v="null"/>
    <s v="null"/>
    <s v="null"/>
    <s v="null"/>
    <n v="1"/>
    <s v="Customer Demand"/>
    <n v="282"/>
    <n v="11.81"/>
    <s v="null"/>
    <s v="null"/>
    <s v="UPI"/>
  </r>
  <r>
    <d v="2024-06-20T00:00:00"/>
    <s v="June"/>
    <d v="1899-12-30T18:58:36"/>
    <s v="&quot;CNR3318044&quot;"/>
    <s v="No Driver Found"/>
    <s v="&quot;CID4051792&quot;"/>
    <x v="5"/>
    <s v="Adarsh Nagar"/>
    <s v="Gwal Pahari"/>
    <s v="null"/>
    <s v="null"/>
    <s v="null"/>
    <s v="null"/>
    <s v="null"/>
    <s v="null"/>
    <s v="null"/>
    <s v="null"/>
    <s v="null"/>
    <s v="null"/>
    <s v="null"/>
    <s v="null"/>
    <s v="null"/>
  </r>
  <r>
    <d v="2024-07-10T00:00:00"/>
    <s v="July"/>
    <d v="1899-12-30T02:23:12"/>
    <s v="&quot;CNR3126177&quot;"/>
    <s v="Completed"/>
    <s v="&quot;CID1851430&quot;"/>
    <x v="3"/>
    <s v="Munirka"/>
    <s v="Saidulajab"/>
    <n v="10.9"/>
    <n v="43.6"/>
    <s v="null"/>
    <s v="null"/>
    <s v="null"/>
    <s v="null"/>
    <s v="null"/>
    <s v="null"/>
    <n v="696"/>
    <n v="30.9"/>
    <n v="4.7"/>
    <n v="3.7"/>
    <s v="UPI"/>
  </r>
  <r>
    <d v="2024-02-06T00:00:00"/>
    <s v="February"/>
    <d v="1899-12-30T21:27:00"/>
    <s v="&quot;CNR6453539&quot;"/>
    <s v="Incomplete"/>
    <s v="&quot;CID6999817&quot;"/>
    <x v="0"/>
    <s v="New Colony"/>
    <s v="Jasola"/>
    <n v="5.7"/>
    <n v="18"/>
    <s v="null"/>
    <s v="null"/>
    <s v="null"/>
    <s v="null"/>
    <n v="1"/>
    <s v="Vehicle Breakdown"/>
    <n v="936"/>
    <n v="14.91"/>
    <s v="null"/>
    <s v="null"/>
    <s v="Uber Wallet"/>
  </r>
  <r>
    <d v="2024-09-30T00:00:00"/>
    <s v="September"/>
    <d v="1899-12-30T12:34:51"/>
    <s v="&quot;CNR7449144&quot;"/>
    <s v="Completed"/>
    <s v="&quot;CID8609350&quot;"/>
    <x v="2"/>
    <s v="IGNOU Road"/>
    <s v="Tis Hazari"/>
    <n v="8.6"/>
    <n v="32.700000000000003"/>
    <s v="null"/>
    <s v="null"/>
    <s v="null"/>
    <s v="null"/>
    <s v="null"/>
    <s v="null"/>
    <n v="2169"/>
    <n v="44.25"/>
    <n v="4.4000000000000004"/>
    <n v="4.3"/>
    <s v="Uber Wallet"/>
  </r>
  <r>
    <d v="2024-09-20T00:00:00"/>
    <s v="September"/>
    <d v="1899-12-30T13:09:16"/>
    <s v="&quot;CNR1970319&quot;"/>
    <s v="Completed"/>
    <s v="&quot;CID6085619&quot;"/>
    <x v="0"/>
    <s v="Meerut"/>
    <s v="Udyog Bhawan"/>
    <n v="9.5"/>
    <n v="24.6"/>
    <s v="null"/>
    <s v="null"/>
    <s v="null"/>
    <s v="null"/>
    <s v="null"/>
    <s v="null"/>
    <n v="136"/>
    <n v="45.46"/>
    <n v="3.2"/>
    <n v="3.8"/>
    <s v="Uber Wallet"/>
  </r>
  <r>
    <d v="2024-04-30T00:00:00"/>
    <s v="April"/>
    <d v="1899-12-30T20:25:28"/>
    <s v="&quot;CNR4415815&quot;"/>
    <s v="Completed"/>
    <s v="&quot;CID8351180&quot;"/>
    <x v="5"/>
    <s v="Punjabi Bagh"/>
    <s v="Saket A Block"/>
    <n v="4.5999999999999996"/>
    <n v="38.9"/>
    <s v="null"/>
    <s v="null"/>
    <s v="null"/>
    <s v="null"/>
    <s v="null"/>
    <s v="null"/>
    <n v="214"/>
    <n v="2.91"/>
    <n v="4.0999999999999996"/>
    <n v="4.7"/>
    <s v="UPI"/>
  </r>
  <r>
    <d v="2024-06-04T00:00:00"/>
    <s v="June"/>
    <d v="1899-12-30T20:38:07"/>
    <s v="&quot;CNR3899082&quot;"/>
    <s v="Completed"/>
    <s v="&quot;CID5467225&quot;"/>
    <x v="5"/>
    <s v="Akshardham"/>
    <s v="Mayur Vihar"/>
    <n v="10.3"/>
    <n v="16.399999999999999"/>
    <s v="null"/>
    <s v="null"/>
    <s v="null"/>
    <s v="null"/>
    <s v="null"/>
    <s v="null"/>
    <n v="835"/>
    <n v="37.57"/>
    <n v="4.2"/>
    <n v="4.8"/>
    <s v="UPI"/>
  </r>
  <r>
    <d v="2024-10-30T00:00:00"/>
    <s v="October"/>
    <d v="1899-12-30T16:29:36"/>
    <s v="&quot;CNR3274519&quot;"/>
    <s v="Cancelled by Driver"/>
    <s v="&quot;CID3829804&quot;"/>
    <x v="0"/>
    <s v="Chhatarpur"/>
    <s v="Gurgaon Sector 29"/>
    <n v="6"/>
    <s v="null"/>
    <s v="null"/>
    <s v="null"/>
    <n v="1"/>
    <s v="More than permitted people in there"/>
    <s v="null"/>
    <s v="null"/>
    <s v="null"/>
    <s v="null"/>
    <s v="null"/>
    <s v="null"/>
    <s v="null"/>
  </r>
  <r>
    <d v="2024-08-11T00:00:00"/>
    <s v="August"/>
    <d v="1899-12-30T18:21:32"/>
    <s v="&quot;CNR3263958&quot;"/>
    <s v="Completed"/>
    <s v="&quot;CID3231090&quot;"/>
    <x v="1"/>
    <s v="IMT Manesar"/>
    <s v="Ashram"/>
    <n v="2.6"/>
    <n v="36.200000000000003"/>
    <s v="null"/>
    <s v="null"/>
    <s v="null"/>
    <s v="null"/>
    <s v="null"/>
    <s v="null"/>
    <n v="705"/>
    <n v="40.18"/>
    <n v="3.9"/>
    <n v="4.8"/>
    <s v="UPI"/>
  </r>
  <r>
    <d v="2024-05-21T00:00:00"/>
    <s v="May"/>
    <d v="1899-12-30T17:39:58"/>
    <s v="&quot;CNR5822542&quot;"/>
    <s v="No Driver Found"/>
    <s v="&quot;CID1628370&quot;"/>
    <x v="6"/>
    <s v="Madipur"/>
    <s v="DLF City Court"/>
    <s v="null"/>
    <s v="null"/>
    <s v="null"/>
    <s v="null"/>
    <s v="null"/>
    <s v="null"/>
    <s v="null"/>
    <s v="null"/>
    <s v="null"/>
    <s v="null"/>
    <s v="null"/>
    <s v="null"/>
    <s v="null"/>
  </r>
  <r>
    <d v="2024-10-08T00:00:00"/>
    <s v="October"/>
    <d v="1899-12-30T08:52:57"/>
    <s v="&quot;CNR9652983&quot;"/>
    <s v="Completed"/>
    <s v="&quot;CID4773175&quot;"/>
    <x v="1"/>
    <s v="Azadpur"/>
    <s v="Khan Market"/>
    <n v="2.1"/>
    <n v="35.5"/>
    <s v="null"/>
    <s v="null"/>
    <s v="null"/>
    <s v="null"/>
    <s v="null"/>
    <s v="null"/>
    <n v="480"/>
    <n v="20.22"/>
    <n v="4.3"/>
    <n v="4.8"/>
    <s v="Debit Card"/>
  </r>
  <r>
    <d v="2024-03-26T00:00:00"/>
    <s v="March"/>
    <d v="1899-12-30T18:59:52"/>
    <s v="&quot;CNR2598306&quot;"/>
    <s v="Cancelled by Customer"/>
    <s v="&quot;CID5704025&quot;"/>
    <x v="3"/>
    <s v="Chhatarpur"/>
    <s v="Badshahpur"/>
    <n v="14.4"/>
    <s v="null"/>
    <n v="1"/>
    <s v="AC is not working"/>
    <s v="null"/>
    <s v="null"/>
    <s v="null"/>
    <s v="null"/>
    <s v="null"/>
    <s v="null"/>
    <s v="null"/>
    <s v="null"/>
    <s v="null"/>
  </r>
  <r>
    <d v="2024-06-24T00:00:00"/>
    <s v="June"/>
    <d v="1899-12-30T18:04:39"/>
    <s v="&quot;CNR3274827&quot;"/>
    <s v="Completed"/>
    <s v="&quot;CID3134967&quot;"/>
    <x v="5"/>
    <s v="Cyber Hub"/>
    <s v="Old Gurgaon"/>
    <n v="7.5"/>
    <n v="41.7"/>
    <s v="null"/>
    <s v="null"/>
    <s v="null"/>
    <s v="null"/>
    <s v="null"/>
    <s v="null"/>
    <n v="707"/>
    <n v="44.76"/>
    <n v="4.8"/>
    <n v="4.4000000000000004"/>
    <s v="UPI"/>
  </r>
  <r>
    <d v="2024-03-28T00:00:00"/>
    <s v="March"/>
    <d v="1899-12-30T19:20:01"/>
    <s v="&quot;CNR9139265&quot;"/>
    <s v="Cancelled by Driver"/>
    <s v="&quot;CID4003339&quot;"/>
    <x v="4"/>
    <s v="Jhilmil"/>
    <s v="DLF Phase 3"/>
    <n v="9.9"/>
    <s v="null"/>
    <s v="null"/>
    <s v="null"/>
    <n v="1"/>
    <s v="Personal &amp; Car related issues"/>
    <s v="null"/>
    <s v="null"/>
    <s v="null"/>
    <s v="null"/>
    <s v="null"/>
    <s v="null"/>
    <s v="null"/>
  </r>
  <r>
    <d v="2024-09-27T00:00:00"/>
    <s v="September"/>
    <d v="1899-12-30T20:16:53"/>
    <s v="&quot;CNR8036415&quot;"/>
    <s v="Completed"/>
    <s v="&quot;CID9244184&quot;"/>
    <x v="0"/>
    <s v="Sikanderpur"/>
    <s v="Greater Noida"/>
    <n v="10"/>
    <n v="38"/>
    <s v="null"/>
    <s v="null"/>
    <s v="null"/>
    <s v="null"/>
    <s v="null"/>
    <s v="null"/>
    <n v="865"/>
    <n v="43.34"/>
    <n v="3.2"/>
    <n v="3.8"/>
    <s v="Cash"/>
  </r>
  <r>
    <d v="2024-04-26T00:00:00"/>
    <s v="April"/>
    <d v="1899-12-30T15:45:51"/>
    <s v="&quot;CNR8433849&quot;"/>
    <s v="Completed"/>
    <s v="&quot;CID7659765&quot;"/>
    <x v="4"/>
    <s v="Mayur Vihar"/>
    <s v="IGNOU Road"/>
    <n v="10.8"/>
    <n v="40"/>
    <s v="null"/>
    <s v="null"/>
    <s v="null"/>
    <s v="null"/>
    <s v="null"/>
    <s v="null"/>
    <n v="768"/>
    <n v="5.97"/>
    <n v="4.3"/>
    <n v="4.8"/>
    <s v="Cash"/>
  </r>
  <r>
    <d v="2024-05-19T00:00:00"/>
    <s v="May"/>
    <d v="1899-12-30T18:47:16"/>
    <s v="&quot;CNR2948784&quot;"/>
    <s v="Completed"/>
    <s v="&quot;CID7747807&quot;"/>
    <x v="4"/>
    <s v="Rohini West"/>
    <s v="Yamuna Bank"/>
    <n v="7"/>
    <n v="37"/>
    <s v="null"/>
    <s v="null"/>
    <s v="null"/>
    <s v="null"/>
    <s v="null"/>
    <s v="null"/>
    <n v="626"/>
    <n v="27.96"/>
    <n v="3.9"/>
    <n v="4.3"/>
    <s v="Uber Wallet"/>
  </r>
  <r>
    <d v="2024-06-05T00:00:00"/>
    <s v="June"/>
    <d v="1899-12-30T11:16:12"/>
    <s v="&quot;CNR1996806&quot;"/>
    <s v="Completed"/>
    <s v="&quot;CID2293483&quot;"/>
    <x v="5"/>
    <s v="Mandi House"/>
    <s v="Bahadurgarh"/>
    <n v="9.1999999999999993"/>
    <n v="40.4"/>
    <s v="null"/>
    <s v="null"/>
    <s v="null"/>
    <s v="null"/>
    <s v="null"/>
    <s v="null"/>
    <n v="443"/>
    <n v="21.19"/>
    <n v="4.2"/>
    <n v="5"/>
    <s v="UPI"/>
  </r>
  <r>
    <d v="2024-01-07T00:00:00"/>
    <s v="January"/>
    <d v="1899-12-30T16:21:31"/>
    <s v="&quot;CNR6241612&quot;"/>
    <s v="Cancelled by Customer"/>
    <s v="&quot;CID5715130&quot;"/>
    <x v="2"/>
    <s v="Azadpur"/>
    <s v="Hauz Rani"/>
    <n v="7.9"/>
    <s v="null"/>
    <n v="1"/>
    <s v="Driver asked to cancel"/>
    <s v="null"/>
    <s v="null"/>
    <s v="null"/>
    <s v="null"/>
    <s v="null"/>
    <s v="null"/>
    <s v="null"/>
    <s v="null"/>
    <s v="null"/>
  </r>
  <r>
    <d v="2024-04-19T00:00:00"/>
    <s v="April"/>
    <d v="1899-12-30T14:14:27"/>
    <s v="&quot;CNR5222120&quot;"/>
    <s v="Completed"/>
    <s v="&quot;CID2370613&quot;"/>
    <x v="1"/>
    <s v="Aya Nagar"/>
    <s v="Chandni Chowk"/>
    <n v="9.9"/>
    <n v="28.7"/>
    <s v="null"/>
    <s v="null"/>
    <s v="null"/>
    <s v="null"/>
    <s v="null"/>
    <s v="null"/>
    <n v="226"/>
    <n v="47.63"/>
    <n v="3.6"/>
    <n v="4.0999999999999996"/>
    <s v="UPI"/>
  </r>
  <r>
    <d v="2024-03-31T00:00:00"/>
    <s v="March"/>
    <d v="1899-12-30T16:34:57"/>
    <s v="&quot;CNR6596872&quot;"/>
    <s v="Completed"/>
    <s v="&quot;CID2589193&quot;"/>
    <x v="2"/>
    <s v="Shastri Nagar"/>
    <s v="Saket A Block"/>
    <n v="12.8"/>
    <n v="30.6"/>
    <s v="null"/>
    <s v="null"/>
    <s v="null"/>
    <s v="null"/>
    <s v="null"/>
    <s v="null"/>
    <n v="449"/>
    <n v="24.4"/>
    <n v="3.3"/>
    <n v="4.0999999999999996"/>
    <s v="UPI"/>
  </r>
  <r>
    <d v="2024-03-26T00:00:00"/>
    <s v="March"/>
    <d v="1899-12-30T19:13:05"/>
    <s v="&quot;CNR7149058&quot;"/>
    <s v="Completed"/>
    <s v="&quot;CID7341591&quot;"/>
    <x v="5"/>
    <s v="Vinobapuri"/>
    <s v="Shastri Park"/>
    <n v="5.9"/>
    <n v="21.1"/>
    <s v="null"/>
    <s v="null"/>
    <s v="null"/>
    <s v="null"/>
    <s v="null"/>
    <s v="null"/>
    <n v="778"/>
    <n v="7.49"/>
    <n v="4.3"/>
    <n v="4.9000000000000004"/>
    <s v="UPI"/>
  </r>
  <r>
    <d v="2024-06-10T00:00:00"/>
    <s v="June"/>
    <d v="1899-12-30T15:24:51"/>
    <s v="&quot;CNR5726463&quot;"/>
    <s v="Completed"/>
    <s v="&quot;CID3407189&quot;"/>
    <x v="4"/>
    <s v="Rohini West"/>
    <s v="Yamuna Bank"/>
    <n v="14.7"/>
    <n v="18.8"/>
    <s v="null"/>
    <s v="null"/>
    <s v="null"/>
    <s v="null"/>
    <s v="null"/>
    <s v="null"/>
    <n v="361"/>
    <n v="24.44"/>
    <n v="4.3"/>
    <n v="4.8"/>
    <s v="UPI"/>
  </r>
  <r>
    <d v="2024-08-16T00:00:00"/>
    <s v="August"/>
    <d v="1899-12-30T17:05:19"/>
    <s v="&quot;CNR3975551&quot;"/>
    <s v="Completed"/>
    <s v="&quot;CID2944423&quot;"/>
    <x v="2"/>
    <s v="Kashmere Gate ISBT"/>
    <s v="New Colony"/>
    <n v="3.5"/>
    <n v="30.4"/>
    <s v="null"/>
    <s v="null"/>
    <s v="null"/>
    <s v="null"/>
    <s v="null"/>
    <s v="null"/>
    <n v="235"/>
    <n v="9.1999999999999993"/>
    <n v="4.3"/>
    <n v="3.9"/>
    <s v="UPI"/>
  </r>
  <r>
    <d v="2024-02-04T00:00:00"/>
    <s v="February"/>
    <d v="1899-12-30T15:32:16"/>
    <s v="&quot;CNR8637930&quot;"/>
    <s v="Completed"/>
    <s v="&quot;CID8137475&quot;"/>
    <x v="1"/>
    <s v="Rohini"/>
    <s v="Botanical Garden"/>
    <n v="8.6"/>
    <n v="15.9"/>
    <s v="null"/>
    <s v="null"/>
    <s v="null"/>
    <s v="null"/>
    <s v="null"/>
    <s v="null"/>
    <n v="186"/>
    <n v="28.09"/>
    <n v="4.2"/>
    <n v="4.4000000000000004"/>
    <s v="Cash"/>
  </r>
  <r>
    <d v="2024-06-24T00:00:00"/>
    <s v="June"/>
    <d v="1899-12-30T18:46:34"/>
    <s v="&quot;CNR9935095&quot;"/>
    <s v="Incomplete"/>
    <s v="&quot;CID7359331&quot;"/>
    <x v="6"/>
    <s v="Kherki Daula Toll"/>
    <s v="Nawada"/>
    <n v="3.2"/>
    <n v="21.9"/>
    <s v="null"/>
    <s v="null"/>
    <s v="null"/>
    <s v="null"/>
    <n v="1"/>
    <s v="Other Issue"/>
    <n v="544"/>
    <n v="3.37"/>
    <s v="null"/>
    <s v="null"/>
    <s v="Cash"/>
  </r>
  <r>
    <d v="2024-03-23T00:00:00"/>
    <s v="March"/>
    <d v="1899-12-30T11:31:18"/>
    <s v="&quot;CNR8893726&quot;"/>
    <s v="No Driver Found"/>
    <s v="&quot;CID8335294&quot;"/>
    <x v="4"/>
    <s v="IFFCO Chowk"/>
    <s v="Dilshad Garden"/>
    <s v="null"/>
    <s v="null"/>
    <s v="null"/>
    <s v="null"/>
    <s v="null"/>
    <s v="null"/>
    <s v="null"/>
    <s v="null"/>
    <s v="null"/>
    <s v="null"/>
    <s v="null"/>
    <s v="null"/>
    <s v="null"/>
  </r>
  <r>
    <d v="2024-07-21T00:00:00"/>
    <s v="July"/>
    <d v="1899-12-30T10:45:00"/>
    <s v="&quot;CNR3975051&quot;"/>
    <s v="Cancelled by Customer"/>
    <s v="&quot;CID5797043&quot;"/>
    <x v="5"/>
    <s v="Hauz Rani"/>
    <s v="Kaushambi"/>
    <n v="13.1"/>
    <s v="null"/>
    <n v="1"/>
    <s v="Driver asked to cancel"/>
    <s v="null"/>
    <s v="null"/>
    <s v="null"/>
    <s v="null"/>
    <s v="null"/>
    <s v="null"/>
    <s v="null"/>
    <s v="null"/>
    <s v="null"/>
  </r>
  <r>
    <d v="2024-09-22T00:00:00"/>
    <s v="September"/>
    <d v="1899-12-30T06:39:39"/>
    <s v="&quot;CNR1984811&quot;"/>
    <s v="Cancelled by Customer"/>
    <s v="&quot;CID6701334&quot;"/>
    <x v="2"/>
    <s v="Dilshad Garden"/>
    <s v="Qutub Minar"/>
    <n v="8.1"/>
    <s v="null"/>
    <n v="1"/>
    <s v="Change of plans"/>
    <s v="null"/>
    <s v="null"/>
    <s v="null"/>
    <s v="null"/>
    <s v="null"/>
    <s v="null"/>
    <s v="null"/>
    <s v="null"/>
    <s v="null"/>
  </r>
  <r>
    <d v="2024-05-26T00:00:00"/>
    <s v="May"/>
    <d v="1899-12-30T22:36:05"/>
    <s v="&quot;CNR7036055&quot;"/>
    <s v="Completed"/>
    <s v="&quot;CID7359512&quot;"/>
    <x v="4"/>
    <s v="Faridabad Sector 15"/>
    <s v="Vinobapuri"/>
    <n v="7.7"/>
    <n v="25"/>
    <s v="null"/>
    <s v="null"/>
    <s v="null"/>
    <s v="null"/>
    <s v="null"/>
    <s v="null"/>
    <n v="86"/>
    <n v="40.1"/>
    <n v="3.6"/>
    <n v="4.4000000000000004"/>
    <s v="Cash"/>
  </r>
  <r>
    <d v="2024-03-30T00:00:00"/>
    <s v="March"/>
    <d v="1899-12-30T13:55:19"/>
    <s v="&quot;CNR3449107&quot;"/>
    <s v="Cancelled by Driver"/>
    <s v="&quot;CID8684841&quot;"/>
    <x v="2"/>
    <s v="Sarai Kale Khan"/>
    <s v="Central Secretariat"/>
    <n v="8.1"/>
    <s v="null"/>
    <s v="null"/>
    <s v="null"/>
    <n v="1"/>
    <s v="Personal &amp; Car related issues"/>
    <s v="null"/>
    <s v="null"/>
    <s v="null"/>
    <s v="null"/>
    <s v="null"/>
    <s v="null"/>
    <s v="null"/>
  </r>
  <r>
    <d v="2024-09-19T00:00:00"/>
    <s v="September"/>
    <d v="1899-12-30T08:47:23"/>
    <s v="&quot;CNR6919653&quot;"/>
    <s v="No Driver Found"/>
    <s v="&quot;CID5736754&quot;"/>
    <x v="5"/>
    <s v="Vishwavidyalaya"/>
    <s v="MG Road"/>
    <s v="null"/>
    <s v="null"/>
    <s v="null"/>
    <s v="null"/>
    <s v="null"/>
    <s v="null"/>
    <s v="null"/>
    <s v="null"/>
    <s v="null"/>
    <s v="null"/>
    <s v="null"/>
    <s v="null"/>
    <s v="null"/>
  </r>
  <r>
    <d v="2024-12-26T00:00:00"/>
    <s v="December"/>
    <d v="1899-12-30T16:16:56"/>
    <s v="&quot;CNR8504461&quot;"/>
    <s v="Completed"/>
    <s v="&quot;CID3984123&quot;"/>
    <x v="3"/>
    <s v="Malviya Nagar"/>
    <s v="Chanakyapuri"/>
    <n v="8.3000000000000007"/>
    <n v="43.7"/>
    <s v="null"/>
    <s v="null"/>
    <s v="null"/>
    <s v="null"/>
    <s v="null"/>
    <s v="null"/>
    <n v="234"/>
    <n v="42.5"/>
    <n v="3.7"/>
    <n v="4.9000000000000004"/>
    <s v="Cash"/>
  </r>
  <r>
    <d v="2024-06-28T00:00:00"/>
    <s v="June"/>
    <d v="1899-12-30T10:22:29"/>
    <s v="&quot;CNR3712671&quot;"/>
    <s v="Cancelled by Driver"/>
    <s v="&quot;CID5160108&quot;"/>
    <x v="0"/>
    <s v="Mayur Vihar"/>
    <s v="Vidhan Sabha"/>
    <n v="11.9"/>
    <s v="null"/>
    <s v="null"/>
    <s v="null"/>
    <n v="1"/>
    <s v="The customer was coughing/sick"/>
    <s v="null"/>
    <s v="null"/>
    <s v="null"/>
    <s v="null"/>
    <s v="null"/>
    <s v="null"/>
    <s v="null"/>
  </r>
  <r>
    <d v="2024-11-30T00:00:00"/>
    <s v="November"/>
    <d v="1899-12-30T18:36:50"/>
    <s v="&quot;CNR8819329&quot;"/>
    <s v="Completed"/>
    <s v="&quot;CID6695773&quot;"/>
    <x v="1"/>
    <s v="Vaishali"/>
    <s v="Tilak Nagar"/>
    <n v="6"/>
    <n v="44.4"/>
    <s v="null"/>
    <s v="null"/>
    <s v="null"/>
    <s v="null"/>
    <s v="null"/>
    <s v="null"/>
    <n v="758"/>
    <n v="41.42"/>
    <n v="4.9000000000000004"/>
    <n v="3.6"/>
    <s v="Cash"/>
  </r>
  <r>
    <d v="2024-11-04T00:00:00"/>
    <s v="November"/>
    <d v="1899-12-30T13:46:26"/>
    <s v="&quot;CNR3734278&quot;"/>
    <s v="Incomplete"/>
    <s v="&quot;CID6462328&quot;"/>
    <x v="2"/>
    <s v="Kashmere Gate ISBT"/>
    <s v="Laxmi Nagar"/>
    <n v="7.9"/>
    <n v="16.7"/>
    <s v="null"/>
    <s v="null"/>
    <s v="null"/>
    <s v="null"/>
    <n v="1"/>
    <s v="Other Issue"/>
    <n v="629"/>
    <n v="17.52"/>
    <s v="null"/>
    <s v="null"/>
    <s v="UPI"/>
  </r>
  <r>
    <d v="2024-04-16T00:00:00"/>
    <s v="April"/>
    <d v="1899-12-30T19:41:40"/>
    <s v="&quot;CNR2472864&quot;"/>
    <s v="Completed"/>
    <s v="&quot;CID7156852&quot;"/>
    <x v="2"/>
    <s v="Maidan Garhi"/>
    <s v="Panchsheel Park"/>
    <n v="12.5"/>
    <n v="26.3"/>
    <s v="null"/>
    <s v="null"/>
    <s v="null"/>
    <s v="null"/>
    <s v="null"/>
    <s v="null"/>
    <n v="273"/>
    <n v="31.69"/>
    <n v="4.4000000000000004"/>
    <n v="4.8"/>
    <s v="UPI"/>
  </r>
  <r>
    <d v="2024-09-12T00:00:00"/>
    <s v="September"/>
    <d v="1899-12-30T05:52:14"/>
    <s v="&quot;CNR3239651&quot;"/>
    <s v="Completed"/>
    <s v="&quot;CID9573465&quot;"/>
    <x v="2"/>
    <s v="Yamuna Bank"/>
    <s v="Nirman Vihar"/>
    <n v="11.1"/>
    <n v="19.600000000000001"/>
    <s v="null"/>
    <s v="null"/>
    <s v="null"/>
    <s v="null"/>
    <s v="null"/>
    <s v="null"/>
    <n v="117"/>
    <n v="33.74"/>
    <n v="4.5"/>
    <n v="3.7"/>
    <s v="Debit Card"/>
  </r>
  <r>
    <d v="2024-06-07T00:00:00"/>
    <s v="June"/>
    <d v="1899-12-30T18:08:10"/>
    <s v="&quot;CNR2646387&quot;"/>
    <s v="Completed"/>
    <s v="&quot;CID8652330&quot;"/>
    <x v="1"/>
    <s v="Khan Market"/>
    <s v="Central Secretariat"/>
    <n v="13.3"/>
    <n v="15.8"/>
    <s v="null"/>
    <s v="null"/>
    <s v="null"/>
    <s v="null"/>
    <s v="null"/>
    <s v="null"/>
    <n v="955"/>
    <n v="36.82"/>
    <n v="3.7"/>
    <n v="3.7"/>
    <s v="UPI"/>
  </r>
  <r>
    <d v="2024-06-01T00:00:00"/>
    <s v="June"/>
    <d v="1899-12-30T15:55:36"/>
    <s v="&quot;CNR4724814&quot;"/>
    <s v="Completed"/>
    <s v="&quot;CID1251463&quot;"/>
    <x v="1"/>
    <s v="Pragati Maidan"/>
    <s v="Jama Masjid"/>
    <n v="9.6999999999999993"/>
    <n v="31.5"/>
    <s v="null"/>
    <s v="null"/>
    <s v="null"/>
    <s v="null"/>
    <s v="null"/>
    <s v="null"/>
    <n v="139"/>
    <n v="38.75"/>
    <n v="4.4000000000000004"/>
    <n v="4.3"/>
    <s v="UPI"/>
  </r>
  <r>
    <d v="2024-05-05T00:00:00"/>
    <s v="May"/>
    <d v="1899-12-30T14:17:24"/>
    <s v="&quot;CNR2200152&quot;"/>
    <s v="Completed"/>
    <s v="&quot;CID6635464&quot;"/>
    <x v="5"/>
    <s v="Mansarovar Park"/>
    <s v="Rohini"/>
    <n v="13.3"/>
    <n v="30.7"/>
    <s v="null"/>
    <s v="null"/>
    <s v="null"/>
    <s v="null"/>
    <s v="null"/>
    <s v="null"/>
    <n v="255"/>
    <n v="17.07"/>
    <n v="4.3"/>
    <n v="4.4000000000000004"/>
    <s v="Cash"/>
  </r>
  <r>
    <d v="2024-01-15T00:00:00"/>
    <s v="January"/>
    <d v="1899-12-30T17:05:26"/>
    <s v="&quot;CNR5060137&quot;"/>
    <s v="Completed"/>
    <s v="&quot;CID2961093&quot;"/>
    <x v="2"/>
    <s v="Rithala"/>
    <s v="Aya Nagar"/>
    <n v="9.5"/>
    <n v="18"/>
    <s v="null"/>
    <s v="null"/>
    <s v="null"/>
    <s v="null"/>
    <s v="null"/>
    <s v="null"/>
    <n v="1212"/>
    <n v="19.18"/>
    <n v="4.3"/>
    <n v="4.3"/>
    <s v="UPI"/>
  </r>
  <r>
    <d v="2024-07-08T00:00:00"/>
    <s v="July"/>
    <d v="1899-12-30T17:50:10"/>
    <s v="&quot;CNR9291876&quot;"/>
    <s v="Completed"/>
    <s v="&quot;CID9026677&quot;"/>
    <x v="1"/>
    <s v="Shastri Park"/>
    <s v="Indraprastha"/>
    <n v="10"/>
    <n v="23.6"/>
    <s v="null"/>
    <s v="null"/>
    <s v="null"/>
    <s v="null"/>
    <s v="null"/>
    <s v="null"/>
    <n v="81"/>
    <n v="23.93"/>
    <n v="4.7"/>
    <n v="3.9"/>
    <s v="Debit Card"/>
  </r>
  <r>
    <d v="2024-08-14T00:00:00"/>
    <s v="August"/>
    <d v="1899-12-30T17:41:00"/>
    <s v="&quot;CNR4212658&quot;"/>
    <s v="Completed"/>
    <s v="&quot;CID5774800&quot;"/>
    <x v="2"/>
    <s v="Cyber Hub"/>
    <s v="Udyog Bhawan"/>
    <n v="3.6"/>
    <n v="24.2"/>
    <s v="null"/>
    <s v="null"/>
    <s v="null"/>
    <s v="null"/>
    <s v="null"/>
    <s v="null"/>
    <n v="940"/>
    <n v="29.09"/>
    <n v="4.2"/>
    <n v="4.5999999999999996"/>
    <s v="UPI"/>
  </r>
  <r>
    <d v="2024-07-31T00:00:00"/>
    <s v="July"/>
    <d v="1899-12-30T17:07:36"/>
    <s v="&quot;CNR7677229&quot;"/>
    <s v="Cancelled by Driver"/>
    <s v="&quot;CID8986725&quot;"/>
    <x v="2"/>
    <s v="Jhilmil"/>
    <s v="Vidhan Sabha"/>
    <n v="8.5"/>
    <s v="null"/>
    <s v="null"/>
    <s v="null"/>
    <n v="1"/>
    <s v="The customer was coughing/sick"/>
    <s v="null"/>
    <s v="null"/>
    <s v="null"/>
    <s v="null"/>
    <s v="null"/>
    <s v="null"/>
    <s v="null"/>
  </r>
  <r>
    <d v="2024-05-08T00:00:00"/>
    <s v="May"/>
    <d v="1899-12-30T16:37:21"/>
    <s v="&quot;CNR4415643&quot;"/>
    <s v="Completed"/>
    <s v="&quot;CID4718297&quot;"/>
    <x v="0"/>
    <s v="Saidulajab"/>
    <s v="Hauz Khas"/>
    <n v="10"/>
    <n v="17.899999999999999"/>
    <s v="null"/>
    <s v="null"/>
    <s v="null"/>
    <s v="null"/>
    <s v="null"/>
    <s v="null"/>
    <n v="98"/>
    <n v="27.55"/>
    <n v="4.2"/>
    <n v="4.0999999999999996"/>
    <s v="Cash"/>
  </r>
  <r>
    <d v="2024-07-29T00:00:00"/>
    <s v="July"/>
    <d v="1899-12-30T12:28:32"/>
    <s v="&quot;CNR4092218&quot;"/>
    <s v="Completed"/>
    <s v="&quot;CID5726360&quot;"/>
    <x v="3"/>
    <s v="Tughlakabad"/>
    <s v="Meerut"/>
    <n v="5.9"/>
    <n v="15.5"/>
    <s v="null"/>
    <s v="null"/>
    <s v="null"/>
    <s v="null"/>
    <s v="null"/>
    <s v="null"/>
    <n v="724"/>
    <n v="14"/>
    <n v="4.0999999999999996"/>
    <n v="4.2"/>
    <s v="Cash"/>
  </r>
  <r>
    <d v="2024-08-09T00:00:00"/>
    <s v="August"/>
    <d v="1899-12-30T16:41:35"/>
    <s v="&quot;CNR8034979&quot;"/>
    <s v="Completed"/>
    <s v="&quot;CID1915443&quot;"/>
    <x v="0"/>
    <s v="Kashmere Gate"/>
    <s v="Karkarduma"/>
    <n v="8"/>
    <n v="25.3"/>
    <s v="null"/>
    <s v="null"/>
    <s v="null"/>
    <s v="null"/>
    <s v="null"/>
    <s v="null"/>
    <n v="749"/>
    <n v="47.3"/>
    <n v="4.4000000000000004"/>
    <n v="4.3"/>
    <s v="UPI"/>
  </r>
  <r>
    <d v="2024-08-15T00:00:00"/>
    <s v="August"/>
    <d v="1899-12-30T22:15:54"/>
    <s v="&quot;CNR7228014&quot;"/>
    <s v="No Driver Found"/>
    <s v="&quot;CID3515824&quot;"/>
    <x v="0"/>
    <s v="Madipur"/>
    <s v="Saket"/>
    <s v="null"/>
    <s v="null"/>
    <s v="null"/>
    <s v="null"/>
    <s v="null"/>
    <s v="null"/>
    <s v="null"/>
    <s v="null"/>
    <s v="null"/>
    <s v="null"/>
    <s v="null"/>
    <s v="null"/>
    <s v="null"/>
  </r>
  <r>
    <d v="2024-10-02T00:00:00"/>
    <s v="October"/>
    <d v="1899-12-30T09:10:13"/>
    <s v="&quot;CNR1435581&quot;"/>
    <s v="Completed"/>
    <s v="&quot;CID1856576&quot;"/>
    <x v="2"/>
    <s v="Shastri Park"/>
    <s v="Barakhamba Road"/>
    <n v="11.5"/>
    <n v="37.4"/>
    <s v="null"/>
    <s v="null"/>
    <s v="null"/>
    <s v="null"/>
    <s v="null"/>
    <s v="null"/>
    <n v="244"/>
    <n v="14.59"/>
    <n v="4.0999999999999996"/>
    <n v="4.8"/>
    <s v="UPI"/>
  </r>
  <r>
    <d v="2024-05-12T00:00:00"/>
    <s v="May"/>
    <d v="1899-12-30T01:09:07"/>
    <s v="&quot;CNR5373942&quot;"/>
    <s v="No Driver Found"/>
    <s v="&quot;CID7792143&quot;"/>
    <x v="2"/>
    <s v="Nawada"/>
    <s v="Jahangirpuri"/>
    <s v="null"/>
    <s v="null"/>
    <s v="null"/>
    <s v="null"/>
    <s v="null"/>
    <s v="null"/>
    <s v="null"/>
    <s v="null"/>
    <s v="null"/>
    <s v="null"/>
    <s v="null"/>
    <s v="null"/>
    <s v="null"/>
  </r>
  <r>
    <d v="2024-02-20T00:00:00"/>
    <s v="February"/>
    <d v="1899-12-30T18:51:34"/>
    <s v="&quot;CNR3434703&quot;"/>
    <s v="Incomplete"/>
    <s v="&quot;CID3333217&quot;"/>
    <x v="2"/>
    <s v="Shahdara"/>
    <s v="Bhiwadi"/>
    <n v="2.6"/>
    <n v="22.8"/>
    <s v="null"/>
    <s v="null"/>
    <s v="null"/>
    <s v="null"/>
    <n v="1"/>
    <s v="Vehicle Breakdown"/>
    <n v="351"/>
    <n v="8.68"/>
    <s v="null"/>
    <s v="null"/>
    <s v="UPI"/>
  </r>
  <r>
    <d v="2024-05-26T00:00:00"/>
    <s v="May"/>
    <d v="1899-12-30T20:45:58"/>
    <s v="&quot;CNR6987620&quot;"/>
    <s v="Completed"/>
    <s v="&quot;CID3121337&quot;"/>
    <x v="2"/>
    <s v="Tilak Nagar"/>
    <s v="Azadpur"/>
    <n v="5.4"/>
    <n v="28.9"/>
    <s v="null"/>
    <s v="null"/>
    <s v="null"/>
    <s v="null"/>
    <s v="null"/>
    <s v="null"/>
    <n v="585"/>
    <n v="34.14"/>
    <n v="4.5999999999999996"/>
    <n v="4.0999999999999996"/>
    <s v="Debit Card"/>
  </r>
  <r>
    <d v="2024-12-24T00:00:00"/>
    <s v="December"/>
    <d v="1899-12-30T10:30:20"/>
    <s v="&quot;CNR4132145&quot;"/>
    <s v="Completed"/>
    <s v="&quot;CID5140786&quot;"/>
    <x v="2"/>
    <s v="DLF Phase 3"/>
    <s v="Udyog Vihar Phase 4"/>
    <n v="6.4"/>
    <n v="44.7"/>
    <s v="null"/>
    <s v="null"/>
    <s v="null"/>
    <s v="null"/>
    <s v="null"/>
    <s v="null"/>
    <n v="554"/>
    <n v="31.79"/>
    <n v="4.3"/>
    <n v="4.5999999999999996"/>
    <s v="Cash"/>
  </r>
  <r>
    <d v="2024-06-07T00:00:00"/>
    <s v="June"/>
    <d v="1899-12-30T17:11:59"/>
    <s v="&quot;CNR8207805&quot;"/>
    <s v="Completed"/>
    <s v="&quot;CID6685791&quot;"/>
    <x v="4"/>
    <s v="Laxmi Nagar"/>
    <s v="Sohna Road"/>
    <n v="10.8"/>
    <n v="28.5"/>
    <s v="null"/>
    <s v="null"/>
    <s v="null"/>
    <s v="null"/>
    <s v="null"/>
    <s v="null"/>
    <n v="803"/>
    <n v="25.01"/>
    <n v="4.0999999999999996"/>
    <n v="4.5"/>
    <s v="Credit Card"/>
  </r>
  <r>
    <d v="2024-04-28T00:00:00"/>
    <s v="April"/>
    <d v="1899-12-30T19:59:01"/>
    <s v="&quot;CNR1438443&quot;"/>
    <s v="Completed"/>
    <s v="&quot;CID5468663&quot;"/>
    <x v="5"/>
    <s v="Huda City Centre"/>
    <s v="Akshardham"/>
    <n v="9.4"/>
    <n v="24.8"/>
    <s v="null"/>
    <s v="null"/>
    <s v="null"/>
    <s v="null"/>
    <s v="null"/>
    <s v="null"/>
    <n v="388"/>
    <n v="17.559999999999999"/>
    <n v="4.2"/>
    <n v="4.7"/>
    <s v="UPI"/>
  </r>
  <r>
    <d v="2024-01-26T00:00:00"/>
    <s v="January"/>
    <d v="1899-12-30T18:13:59"/>
    <s v="&quot;CNR6129081&quot;"/>
    <s v="Cancelled by Customer"/>
    <s v="&quot;CID2998238&quot;"/>
    <x v="4"/>
    <s v="Shastri Nagar"/>
    <s v="Shivaji Park"/>
    <n v="7"/>
    <s v="null"/>
    <n v="1"/>
    <s v="Wrong Address"/>
    <s v="null"/>
    <s v="null"/>
    <s v="null"/>
    <s v="null"/>
    <s v="null"/>
    <s v="null"/>
    <s v="null"/>
    <s v="null"/>
    <s v="null"/>
  </r>
  <r>
    <d v="2024-01-18T00:00:00"/>
    <s v="January"/>
    <d v="1899-12-30T23:04:30"/>
    <s v="&quot;CNR1361929&quot;"/>
    <s v="Completed"/>
    <s v="&quot;CID9052724&quot;"/>
    <x v="5"/>
    <s v="Uttam Nagar"/>
    <s v="Greater Kailash"/>
    <n v="11.2"/>
    <n v="38.5"/>
    <s v="null"/>
    <s v="null"/>
    <s v="null"/>
    <s v="null"/>
    <s v="null"/>
    <s v="null"/>
    <n v="192"/>
    <n v="48.96"/>
    <n v="3.1"/>
    <n v="4.5999999999999996"/>
    <s v="UPI"/>
  </r>
  <r>
    <d v="2024-04-15T00:00:00"/>
    <s v="April"/>
    <d v="1899-12-30T19:03:28"/>
    <s v="&quot;CNR2687237&quot;"/>
    <s v="Completed"/>
    <s v="&quot;CID4887972&quot;"/>
    <x v="5"/>
    <s v="Mehrauli"/>
    <s v="Nawada"/>
    <n v="9"/>
    <n v="39.1"/>
    <s v="null"/>
    <s v="null"/>
    <s v="null"/>
    <s v="null"/>
    <s v="null"/>
    <s v="null"/>
    <n v="79"/>
    <n v="32.909999999999997"/>
    <n v="4.4000000000000004"/>
    <n v="3.8"/>
    <s v="Uber Wallet"/>
  </r>
  <r>
    <d v="2024-12-19T00:00:00"/>
    <s v="December"/>
    <d v="1899-12-30T20:42:59"/>
    <s v="&quot;CNR7486337&quot;"/>
    <s v="No Driver Found"/>
    <s v="&quot;CID8581638&quot;"/>
    <x v="5"/>
    <s v="Mansarovar Park"/>
    <s v="Manesar"/>
    <s v="null"/>
    <s v="null"/>
    <s v="null"/>
    <s v="null"/>
    <s v="null"/>
    <s v="null"/>
    <s v="null"/>
    <s v="null"/>
    <s v="null"/>
    <s v="null"/>
    <s v="null"/>
    <s v="null"/>
    <s v="null"/>
  </r>
  <r>
    <d v="2024-01-22T00:00:00"/>
    <s v="January"/>
    <d v="1899-12-30T18:23:40"/>
    <s v="&quot;CNR4269906&quot;"/>
    <s v="Completed"/>
    <s v="&quot;CID9683944&quot;"/>
    <x v="4"/>
    <s v="Lajpat Nagar"/>
    <s v="Okhla"/>
    <n v="2.4"/>
    <n v="26.6"/>
    <s v="null"/>
    <s v="null"/>
    <s v="null"/>
    <s v="null"/>
    <s v="null"/>
    <s v="null"/>
    <n v="242"/>
    <n v="45.7"/>
    <n v="4"/>
    <n v="4.9000000000000004"/>
    <s v="UPI"/>
  </r>
  <r>
    <d v="2024-08-08T00:00:00"/>
    <s v="August"/>
    <d v="1899-12-30T21:13:51"/>
    <s v="&quot;CNR1224347&quot;"/>
    <s v="Cancelled by Customer"/>
    <s v="&quot;CID5493342&quot;"/>
    <x v="1"/>
    <s v="Patel Chowk"/>
    <s v="Nirman Vihar"/>
    <n v="13.4"/>
    <s v="null"/>
    <n v="1"/>
    <s v="Driver asked to cancel"/>
    <s v="null"/>
    <s v="null"/>
    <s v="null"/>
    <s v="null"/>
    <s v="null"/>
    <s v="null"/>
    <s v="null"/>
    <s v="null"/>
    <s v="null"/>
  </r>
  <r>
    <d v="2024-05-21T00:00:00"/>
    <s v="May"/>
    <d v="1899-12-30T20:31:57"/>
    <s v="&quot;CNR1401386&quot;"/>
    <s v="Completed"/>
    <s v="&quot;CID2154950&quot;"/>
    <x v="5"/>
    <s v="Botanical Garden"/>
    <s v="Azadpur"/>
    <n v="5.4"/>
    <n v="32.6"/>
    <s v="null"/>
    <s v="null"/>
    <s v="null"/>
    <s v="null"/>
    <s v="null"/>
    <s v="null"/>
    <n v="323"/>
    <n v="38.32"/>
    <n v="4.4000000000000004"/>
    <n v="3.7"/>
    <s v="Uber Wallet"/>
  </r>
  <r>
    <d v="2024-08-17T00:00:00"/>
    <s v="August"/>
    <d v="1899-12-30T12:35:03"/>
    <s v="&quot;CNR2013487&quot;"/>
    <s v="Cancelled by Driver"/>
    <s v="&quot;CID4175153&quot;"/>
    <x v="2"/>
    <s v="Bahadurgarh"/>
    <s v="Pragati Maidan"/>
    <n v="7.7"/>
    <s v="null"/>
    <s v="null"/>
    <s v="null"/>
    <n v="1"/>
    <s v="Customer related issue"/>
    <s v="null"/>
    <s v="null"/>
    <s v="null"/>
    <s v="null"/>
    <s v="null"/>
    <s v="null"/>
    <s v="null"/>
  </r>
  <r>
    <d v="2024-06-02T00:00:00"/>
    <s v="June"/>
    <d v="1899-12-30T21:27:23"/>
    <s v="&quot;CNR7409512&quot;"/>
    <s v="Completed"/>
    <s v="&quot;CID5474366&quot;"/>
    <x v="2"/>
    <s v="Karol Bagh"/>
    <s v="Palam Vihar"/>
    <n v="5.4"/>
    <n v="24.4"/>
    <s v="null"/>
    <s v="null"/>
    <s v="null"/>
    <s v="null"/>
    <s v="null"/>
    <s v="null"/>
    <n v="799"/>
    <n v="9.1"/>
    <n v="4.2"/>
    <n v="4.5999999999999996"/>
    <s v="UPI"/>
  </r>
  <r>
    <d v="2024-03-11T00:00:00"/>
    <s v="March"/>
    <d v="1899-12-30T22:20:11"/>
    <s v="&quot;CNR7658099&quot;"/>
    <s v="Cancelled by Customer"/>
    <s v="&quot;CID8951576&quot;"/>
    <x v="0"/>
    <s v="Azadpur"/>
    <s v="Raj Nagar Extension"/>
    <n v="19.100000000000001"/>
    <s v="null"/>
    <n v="1"/>
    <s v="Change of plans"/>
    <s v="null"/>
    <s v="null"/>
    <s v="null"/>
    <s v="null"/>
    <s v="null"/>
    <s v="null"/>
    <s v="null"/>
    <s v="null"/>
    <s v="null"/>
  </r>
  <r>
    <d v="2024-11-20T00:00:00"/>
    <s v="November"/>
    <d v="1899-12-30T16:42:58"/>
    <s v="&quot;CNR1980045&quot;"/>
    <s v="Completed"/>
    <s v="&quot;CID9418411&quot;"/>
    <x v="3"/>
    <s v="Ramesh Nagar"/>
    <s v="Greater Kailash"/>
    <n v="2.9"/>
    <n v="39.299999999999997"/>
    <s v="null"/>
    <s v="null"/>
    <s v="null"/>
    <s v="null"/>
    <s v="null"/>
    <s v="null"/>
    <n v="134"/>
    <n v="49.26"/>
    <n v="4.0999999999999996"/>
    <n v="4.9000000000000004"/>
    <s v="UPI"/>
  </r>
  <r>
    <d v="2024-10-23T00:00:00"/>
    <s v="October"/>
    <d v="1899-12-30T10:50:53"/>
    <s v="&quot;CNR8584951&quot;"/>
    <s v="Cancelled by Driver"/>
    <s v="&quot;CID2820460&quot;"/>
    <x v="5"/>
    <s v="Malviya Nagar"/>
    <s v="Lajpat Nagar"/>
    <n v="3.9"/>
    <s v="null"/>
    <s v="null"/>
    <s v="null"/>
    <n v="1"/>
    <s v="More than permitted people in there"/>
    <s v="null"/>
    <s v="null"/>
    <s v="null"/>
    <s v="null"/>
    <s v="null"/>
    <s v="null"/>
    <s v="null"/>
  </r>
  <r>
    <d v="2024-08-10T00:00:00"/>
    <s v="August"/>
    <d v="1899-12-30T18:36:43"/>
    <s v="&quot;CNR2607733&quot;"/>
    <s v="Cancelled by Customer"/>
    <s v="&quot;CID5637874&quot;"/>
    <x v="4"/>
    <s v="Dwarka Sector 21"/>
    <s v="Malviya Nagar"/>
    <n v="18.5"/>
    <s v="null"/>
    <n v="1"/>
    <s v="Change of plans"/>
    <s v="null"/>
    <s v="null"/>
    <s v="null"/>
    <s v="null"/>
    <s v="null"/>
    <s v="null"/>
    <s v="null"/>
    <s v="null"/>
    <s v="null"/>
  </r>
  <r>
    <d v="2024-05-06T00:00:00"/>
    <s v="May"/>
    <d v="1899-12-30T19:24:18"/>
    <s v="&quot;CNR6693847&quot;"/>
    <s v="Cancelled by Customer"/>
    <s v="&quot;CID6386344&quot;"/>
    <x v="4"/>
    <s v="Noida Film City"/>
    <s v="Keshav Puram"/>
    <n v="16.100000000000001"/>
    <s v="null"/>
    <n v="1"/>
    <s v="Driver asked to cancel"/>
    <s v="null"/>
    <s v="null"/>
    <s v="null"/>
    <s v="null"/>
    <s v="null"/>
    <s v="null"/>
    <s v="null"/>
    <s v="null"/>
    <s v="null"/>
  </r>
  <r>
    <d v="2024-11-13T00:00:00"/>
    <s v="November"/>
    <d v="1899-12-30T06:51:43"/>
    <s v="&quot;CNR9749627&quot;"/>
    <s v="Completed"/>
    <s v="&quot;CID3065827&quot;"/>
    <x v="1"/>
    <s v="Nirman Vihar"/>
    <s v="Satguru Ram Singh Marg"/>
    <n v="13.7"/>
    <n v="40.700000000000003"/>
    <s v="null"/>
    <s v="null"/>
    <s v="null"/>
    <s v="null"/>
    <s v="null"/>
    <s v="null"/>
    <n v="113"/>
    <n v="8.2100000000000009"/>
    <n v="4.3"/>
    <n v="5"/>
    <s v="UPI"/>
  </r>
  <r>
    <d v="2024-09-16T00:00:00"/>
    <s v="September"/>
    <d v="1899-12-30T16:07:51"/>
    <s v="&quot;CNR1706908&quot;"/>
    <s v="Incomplete"/>
    <s v="&quot;CID1807270&quot;"/>
    <x v="5"/>
    <s v="Pragati Maidan"/>
    <s v="Faridabad Sector 15"/>
    <n v="2.2999999999999998"/>
    <n v="19.600000000000001"/>
    <s v="null"/>
    <s v="null"/>
    <s v="null"/>
    <s v="null"/>
    <n v="1"/>
    <s v="Vehicle Breakdown"/>
    <n v="84"/>
    <n v="16.09"/>
    <s v="null"/>
    <s v="null"/>
    <s v="Uber Wallet"/>
  </r>
  <r>
    <d v="2024-05-16T00:00:00"/>
    <s v="May"/>
    <d v="1899-12-30T12:35:33"/>
    <s v="&quot;CNR6236514&quot;"/>
    <s v="Completed"/>
    <s v="&quot;CID3761463&quot;"/>
    <x v="2"/>
    <s v="Tughlakabad"/>
    <s v="Ramesh Nagar"/>
    <n v="12.1"/>
    <n v="32.5"/>
    <s v="null"/>
    <s v="null"/>
    <s v="null"/>
    <s v="null"/>
    <s v="null"/>
    <s v="null"/>
    <n v="81"/>
    <n v="11.94"/>
    <n v="4"/>
    <n v="4.5"/>
    <s v="UPI"/>
  </r>
  <r>
    <d v="2024-02-15T00:00:00"/>
    <s v="February"/>
    <d v="1899-12-30T19:11:02"/>
    <s v="&quot;CNR9048385&quot;"/>
    <s v="Completed"/>
    <s v="&quot;CID5242973&quot;"/>
    <x v="1"/>
    <s v="India Gate"/>
    <s v="Kashmere Gate"/>
    <n v="4.5"/>
    <n v="43.1"/>
    <s v="null"/>
    <s v="null"/>
    <s v="null"/>
    <s v="null"/>
    <s v="null"/>
    <s v="null"/>
    <n v="992"/>
    <n v="8.23"/>
    <n v="5"/>
    <n v="4.5999999999999996"/>
    <s v="UPI"/>
  </r>
  <r>
    <d v="2024-08-01T00:00:00"/>
    <s v="August"/>
    <d v="1899-12-30T06:16:08"/>
    <s v="&quot;CNR1903168&quot;"/>
    <s v="Completed"/>
    <s v="&quot;CID1051794&quot;"/>
    <x v="3"/>
    <s v="Maidan Garhi"/>
    <s v="Samaypur Badli"/>
    <n v="3.6"/>
    <n v="26.5"/>
    <s v="null"/>
    <s v="null"/>
    <s v="null"/>
    <s v="null"/>
    <s v="null"/>
    <s v="null"/>
    <n v="513"/>
    <n v="49.5"/>
    <n v="4.3"/>
    <n v="4.9000000000000004"/>
    <s v="UPI"/>
  </r>
  <r>
    <d v="2024-05-02T00:00:00"/>
    <s v="May"/>
    <d v="1899-12-30T19:16:35"/>
    <s v="&quot;CNR2922907&quot;"/>
    <s v="Completed"/>
    <s v="&quot;CID4507250&quot;"/>
    <x v="3"/>
    <s v="Barakhamba Road"/>
    <s v="Noida Film City"/>
    <n v="5.8"/>
    <n v="38.9"/>
    <s v="null"/>
    <s v="null"/>
    <s v="null"/>
    <s v="null"/>
    <s v="null"/>
    <s v="null"/>
    <n v="635"/>
    <n v="37.369999999999997"/>
    <n v="4.3"/>
    <n v="4.5999999999999996"/>
    <s v="UPI"/>
  </r>
  <r>
    <d v="2024-08-27T00:00:00"/>
    <s v="August"/>
    <d v="1899-12-30T06:04:30"/>
    <s v="&quot;CNR7621341&quot;"/>
    <s v="Completed"/>
    <s v="&quot;CID1429306&quot;"/>
    <x v="6"/>
    <s v="Kashmere Gate"/>
    <s v="Jor Bagh"/>
    <n v="6.9"/>
    <n v="17"/>
    <s v="null"/>
    <s v="null"/>
    <s v="null"/>
    <s v="null"/>
    <s v="null"/>
    <s v="null"/>
    <n v="242"/>
    <n v="35.380000000000003"/>
    <n v="4.4000000000000004"/>
    <n v="4.9000000000000004"/>
    <s v="UPI"/>
  </r>
  <r>
    <d v="2024-10-20T00:00:00"/>
    <s v="October"/>
    <d v="1899-12-30T12:47:05"/>
    <s v="&quot;CNR5803828&quot;"/>
    <s v="Completed"/>
    <s v="&quot;CID1039074&quot;"/>
    <x v="4"/>
    <s v="Barakhamba Road"/>
    <s v="DLF City Court"/>
    <n v="12.5"/>
    <n v="20.6"/>
    <s v="null"/>
    <s v="null"/>
    <s v="null"/>
    <s v="null"/>
    <s v="null"/>
    <s v="null"/>
    <n v="1114"/>
    <n v="34.81"/>
    <n v="4.0999999999999996"/>
    <n v="4.2"/>
    <s v="Uber Wallet"/>
  </r>
  <r>
    <d v="2024-06-25T00:00:00"/>
    <s v="June"/>
    <d v="1899-12-30T23:08:22"/>
    <s v="&quot;CNR4868713&quot;"/>
    <s v="Completed"/>
    <s v="&quot;CID2089650&quot;"/>
    <x v="4"/>
    <s v="Gurgaon Sector 56"/>
    <s v="Cyber Hub"/>
    <n v="9"/>
    <n v="37.700000000000003"/>
    <s v="null"/>
    <s v="null"/>
    <s v="null"/>
    <s v="null"/>
    <s v="null"/>
    <s v="null"/>
    <n v="372"/>
    <n v="20.92"/>
    <n v="3.8"/>
    <n v="4.5999999999999996"/>
    <s v="UPI"/>
  </r>
  <r>
    <d v="2024-02-13T00:00:00"/>
    <s v="February"/>
    <d v="1899-12-30T06:11:32"/>
    <s v="&quot;CNR2575334&quot;"/>
    <s v="Cancelled by Driver"/>
    <s v="&quot;CID7330180&quot;"/>
    <x v="4"/>
    <s v="Ghitorni Village"/>
    <s v="Faridabad Sector 15"/>
    <n v="6.2"/>
    <s v="null"/>
    <s v="null"/>
    <s v="null"/>
    <n v="1"/>
    <s v="The customer was coughing/sick"/>
    <s v="null"/>
    <s v="null"/>
    <s v="null"/>
    <s v="null"/>
    <s v="null"/>
    <s v="null"/>
    <s v="null"/>
  </r>
  <r>
    <d v="2024-07-10T00:00:00"/>
    <s v="July"/>
    <d v="1899-12-30T16:51:38"/>
    <s v="&quot;CNR3841045&quot;"/>
    <s v="Completed"/>
    <s v="&quot;CID1210899&quot;"/>
    <x v="5"/>
    <s v="Ashram"/>
    <s v="Yamuna Bank"/>
    <n v="3.5"/>
    <n v="40.200000000000003"/>
    <s v="null"/>
    <s v="null"/>
    <s v="null"/>
    <s v="null"/>
    <s v="null"/>
    <s v="null"/>
    <n v="387"/>
    <n v="23.39"/>
    <n v="4.3"/>
    <n v="4.7"/>
    <s v="Uber Wallet"/>
  </r>
  <r>
    <d v="2024-06-10T00:00:00"/>
    <s v="June"/>
    <d v="1899-12-30T07:38:34"/>
    <s v="&quot;CNR5265040&quot;"/>
    <s v="Completed"/>
    <s v="&quot;CID3076700&quot;"/>
    <x v="1"/>
    <s v="Gurgaon Sector 29"/>
    <s v="Mansarovar Park"/>
    <n v="7.1"/>
    <n v="31.6"/>
    <s v="null"/>
    <s v="null"/>
    <s v="null"/>
    <s v="null"/>
    <s v="null"/>
    <s v="null"/>
    <n v="767"/>
    <n v="30.82"/>
    <n v="4.5999999999999996"/>
    <n v="4.9000000000000004"/>
    <s v="UPI"/>
  </r>
  <r>
    <d v="2024-07-11T00:00:00"/>
    <s v="July"/>
    <d v="1899-12-30T14:42:27"/>
    <s v="&quot;CNR8112878&quot;"/>
    <s v="Completed"/>
    <s v="&quot;CID4809063&quot;"/>
    <x v="2"/>
    <s v="Shahdara"/>
    <s v="Paharganj"/>
    <n v="7.1"/>
    <n v="24.4"/>
    <s v="null"/>
    <s v="null"/>
    <s v="null"/>
    <s v="null"/>
    <s v="null"/>
    <s v="null"/>
    <n v="447"/>
    <n v="21.31"/>
    <n v="4.5"/>
    <n v="4.0999999999999996"/>
    <s v="UPI"/>
  </r>
  <r>
    <d v="2024-06-20T00:00:00"/>
    <s v="June"/>
    <d v="1899-12-30T07:14:32"/>
    <s v="&quot;CNR4617937&quot;"/>
    <s v="Completed"/>
    <s v="&quot;CID7348314&quot;"/>
    <x v="3"/>
    <s v="Sultanpur"/>
    <s v="Delhi Gate"/>
    <n v="6.7"/>
    <n v="33.5"/>
    <s v="null"/>
    <s v="null"/>
    <s v="null"/>
    <s v="null"/>
    <s v="null"/>
    <s v="null"/>
    <n v="500"/>
    <n v="20.41"/>
    <n v="4.3"/>
    <n v="4.7"/>
    <s v="Credit Card"/>
  </r>
  <r>
    <d v="2024-11-18T00:00:00"/>
    <s v="November"/>
    <d v="1899-12-30T16:38:12"/>
    <s v="&quot;CNR7311169&quot;"/>
    <s v="Cancelled by Driver"/>
    <s v="&quot;CID2529885&quot;"/>
    <x v="0"/>
    <s v="Noida Film City"/>
    <s v="Vasant Kunj"/>
    <n v="7.2"/>
    <s v="null"/>
    <s v="null"/>
    <s v="null"/>
    <n v="1"/>
    <s v="Personal &amp; Car related issues"/>
    <s v="null"/>
    <s v="null"/>
    <s v="null"/>
    <s v="null"/>
    <s v="null"/>
    <s v="null"/>
    <s v="null"/>
  </r>
  <r>
    <d v="2024-03-05T00:00:00"/>
    <s v="March"/>
    <d v="1899-12-30T12:21:00"/>
    <s v="&quot;CNR7340396&quot;"/>
    <s v="Completed"/>
    <s v="&quot;CID7334750&quot;"/>
    <x v="5"/>
    <s v="Gurgaon Sector 29"/>
    <s v="Dilshad Garden"/>
    <n v="3.7"/>
    <n v="38.9"/>
    <s v="null"/>
    <s v="null"/>
    <s v="null"/>
    <s v="null"/>
    <s v="null"/>
    <s v="null"/>
    <n v="446"/>
    <n v="25.94"/>
    <n v="4.9000000000000004"/>
    <n v="4.3"/>
    <s v="Debit Card"/>
  </r>
  <r>
    <d v="2024-01-12T00:00:00"/>
    <s v="January"/>
    <d v="1899-12-30T09:19:16"/>
    <s v="&quot;CNR4259279&quot;"/>
    <s v="Cancelled by Driver"/>
    <s v="&quot;CID7993999&quot;"/>
    <x v="0"/>
    <s v="Jor Bagh"/>
    <s v="Golf Course Road"/>
    <n v="11.6"/>
    <s v="null"/>
    <s v="null"/>
    <s v="null"/>
    <n v="1"/>
    <s v="The customer was coughing/sick"/>
    <s v="null"/>
    <s v="null"/>
    <s v="null"/>
    <s v="null"/>
    <s v="null"/>
    <s v="null"/>
    <s v="null"/>
  </r>
  <r>
    <d v="2024-05-17T00:00:00"/>
    <s v="May"/>
    <d v="1899-12-30T01:08:21"/>
    <s v="&quot;CNR7554746&quot;"/>
    <s v="Completed"/>
    <s v="&quot;CID3234126&quot;"/>
    <x v="0"/>
    <s v="Huda City Centre"/>
    <s v="Aya Nagar"/>
    <n v="2.6"/>
    <n v="32.9"/>
    <s v="null"/>
    <s v="null"/>
    <s v="null"/>
    <s v="null"/>
    <s v="null"/>
    <s v="null"/>
    <n v="125"/>
    <n v="39.159999999999997"/>
    <n v="4.0999999999999996"/>
    <n v="4.9000000000000004"/>
    <s v="UPI"/>
  </r>
  <r>
    <d v="2024-05-13T00:00:00"/>
    <s v="May"/>
    <d v="1899-12-30T21:08:35"/>
    <s v="&quot;CNR9430550&quot;"/>
    <s v="Completed"/>
    <s v="&quot;CID3901448&quot;"/>
    <x v="1"/>
    <s v="Dilshad Garden"/>
    <s v="Subhash Nagar"/>
    <n v="11.4"/>
    <n v="17.2"/>
    <s v="null"/>
    <s v="null"/>
    <s v="null"/>
    <s v="null"/>
    <s v="null"/>
    <s v="null"/>
    <n v="419"/>
    <n v="23.79"/>
    <n v="4.3"/>
    <n v="4.7"/>
    <s v="Uber Wallet"/>
  </r>
  <r>
    <d v="2024-01-04T00:00:00"/>
    <s v="January"/>
    <d v="1899-12-30T06:58:58"/>
    <s v="&quot;CNR9984761&quot;"/>
    <s v="Cancelled by Driver"/>
    <s v="&quot;CID1201304&quot;"/>
    <x v="1"/>
    <s v="Saket"/>
    <s v="Old Gurgaon"/>
    <n v="3.3"/>
    <s v="null"/>
    <s v="null"/>
    <s v="null"/>
    <n v="1"/>
    <s v="More than permitted people in there"/>
    <s v="null"/>
    <s v="null"/>
    <s v="null"/>
    <s v="null"/>
    <s v="null"/>
    <s v="null"/>
    <s v="null"/>
  </r>
  <r>
    <d v="2024-06-19T00:00:00"/>
    <s v="June"/>
    <d v="1899-12-30T22:02:03"/>
    <s v="&quot;CNR4112922&quot;"/>
    <s v="Completed"/>
    <s v="&quot;CID8248967&quot;"/>
    <x v="1"/>
    <s v="Basai Dhankot"/>
    <s v="Qutub Minar"/>
    <n v="4.7"/>
    <n v="17.7"/>
    <s v="null"/>
    <s v="null"/>
    <s v="null"/>
    <s v="null"/>
    <s v="null"/>
    <s v="null"/>
    <n v="477"/>
    <n v="41.93"/>
    <n v="4.5999999999999996"/>
    <n v="4.9000000000000004"/>
    <s v="Cash"/>
  </r>
  <r>
    <d v="2024-07-01T00:00:00"/>
    <s v="July"/>
    <d v="1899-12-30T18:52:02"/>
    <s v="&quot;CNR5939223&quot;"/>
    <s v="Cancelled by Driver"/>
    <s v="&quot;CID1109267&quot;"/>
    <x v="1"/>
    <s v="Basai Dhankot"/>
    <s v="Mandi House"/>
    <n v="5.8"/>
    <s v="null"/>
    <s v="null"/>
    <s v="null"/>
    <n v="1"/>
    <s v="The customer was coughing/sick"/>
    <s v="null"/>
    <s v="null"/>
    <s v="null"/>
    <s v="null"/>
    <s v="null"/>
    <s v="null"/>
    <s v="null"/>
  </r>
  <r>
    <d v="2024-11-05T00:00:00"/>
    <s v="November"/>
    <d v="1899-12-30T17:11:41"/>
    <s v="&quot;CNR7645307&quot;"/>
    <s v="Cancelled by Driver"/>
    <s v="&quot;CID6238168&quot;"/>
    <x v="1"/>
    <s v="Jor Bagh"/>
    <s v="Sadar Bazar Gurgaon"/>
    <n v="8"/>
    <s v="null"/>
    <s v="null"/>
    <s v="null"/>
    <n v="1"/>
    <s v="Customer related issue"/>
    <s v="null"/>
    <s v="null"/>
    <s v="null"/>
    <s v="null"/>
    <s v="null"/>
    <s v="null"/>
    <s v="null"/>
  </r>
  <r>
    <d v="2024-04-26T00:00:00"/>
    <s v="April"/>
    <d v="1899-12-30T21:03:12"/>
    <s v="&quot;CNR4722464&quot;"/>
    <s v="Completed"/>
    <s v="&quot;CID7557487&quot;"/>
    <x v="2"/>
    <s v="Anand Vihar"/>
    <s v="IMT Manesar"/>
    <n v="11.3"/>
    <n v="33"/>
    <s v="null"/>
    <s v="null"/>
    <s v="null"/>
    <s v="null"/>
    <s v="null"/>
    <s v="null"/>
    <n v="352"/>
    <n v="6.71"/>
    <n v="4.2"/>
    <n v="4.7"/>
    <s v="UPI"/>
  </r>
  <r>
    <d v="2024-02-22T00:00:00"/>
    <s v="February"/>
    <d v="1899-12-30T22:48:26"/>
    <s v="&quot;CNR3191144&quot;"/>
    <s v="Cancelled by Driver"/>
    <s v="&quot;CID5636263&quot;"/>
    <x v="4"/>
    <s v="Ashram"/>
    <s v="Bhiwadi"/>
    <n v="11.1"/>
    <s v="null"/>
    <s v="null"/>
    <s v="null"/>
    <n v="1"/>
    <s v="Customer related issue"/>
    <s v="null"/>
    <s v="null"/>
    <s v="null"/>
    <s v="null"/>
    <s v="null"/>
    <s v="null"/>
    <s v="null"/>
  </r>
  <r>
    <d v="2024-12-04T00:00:00"/>
    <s v="December"/>
    <d v="1899-12-30T14:09:18"/>
    <s v="&quot;CNR4720063&quot;"/>
    <s v="Completed"/>
    <s v="&quot;CID1461597&quot;"/>
    <x v="1"/>
    <s v="Munirka"/>
    <s v="Sushant Lok"/>
    <n v="7.4"/>
    <n v="39"/>
    <s v="null"/>
    <s v="null"/>
    <s v="null"/>
    <s v="null"/>
    <s v="null"/>
    <s v="null"/>
    <n v="117"/>
    <n v="15.63"/>
    <n v="4.5999999999999996"/>
    <n v="4.5"/>
    <s v="UPI"/>
  </r>
  <r>
    <d v="2024-11-10T00:00:00"/>
    <s v="November"/>
    <d v="1899-12-30T09:58:14"/>
    <s v="&quot;CNR6216825&quot;"/>
    <s v="Cancelled by Driver"/>
    <s v="&quot;CID3685295&quot;"/>
    <x v="1"/>
    <s v="Vishwavidyalaya"/>
    <s v="Bhikaji Cama Place"/>
    <n v="9.4"/>
    <s v="null"/>
    <s v="null"/>
    <s v="null"/>
    <n v="1"/>
    <s v="More than permitted people in there"/>
    <s v="null"/>
    <s v="null"/>
    <s v="null"/>
    <s v="null"/>
    <s v="null"/>
    <s v="null"/>
    <s v="null"/>
  </r>
  <r>
    <d v="2024-12-12T00:00:00"/>
    <s v="December"/>
    <d v="1899-12-30T12:01:07"/>
    <s v="&quot;CNR5314934&quot;"/>
    <s v="Completed"/>
    <s v="&quot;CID1026547&quot;"/>
    <x v="1"/>
    <s v="Tis Hazari"/>
    <s v="Arjangarh"/>
    <n v="9.3000000000000007"/>
    <n v="28.5"/>
    <s v="null"/>
    <s v="null"/>
    <s v="null"/>
    <s v="null"/>
    <s v="null"/>
    <s v="null"/>
    <n v="51"/>
    <n v="29.8"/>
    <n v="4.5999999999999996"/>
    <n v="3.9"/>
    <s v="UPI"/>
  </r>
  <r>
    <d v="2024-03-02T00:00:00"/>
    <s v="March"/>
    <d v="1899-12-30T22:28:52"/>
    <s v="&quot;CNR5517193&quot;"/>
    <s v="Completed"/>
    <s v="&quot;CID9143442&quot;"/>
    <x v="6"/>
    <s v="Malviya Nagar"/>
    <s v="Sohna Road"/>
    <n v="6"/>
    <n v="26.6"/>
    <s v="null"/>
    <s v="null"/>
    <s v="null"/>
    <s v="null"/>
    <s v="null"/>
    <s v="null"/>
    <n v="81"/>
    <n v="5.59"/>
    <n v="4.9000000000000004"/>
    <n v="4.2"/>
    <s v="Cash"/>
  </r>
  <r>
    <d v="2024-07-12T00:00:00"/>
    <s v="July"/>
    <d v="1899-12-30T16:39:57"/>
    <s v="&quot;CNR8412946&quot;"/>
    <s v="Cancelled by Driver"/>
    <s v="&quot;CID7723858&quot;"/>
    <x v="5"/>
    <s v="Nawada"/>
    <s v="Hero Honda Chowk"/>
    <n v="8.1999999999999993"/>
    <s v="null"/>
    <s v="null"/>
    <s v="null"/>
    <n v="1"/>
    <s v="The customer was coughing/sick"/>
    <s v="null"/>
    <s v="null"/>
    <s v="null"/>
    <s v="null"/>
    <s v="null"/>
    <s v="null"/>
    <s v="null"/>
  </r>
  <r>
    <d v="2024-12-17T00:00:00"/>
    <s v="December"/>
    <d v="1899-12-30T19:11:24"/>
    <s v="&quot;CNR1867567&quot;"/>
    <s v="Incomplete"/>
    <s v="&quot;CID6010303&quot;"/>
    <x v="3"/>
    <s v="Qutub Minar"/>
    <s v="Ghitorni"/>
    <n v="7.2"/>
    <n v="18.399999999999999"/>
    <s v="null"/>
    <s v="null"/>
    <s v="null"/>
    <s v="null"/>
    <n v="1"/>
    <s v="Customer Demand"/>
    <n v="635"/>
    <n v="6.57"/>
    <s v="null"/>
    <s v="null"/>
    <s v="UPI"/>
  </r>
  <r>
    <d v="2024-08-29T00:00:00"/>
    <s v="August"/>
    <d v="1899-12-30T21:01:54"/>
    <s v="&quot;CNR3455701&quot;"/>
    <s v="Completed"/>
    <s v="&quot;CID9643714&quot;"/>
    <x v="4"/>
    <s v="Munirka"/>
    <s v="Tis Hazari"/>
    <n v="13.5"/>
    <n v="41.8"/>
    <s v="null"/>
    <s v="null"/>
    <s v="null"/>
    <s v="null"/>
    <s v="null"/>
    <s v="null"/>
    <n v="51"/>
    <n v="4.4400000000000004"/>
    <n v="4.4000000000000004"/>
    <n v="4.7"/>
    <s v="Uber Wallet"/>
  </r>
  <r>
    <d v="2024-03-25T00:00:00"/>
    <s v="March"/>
    <d v="1899-12-30T18:40:11"/>
    <s v="&quot;CNR5149854&quot;"/>
    <s v="Completed"/>
    <s v="&quot;CID9975388&quot;"/>
    <x v="1"/>
    <s v="Akshardham"/>
    <s v="IGNOU Road"/>
    <n v="4.9000000000000004"/>
    <n v="33"/>
    <s v="null"/>
    <s v="null"/>
    <s v="null"/>
    <s v="null"/>
    <s v="null"/>
    <s v="null"/>
    <n v="469"/>
    <n v="26.93"/>
    <n v="4.3"/>
    <n v="4.9000000000000004"/>
    <s v="UPI"/>
  </r>
  <r>
    <d v="2024-06-30T00:00:00"/>
    <s v="June"/>
    <d v="1899-12-30T21:34:48"/>
    <s v="&quot;CNR6027511&quot;"/>
    <s v="Completed"/>
    <s v="&quot;CID6080643&quot;"/>
    <x v="4"/>
    <s v="Udyog Vihar Phase 4"/>
    <s v="Greater Kailash"/>
    <n v="9.9"/>
    <n v="22"/>
    <s v="null"/>
    <s v="null"/>
    <s v="null"/>
    <s v="null"/>
    <s v="null"/>
    <s v="null"/>
    <n v="320"/>
    <n v="28.78"/>
    <n v="4.2"/>
    <n v="4.5"/>
    <s v="UPI"/>
  </r>
  <r>
    <d v="2024-07-18T00:00:00"/>
    <s v="July"/>
    <d v="1899-12-30T02:41:57"/>
    <s v="&quot;CNR4569804&quot;"/>
    <s v="Completed"/>
    <s v="&quot;CID8474448&quot;"/>
    <x v="5"/>
    <s v="Raj Nagar Extension"/>
    <s v="IMT Manesar"/>
    <n v="13.3"/>
    <n v="24.6"/>
    <s v="null"/>
    <s v="null"/>
    <s v="null"/>
    <s v="null"/>
    <s v="null"/>
    <s v="null"/>
    <n v="726"/>
    <n v="12.98"/>
    <n v="4.2"/>
    <n v="4.3"/>
    <s v="Debit Card"/>
  </r>
  <r>
    <d v="2024-03-14T00:00:00"/>
    <s v="March"/>
    <d v="1899-12-30T23:23:23"/>
    <s v="&quot;CNR7585582&quot;"/>
    <s v="Incomplete"/>
    <s v="&quot;CID1607386&quot;"/>
    <x v="2"/>
    <s v="Ghitorni"/>
    <s v="Noida Film City"/>
    <n v="2"/>
    <n v="10.3"/>
    <s v="null"/>
    <s v="null"/>
    <s v="null"/>
    <s v="null"/>
    <n v="1"/>
    <s v="Customer Demand"/>
    <n v="68"/>
    <n v="19.059999999999999"/>
    <s v="null"/>
    <s v="null"/>
    <s v="Cash"/>
  </r>
  <r>
    <d v="2024-09-26T00:00:00"/>
    <s v="September"/>
    <d v="1899-12-30T12:23:13"/>
    <s v="&quot;CNR5534901&quot;"/>
    <s v="Incomplete"/>
    <s v="&quot;CID9231793&quot;"/>
    <x v="0"/>
    <s v="Akshardham"/>
    <s v="Keshav Puram"/>
    <n v="4.4000000000000004"/>
    <n v="15.7"/>
    <s v="null"/>
    <s v="null"/>
    <s v="null"/>
    <s v="null"/>
    <n v="1"/>
    <s v="Vehicle Breakdown"/>
    <n v="136"/>
    <n v="14"/>
    <s v="null"/>
    <s v="null"/>
    <s v="Debit Card"/>
  </r>
  <r>
    <d v="2024-09-15T00:00:00"/>
    <s v="September"/>
    <d v="1899-12-30T20:23:02"/>
    <s v="&quot;CNR5784218&quot;"/>
    <s v="Completed"/>
    <s v="&quot;CID1814194&quot;"/>
    <x v="1"/>
    <s v="Nawada"/>
    <s v="New Delhi Railway Station"/>
    <n v="8.8000000000000007"/>
    <n v="16.8"/>
    <s v="null"/>
    <s v="null"/>
    <s v="null"/>
    <s v="null"/>
    <s v="null"/>
    <s v="null"/>
    <n v="455"/>
    <n v="43.06"/>
    <n v="3.8"/>
    <n v="4.3"/>
    <s v="UPI"/>
  </r>
  <r>
    <d v="2024-05-12T00:00:00"/>
    <s v="May"/>
    <d v="1899-12-30T10:16:09"/>
    <s v="&quot;CNR6349771&quot;"/>
    <s v="Completed"/>
    <s v="&quot;CID5577961&quot;"/>
    <x v="2"/>
    <s v="Lajpat Nagar"/>
    <s v="Shivaji Park"/>
    <n v="2.6"/>
    <n v="22.2"/>
    <s v="null"/>
    <s v="null"/>
    <s v="null"/>
    <s v="null"/>
    <s v="null"/>
    <s v="null"/>
    <n v="995"/>
    <n v="38.96"/>
    <n v="4.7"/>
    <n v="4.9000000000000004"/>
    <s v="Debit Card"/>
  </r>
  <r>
    <d v="2024-11-16T00:00:00"/>
    <s v="November"/>
    <d v="1899-12-30T19:05:30"/>
    <s v="&quot;CNR3708287&quot;"/>
    <s v="Completed"/>
    <s v="&quot;CID2958217&quot;"/>
    <x v="6"/>
    <s v="Aya Nagar"/>
    <s v="Meerut"/>
    <n v="2.7"/>
    <n v="25.8"/>
    <s v="null"/>
    <s v="null"/>
    <s v="null"/>
    <s v="null"/>
    <s v="null"/>
    <s v="null"/>
    <n v="1179"/>
    <n v="18.87"/>
    <n v="4.9000000000000004"/>
    <n v="4.5999999999999996"/>
    <s v="Uber Wallet"/>
  </r>
  <r>
    <d v="2024-07-19T00:00:00"/>
    <s v="July"/>
    <d v="1899-12-30T16:57:27"/>
    <s v="&quot;CNR8365625&quot;"/>
    <s v="Completed"/>
    <s v="&quot;CID4463605&quot;"/>
    <x v="4"/>
    <s v="Lok Kalyan Marg"/>
    <s v="Maidan Garhi"/>
    <n v="11"/>
    <n v="33.1"/>
    <s v="null"/>
    <s v="null"/>
    <s v="null"/>
    <s v="null"/>
    <s v="null"/>
    <s v="null"/>
    <n v="525"/>
    <n v="47.88"/>
    <n v="4.2"/>
    <n v="4.5999999999999996"/>
    <s v="Uber Wallet"/>
  </r>
  <r>
    <d v="2024-12-02T00:00:00"/>
    <s v="December"/>
    <d v="1899-12-30T20:04:25"/>
    <s v="&quot;CNR7435840&quot;"/>
    <s v="Cancelled by Driver"/>
    <s v="&quot;CID9084957&quot;"/>
    <x v="2"/>
    <s v="Nawada"/>
    <s v="Pulbangash"/>
    <n v="11.3"/>
    <s v="null"/>
    <s v="null"/>
    <s v="null"/>
    <n v="1"/>
    <s v="Personal &amp; Car related issues"/>
    <s v="null"/>
    <s v="null"/>
    <s v="null"/>
    <s v="null"/>
    <s v="null"/>
    <s v="null"/>
    <s v="null"/>
  </r>
  <r>
    <d v="2024-08-08T00:00:00"/>
    <s v="August"/>
    <d v="1899-12-30T14:29:16"/>
    <s v="&quot;CNR8577529&quot;"/>
    <s v="Cancelled by Driver"/>
    <s v="&quot;CID8121948&quot;"/>
    <x v="2"/>
    <s v="Punjabi Bagh"/>
    <s v="Badshahpur"/>
    <n v="6.9"/>
    <s v="null"/>
    <s v="null"/>
    <s v="null"/>
    <n v="1"/>
    <s v="More than permitted people in there"/>
    <s v="null"/>
    <s v="null"/>
    <s v="null"/>
    <s v="null"/>
    <s v="null"/>
    <s v="null"/>
    <s v="null"/>
  </r>
  <r>
    <d v="2024-09-15T00:00:00"/>
    <s v="September"/>
    <d v="1899-12-30T22:06:40"/>
    <s v="&quot;CNR6158921&quot;"/>
    <s v="Completed"/>
    <s v="&quot;CID4203688&quot;"/>
    <x v="1"/>
    <s v="Ramesh Nagar"/>
    <s v="Keshav Puram"/>
    <n v="5.0999999999999996"/>
    <n v="27.9"/>
    <s v="null"/>
    <s v="null"/>
    <s v="null"/>
    <s v="null"/>
    <s v="null"/>
    <s v="null"/>
    <n v="300"/>
    <n v="5.7"/>
    <n v="4.2"/>
    <n v="4.5999999999999996"/>
    <s v="UPI"/>
  </r>
  <r>
    <d v="2024-05-30T00:00:00"/>
    <s v="May"/>
    <d v="1899-12-30T18:57:34"/>
    <s v="&quot;CNR7484371&quot;"/>
    <s v="Completed"/>
    <s v="&quot;CID7265108&quot;"/>
    <x v="1"/>
    <s v="Maidan Garhi"/>
    <s v="Sarai Kale Khan"/>
    <n v="11.1"/>
    <n v="18.399999999999999"/>
    <s v="null"/>
    <s v="null"/>
    <s v="null"/>
    <s v="null"/>
    <s v="null"/>
    <s v="null"/>
    <n v="202"/>
    <n v="4.62"/>
    <n v="3.2"/>
    <n v="4.0999999999999996"/>
    <s v="UPI"/>
  </r>
  <r>
    <d v="2024-12-05T00:00:00"/>
    <s v="December"/>
    <d v="1899-12-30T07:56:34"/>
    <s v="&quot;CNR9301716&quot;"/>
    <s v="Completed"/>
    <s v="&quot;CID4647277&quot;"/>
    <x v="3"/>
    <s v="Greater Kailash"/>
    <s v="Green Park"/>
    <n v="6.3"/>
    <n v="34.1"/>
    <s v="null"/>
    <s v="null"/>
    <s v="null"/>
    <s v="null"/>
    <s v="null"/>
    <s v="null"/>
    <n v="475"/>
    <n v="42.26"/>
    <n v="4.3"/>
    <n v="4.2"/>
    <s v="Cash"/>
  </r>
  <r>
    <d v="2024-07-16T00:00:00"/>
    <s v="July"/>
    <d v="1899-12-30T19:23:06"/>
    <s v="&quot;CNR6511558&quot;"/>
    <s v="Completed"/>
    <s v="&quot;CID5808222&quot;"/>
    <x v="1"/>
    <s v="Sarojini Nagar"/>
    <s v="Saidulajab"/>
    <n v="6.1"/>
    <n v="17"/>
    <s v="null"/>
    <s v="null"/>
    <s v="null"/>
    <s v="null"/>
    <s v="null"/>
    <s v="null"/>
    <n v="833"/>
    <n v="19.489999999999998"/>
    <n v="4"/>
    <n v="3.4"/>
    <s v="Debit Card"/>
  </r>
  <r>
    <d v="2024-06-14T00:00:00"/>
    <s v="June"/>
    <d v="1899-12-30T16:59:15"/>
    <s v="&quot;CNR1801249&quot;"/>
    <s v="Cancelled by Driver"/>
    <s v="&quot;CID2012161&quot;"/>
    <x v="1"/>
    <s v="Satguru Ram Singh Marg"/>
    <s v="Kashmere Gate"/>
    <n v="3.9"/>
    <s v="null"/>
    <s v="null"/>
    <s v="null"/>
    <n v="1"/>
    <s v="Customer related issue"/>
    <s v="null"/>
    <s v="null"/>
    <s v="null"/>
    <s v="null"/>
    <s v="null"/>
    <s v="null"/>
    <s v="null"/>
  </r>
  <r>
    <d v="2024-01-06T00:00:00"/>
    <s v="January"/>
    <d v="1899-12-30T20:53:36"/>
    <s v="&quot;CNR5712520&quot;"/>
    <s v="Completed"/>
    <s v="&quot;CID8152575&quot;"/>
    <x v="5"/>
    <s v="Palam Vihar"/>
    <s v="Shahdara"/>
    <n v="7.3"/>
    <n v="33.1"/>
    <s v="null"/>
    <s v="null"/>
    <s v="null"/>
    <s v="null"/>
    <s v="null"/>
    <s v="null"/>
    <n v="158"/>
    <n v="40.36"/>
    <n v="3.7"/>
    <n v="4.9000000000000004"/>
    <s v="UPI"/>
  </r>
  <r>
    <d v="2024-02-28T00:00:00"/>
    <s v="February"/>
    <d v="1899-12-30T03:21:43"/>
    <s v="&quot;CNR1038498&quot;"/>
    <s v="Completed"/>
    <s v="&quot;CID6242930&quot;"/>
    <x v="4"/>
    <s v="GTB Nagar"/>
    <s v="Palam Vihar"/>
    <n v="10"/>
    <n v="36.9"/>
    <s v="null"/>
    <s v="null"/>
    <s v="null"/>
    <s v="null"/>
    <s v="null"/>
    <s v="null"/>
    <n v="155"/>
    <n v="42.59"/>
    <n v="4.7"/>
    <n v="3.2"/>
    <s v="Cash"/>
  </r>
  <r>
    <d v="2024-04-26T00:00:00"/>
    <s v="April"/>
    <d v="1899-12-30T18:49:22"/>
    <s v="&quot;CNR2395349&quot;"/>
    <s v="Cancelled by Driver"/>
    <s v="&quot;CID3389825&quot;"/>
    <x v="2"/>
    <s v="Vatika Chowk"/>
    <s v="Pulbangash"/>
    <n v="9.3000000000000007"/>
    <s v="null"/>
    <s v="null"/>
    <s v="null"/>
    <n v="1"/>
    <s v="More than permitted people in there"/>
    <s v="null"/>
    <s v="null"/>
    <s v="null"/>
    <s v="null"/>
    <s v="null"/>
    <s v="null"/>
    <s v="null"/>
  </r>
  <r>
    <d v="2024-03-31T00:00:00"/>
    <s v="March"/>
    <d v="1899-12-30T08:32:26"/>
    <s v="&quot;CNR4896767&quot;"/>
    <s v="Completed"/>
    <s v="&quot;CID6418422&quot;"/>
    <x v="2"/>
    <s v="Cyber Hub"/>
    <s v="Mundka"/>
    <n v="10.5"/>
    <n v="33.9"/>
    <s v="null"/>
    <s v="null"/>
    <s v="null"/>
    <s v="null"/>
    <s v="null"/>
    <s v="null"/>
    <n v="107"/>
    <n v="21.68"/>
    <n v="4.3"/>
    <n v="4.9000000000000004"/>
    <s v="UPI"/>
  </r>
  <r>
    <d v="2024-04-04T00:00:00"/>
    <s v="April"/>
    <d v="1899-12-30T16:33:57"/>
    <s v="&quot;CNR5047025&quot;"/>
    <s v="Completed"/>
    <s v="&quot;CID6365387&quot;"/>
    <x v="5"/>
    <s v="Adarsh Nagar"/>
    <s v="Rohini West"/>
    <n v="6.8"/>
    <n v="22.4"/>
    <s v="null"/>
    <s v="null"/>
    <s v="null"/>
    <s v="null"/>
    <s v="null"/>
    <s v="null"/>
    <n v="151"/>
    <n v="29.9"/>
    <n v="4.5999999999999996"/>
    <n v="4.5999999999999996"/>
    <s v="UPI"/>
  </r>
  <r>
    <d v="2024-05-07T00:00:00"/>
    <s v="May"/>
    <d v="1899-12-30T21:10:50"/>
    <s v="&quot;CNR7514462&quot;"/>
    <s v="Completed"/>
    <s v="&quot;CID5973257&quot;"/>
    <x v="5"/>
    <s v="Golf Course Road"/>
    <s v="Bhikaji Cama Place"/>
    <n v="10.7"/>
    <n v="30.4"/>
    <s v="null"/>
    <s v="null"/>
    <s v="null"/>
    <s v="null"/>
    <s v="null"/>
    <s v="null"/>
    <n v="187"/>
    <n v="42.27"/>
    <n v="4.3"/>
    <n v="4.8"/>
    <s v="Cash"/>
  </r>
  <r>
    <d v="2024-06-15T00:00:00"/>
    <s v="June"/>
    <d v="1899-12-30T19:12:37"/>
    <s v="&quot;CNR5269641&quot;"/>
    <s v="Completed"/>
    <s v="&quot;CID8225890&quot;"/>
    <x v="5"/>
    <s v="IIT Delhi"/>
    <s v="Basai Dhankot"/>
    <n v="12.3"/>
    <n v="34.6"/>
    <s v="null"/>
    <s v="null"/>
    <s v="null"/>
    <s v="null"/>
    <s v="null"/>
    <s v="null"/>
    <n v="1543"/>
    <n v="49.71"/>
    <n v="4.4000000000000004"/>
    <n v="5"/>
    <s v="Cash"/>
  </r>
  <r>
    <d v="2024-06-14T00:00:00"/>
    <s v="June"/>
    <d v="1899-12-30T20:58:12"/>
    <s v="&quot;CNR9927786&quot;"/>
    <s v="Completed"/>
    <s v="&quot;CID8378909&quot;"/>
    <x v="0"/>
    <s v="Punjabi Bagh"/>
    <s v="Gurgaon Sector 56"/>
    <n v="3.8"/>
    <n v="20.2"/>
    <s v="null"/>
    <s v="null"/>
    <s v="null"/>
    <s v="null"/>
    <s v="null"/>
    <s v="null"/>
    <n v="432"/>
    <n v="32.56"/>
    <n v="4.2"/>
    <n v="5"/>
    <s v="UPI"/>
  </r>
  <r>
    <d v="2024-03-04T00:00:00"/>
    <s v="March"/>
    <d v="1899-12-30T21:24:16"/>
    <s v="&quot;CNR9619867&quot;"/>
    <s v="Cancelled by Customer"/>
    <s v="&quot;CID9032039&quot;"/>
    <x v="1"/>
    <s v="Civil Lines Gurgaon"/>
    <s v="Moti Nagar"/>
    <n v="10.199999999999999"/>
    <s v="null"/>
    <n v="1"/>
    <s v="Driver is not moving towards pickup location"/>
    <s v="null"/>
    <s v="null"/>
    <s v="null"/>
    <s v="null"/>
    <s v="null"/>
    <s v="null"/>
    <s v="null"/>
    <s v="null"/>
    <s v="null"/>
  </r>
  <r>
    <d v="2024-01-23T00:00:00"/>
    <s v="January"/>
    <d v="1899-12-30T10:28:09"/>
    <s v="&quot;CNR7250271&quot;"/>
    <s v="Incomplete"/>
    <s v="&quot;CID9448818&quot;"/>
    <x v="1"/>
    <s v="Udyog Vihar Phase 4"/>
    <s v="Anand Vihar ISBT"/>
    <n v="4.4000000000000004"/>
    <n v="23.6"/>
    <s v="null"/>
    <s v="null"/>
    <s v="null"/>
    <s v="null"/>
    <n v="1"/>
    <s v="Vehicle Breakdown"/>
    <n v="195"/>
    <n v="14.49"/>
    <s v="null"/>
    <s v="null"/>
    <s v="Uber Wallet"/>
  </r>
  <r>
    <d v="2024-10-28T00:00:00"/>
    <s v="October"/>
    <d v="1899-12-30T15:46:27"/>
    <s v="&quot;CNR5629774&quot;"/>
    <s v="Completed"/>
    <s v="&quot;CID8747096&quot;"/>
    <x v="5"/>
    <s v="Ghaziabad"/>
    <s v="Udyog Vihar"/>
    <n v="3.2"/>
    <n v="30.8"/>
    <s v="null"/>
    <s v="null"/>
    <s v="null"/>
    <s v="null"/>
    <s v="null"/>
    <s v="null"/>
    <n v="54"/>
    <n v="31.49"/>
    <n v="4.5999999999999996"/>
    <n v="4.9000000000000004"/>
    <s v="Cash"/>
  </r>
  <r>
    <d v="2024-02-06T00:00:00"/>
    <s v="February"/>
    <d v="1899-12-30T10:17:43"/>
    <s v="&quot;CNR4578797&quot;"/>
    <s v="Completed"/>
    <s v="&quot;CID1104786&quot;"/>
    <x v="2"/>
    <s v="Narsinghpur"/>
    <s v="Maidan Garhi"/>
    <n v="13.4"/>
    <n v="20"/>
    <s v="null"/>
    <s v="null"/>
    <s v="null"/>
    <s v="null"/>
    <s v="null"/>
    <s v="null"/>
    <n v="939"/>
    <n v="21.28"/>
    <n v="3.8"/>
    <n v="5"/>
    <s v="UPI"/>
  </r>
  <r>
    <d v="2024-12-04T00:00:00"/>
    <s v="December"/>
    <d v="1899-12-30T07:48:07"/>
    <s v="&quot;CNR5277125&quot;"/>
    <s v="Completed"/>
    <s v="&quot;CID7166980&quot;"/>
    <x v="2"/>
    <s v="MG Road"/>
    <s v="GTB Nagar"/>
    <n v="9.8000000000000007"/>
    <n v="43.4"/>
    <s v="null"/>
    <s v="null"/>
    <s v="null"/>
    <s v="null"/>
    <s v="null"/>
    <s v="null"/>
    <n v="829"/>
    <n v="34.14"/>
    <n v="4.5999999999999996"/>
    <n v="4.2"/>
    <s v="UPI"/>
  </r>
  <r>
    <d v="2024-12-22T00:00:00"/>
    <s v="December"/>
    <d v="1899-12-30T17:53:25"/>
    <s v="&quot;CNR2343017&quot;"/>
    <s v="Completed"/>
    <s v="&quot;CID9190683&quot;"/>
    <x v="2"/>
    <s v="Panchsheel Park"/>
    <s v="Gwal Pahari"/>
    <n v="8.6999999999999993"/>
    <n v="27.2"/>
    <s v="null"/>
    <s v="null"/>
    <s v="null"/>
    <s v="null"/>
    <s v="null"/>
    <s v="null"/>
    <n v="314"/>
    <n v="20.66"/>
    <n v="4.5999999999999996"/>
    <n v="4.3"/>
    <s v="UPI"/>
  </r>
  <r>
    <d v="2024-08-24T00:00:00"/>
    <s v="August"/>
    <d v="1899-12-30T21:09:54"/>
    <s v="&quot;CNR4356773&quot;"/>
    <s v="Completed"/>
    <s v="&quot;CID9031824&quot;"/>
    <x v="1"/>
    <s v="Badarpur"/>
    <s v="Tis Hazari"/>
    <n v="11.7"/>
    <n v="30.5"/>
    <s v="null"/>
    <s v="null"/>
    <s v="null"/>
    <s v="null"/>
    <s v="null"/>
    <s v="null"/>
    <n v="1249"/>
    <n v="24.6"/>
    <n v="4.0999999999999996"/>
    <n v="3.7"/>
    <s v="Cash"/>
  </r>
  <r>
    <d v="2024-09-18T00:00:00"/>
    <s v="September"/>
    <d v="1899-12-30T08:48:36"/>
    <s v="&quot;CNR1050716&quot;"/>
    <s v="Completed"/>
    <s v="&quot;CID3789359&quot;"/>
    <x v="2"/>
    <s v="Gurgaon Sector 29"/>
    <s v="South Extension"/>
    <n v="4.5"/>
    <n v="27.4"/>
    <s v="null"/>
    <s v="null"/>
    <s v="null"/>
    <s v="null"/>
    <s v="null"/>
    <s v="null"/>
    <n v="437"/>
    <n v="27.94"/>
    <n v="3.9"/>
    <n v="4.5999999999999996"/>
    <s v="UPI"/>
  </r>
  <r>
    <d v="2024-10-22T00:00:00"/>
    <s v="October"/>
    <d v="1899-12-30T08:41:41"/>
    <s v="&quot;CNR7850961&quot;"/>
    <s v="Completed"/>
    <s v="&quot;CID5103518&quot;"/>
    <x v="5"/>
    <s v="Dwarka Sector 21"/>
    <s v="Moolchand"/>
    <n v="9.6"/>
    <n v="28.1"/>
    <s v="null"/>
    <s v="null"/>
    <s v="null"/>
    <s v="null"/>
    <s v="null"/>
    <s v="null"/>
    <n v="83"/>
    <n v="44.57"/>
    <n v="4.5999999999999996"/>
    <n v="4.5"/>
    <s v="UPI"/>
  </r>
  <r>
    <d v="2024-06-16T00:00:00"/>
    <s v="June"/>
    <d v="1899-12-30T06:53:10"/>
    <s v="&quot;CNR1254363&quot;"/>
    <s v="Completed"/>
    <s v="&quot;CID9092173&quot;"/>
    <x v="2"/>
    <s v="Greater Kailash"/>
    <s v="Raj Nagar Extension"/>
    <n v="14.2"/>
    <n v="15.7"/>
    <s v="null"/>
    <s v="null"/>
    <s v="null"/>
    <s v="null"/>
    <s v="null"/>
    <s v="null"/>
    <n v="1444"/>
    <n v="15.43"/>
    <n v="4.2"/>
    <n v="3.1"/>
    <s v="Cash"/>
  </r>
  <r>
    <d v="2024-12-22T00:00:00"/>
    <s v="December"/>
    <d v="1899-12-30T09:03:55"/>
    <s v="&quot;CNR6569789&quot;"/>
    <s v="Cancelled by Driver"/>
    <s v="&quot;CID3372949&quot;"/>
    <x v="5"/>
    <s v="Pataudi Chowk"/>
    <s v="Meerut"/>
    <n v="6.5"/>
    <s v="null"/>
    <s v="null"/>
    <s v="null"/>
    <n v="1"/>
    <s v="Customer related issue"/>
    <s v="null"/>
    <s v="null"/>
    <s v="null"/>
    <s v="null"/>
    <s v="null"/>
    <s v="null"/>
    <s v="null"/>
  </r>
  <r>
    <d v="2024-07-02T00:00:00"/>
    <s v="July"/>
    <d v="1899-12-30T15:25:18"/>
    <s v="&quot;CNR6092310&quot;"/>
    <s v="No Driver Found"/>
    <s v="&quot;CID4998701&quot;"/>
    <x v="3"/>
    <s v="Bahadurgarh"/>
    <s v="Uttam Nagar"/>
    <s v="null"/>
    <s v="null"/>
    <s v="null"/>
    <s v="null"/>
    <s v="null"/>
    <s v="null"/>
    <s v="null"/>
    <s v="null"/>
    <s v="null"/>
    <s v="null"/>
    <s v="null"/>
    <s v="null"/>
    <s v="null"/>
  </r>
  <r>
    <d v="2024-09-07T00:00:00"/>
    <s v="September"/>
    <d v="1899-12-30T04:07:03"/>
    <s v="&quot;CNR2742692&quot;"/>
    <s v="Completed"/>
    <s v="&quot;CID6825812&quot;"/>
    <x v="4"/>
    <s v="Gwal Pahari"/>
    <s v="Golf Course Road"/>
    <n v="5.8"/>
    <n v="31.4"/>
    <s v="null"/>
    <s v="null"/>
    <s v="null"/>
    <s v="null"/>
    <s v="null"/>
    <s v="null"/>
    <n v="1368"/>
    <n v="42.88"/>
    <n v="4.3"/>
    <n v="3.8"/>
    <s v="Cash"/>
  </r>
  <r>
    <d v="2024-07-05T00:00:00"/>
    <s v="July"/>
    <d v="1899-12-30T06:41:29"/>
    <s v="&quot;CNR7165550&quot;"/>
    <s v="No Driver Found"/>
    <s v="&quot;CID7694379&quot;"/>
    <x v="4"/>
    <s v="Punjabi Bagh"/>
    <s v="Ghitorni Village"/>
    <s v="null"/>
    <s v="null"/>
    <s v="null"/>
    <s v="null"/>
    <s v="null"/>
    <s v="null"/>
    <s v="null"/>
    <s v="null"/>
    <s v="null"/>
    <s v="null"/>
    <s v="null"/>
    <s v="null"/>
    <s v="null"/>
  </r>
  <r>
    <d v="2024-05-03T00:00:00"/>
    <s v="May"/>
    <d v="1899-12-30T21:53:28"/>
    <s v="&quot;CNR9101826&quot;"/>
    <s v="Completed"/>
    <s v="&quot;CID1875498&quot;"/>
    <x v="2"/>
    <s v="Tagore Garden"/>
    <s v="Narsinghpur"/>
    <n v="7.1"/>
    <n v="18"/>
    <s v="null"/>
    <s v="null"/>
    <s v="null"/>
    <s v="null"/>
    <s v="null"/>
    <s v="null"/>
    <n v="418"/>
    <n v="23.31"/>
    <n v="4.2"/>
    <n v="4.5999999999999996"/>
    <s v="UPI"/>
  </r>
  <r>
    <d v="2024-04-10T00:00:00"/>
    <s v="April"/>
    <d v="1899-12-30T19:13:34"/>
    <s v="&quot;CNR7054338&quot;"/>
    <s v="Completed"/>
    <s v="&quot;CID5302286&quot;"/>
    <x v="3"/>
    <s v="Samaypur Badli"/>
    <s v="IGNOU Road"/>
    <n v="11"/>
    <n v="40"/>
    <s v="null"/>
    <s v="null"/>
    <s v="null"/>
    <s v="null"/>
    <s v="null"/>
    <s v="null"/>
    <n v="363"/>
    <n v="31.36"/>
    <n v="4.2"/>
    <n v="4.3"/>
    <s v="UPI"/>
  </r>
  <r>
    <d v="2024-02-06T00:00:00"/>
    <s v="February"/>
    <d v="1899-12-30T09:18:36"/>
    <s v="&quot;CNR5871454&quot;"/>
    <s v="Completed"/>
    <s v="&quot;CID8316899&quot;"/>
    <x v="5"/>
    <s v="AIIMS"/>
    <s v="Chandni Chowk"/>
    <n v="12.8"/>
    <n v="15.3"/>
    <s v="null"/>
    <s v="null"/>
    <s v="null"/>
    <s v="null"/>
    <s v="null"/>
    <s v="null"/>
    <n v="279"/>
    <n v="16.68"/>
    <n v="4.0999999999999996"/>
    <n v="4.9000000000000004"/>
    <s v="Cash"/>
  </r>
  <r>
    <d v="2024-04-22T00:00:00"/>
    <s v="April"/>
    <d v="1899-12-30T17:13:32"/>
    <s v="&quot;CNR4399523&quot;"/>
    <s v="Completed"/>
    <s v="&quot;CID2089022&quot;"/>
    <x v="5"/>
    <s v="Hero Honda Chowk"/>
    <s v="AIIMS"/>
    <n v="5.0999999999999996"/>
    <n v="39.9"/>
    <s v="null"/>
    <s v="null"/>
    <s v="null"/>
    <s v="null"/>
    <s v="null"/>
    <s v="null"/>
    <n v="332"/>
    <n v="49.06"/>
    <n v="4.4000000000000004"/>
    <n v="4.5999999999999996"/>
    <s v="Cash"/>
  </r>
  <r>
    <d v="2024-09-25T00:00:00"/>
    <s v="September"/>
    <d v="1899-12-30T18:58:35"/>
    <s v="&quot;CNR9707820&quot;"/>
    <s v="Completed"/>
    <s v="&quot;CID2183387&quot;"/>
    <x v="2"/>
    <s v="Delhi Gate"/>
    <s v="Gurgaon Sector 29"/>
    <n v="4.7"/>
    <n v="37.9"/>
    <s v="null"/>
    <s v="null"/>
    <s v="null"/>
    <s v="null"/>
    <s v="null"/>
    <s v="null"/>
    <n v="448"/>
    <n v="28.34"/>
    <n v="4.3"/>
    <n v="4.9000000000000004"/>
    <s v="UPI"/>
  </r>
  <r>
    <d v="2024-07-08T00:00:00"/>
    <s v="July"/>
    <d v="1899-12-30T18:18:13"/>
    <s v="&quot;CNR2693001&quot;"/>
    <s v="Cancelled by Customer"/>
    <s v="&quot;CID1889689&quot;"/>
    <x v="4"/>
    <s v="Rohini West"/>
    <s v="Peeragarhi"/>
    <n v="11.2"/>
    <s v="null"/>
    <n v="1"/>
    <s v="Wrong Address"/>
    <s v="null"/>
    <s v="null"/>
    <s v="null"/>
    <s v="null"/>
    <s v="null"/>
    <s v="null"/>
    <s v="null"/>
    <s v="null"/>
    <s v="null"/>
  </r>
  <r>
    <d v="2024-06-04T00:00:00"/>
    <s v="June"/>
    <d v="1899-12-30T15:49:09"/>
    <s v="&quot;CNR3363167&quot;"/>
    <s v="Completed"/>
    <s v="&quot;CID8741995&quot;"/>
    <x v="1"/>
    <s v="Badarpur"/>
    <s v="Ambience Mall"/>
    <n v="12.9"/>
    <n v="29.7"/>
    <s v="null"/>
    <s v="null"/>
    <s v="null"/>
    <s v="null"/>
    <s v="null"/>
    <s v="null"/>
    <n v="64"/>
    <n v="38.65"/>
    <n v="3.5"/>
    <n v="5"/>
    <s v="UPI"/>
  </r>
  <r>
    <d v="2024-12-10T00:00:00"/>
    <s v="December"/>
    <d v="1899-12-30T14:20:31"/>
    <s v="&quot;CNR9573367&quot;"/>
    <s v="Completed"/>
    <s v="&quot;CID7080252&quot;"/>
    <x v="1"/>
    <s v="Mandi House"/>
    <s v="Rohini"/>
    <n v="4.2"/>
    <n v="18.899999999999999"/>
    <s v="null"/>
    <s v="null"/>
    <s v="null"/>
    <s v="null"/>
    <s v="null"/>
    <s v="null"/>
    <n v="682"/>
    <n v="3.05"/>
    <n v="4.7"/>
    <n v="4.3"/>
    <s v="UPI"/>
  </r>
  <r>
    <d v="2024-07-27T00:00:00"/>
    <s v="July"/>
    <d v="1899-12-30T10:59:44"/>
    <s v="&quot;CNR4563554&quot;"/>
    <s v="No Driver Found"/>
    <s v="&quot;CID3656786&quot;"/>
    <x v="5"/>
    <s v="Chanakyapuri"/>
    <s v="Munirka"/>
    <s v="null"/>
    <s v="null"/>
    <s v="null"/>
    <s v="null"/>
    <s v="null"/>
    <s v="null"/>
    <s v="null"/>
    <s v="null"/>
    <s v="null"/>
    <s v="null"/>
    <s v="null"/>
    <s v="null"/>
    <s v="null"/>
  </r>
  <r>
    <d v="2024-07-13T00:00:00"/>
    <s v="July"/>
    <d v="1899-12-30T02:49:21"/>
    <s v="&quot;CNR3121090&quot;"/>
    <s v="Completed"/>
    <s v="&quot;CID1670641&quot;"/>
    <x v="5"/>
    <s v="Mandi House"/>
    <s v="India Gate"/>
    <n v="5.2"/>
    <n v="37.799999999999997"/>
    <s v="null"/>
    <s v="null"/>
    <s v="null"/>
    <s v="null"/>
    <s v="null"/>
    <s v="null"/>
    <n v="488"/>
    <n v="41.81"/>
    <n v="4.2"/>
    <n v="4.0999999999999996"/>
    <s v="UPI"/>
  </r>
  <r>
    <d v="2024-06-14T00:00:00"/>
    <s v="June"/>
    <d v="1899-12-30T11:41:45"/>
    <s v="&quot;CNR2969701&quot;"/>
    <s v="Cancelled by Customer"/>
    <s v="&quot;CID1401223&quot;"/>
    <x v="2"/>
    <s v="Delhi Gate"/>
    <s v="Chandni Chowk"/>
    <n v="16.899999999999999"/>
    <s v="null"/>
    <n v="1"/>
    <s v="Change of plans"/>
    <s v="null"/>
    <s v="null"/>
    <s v="null"/>
    <s v="null"/>
    <s v="null"/>
    <s v="null"/>
    <s v="null"/>
    <s v="null"/>
    <s v="null"/>
  </r>
  <r>
    <d v="2024-10-16T00:00:00"/>
    <s v="October"/>
    <d v="1899-12-30T21:30:28"/>
    <s v="&quot;CNR3590282&quot;"/>
    <s v="Completed"/>
    <s v="&quot;CID7281467&quot;"/>
    <x v="1"/>
    <s v="Barakhamba Road"/>
    <s v="Ghaziabad"/>
    <n v="3.9"/>
    <n v="40.6"/>
    <s v="null"/>
    <s v="null"/>
    <s v="null"/>
    <s v="null"/>
    <s v="null"/>
    <s v="null"/>
    <n v="953"/>
    <n v="31.28"/>
    <n v="4.9000000000000004"/>
    <n v="4.7"/>
    <s v="Cash"/>
  </r>
  <r>
    <d v="2024-05-05T00:00:00"/>
    <s v="May"/>
    <d v="1899-12-30T19:10:02"/>
    <s v="&quot;CNR5792733&quot;"/>
    <s v="Completed"/>
    <s v="&quot;CID2894784&quot;"/>
    <x v="1"/>
    <s v="Jor Bagh"/>
    <s v="Azadpur"/>
    <n v="9.9"/>
    <n v="15.6"/>
    <s v="null"/>
    <s v="null"/>
    <s v="null"/>
    <s v="null"/>
    <s v="null"/>
    <s v="null"/>
    <n v="965"/>
    <n v="34.5"/>
    <n v="4.0999999999999996"/>
    <n v="4.2"/>
    <s v="UPI"/>
  </r>
  <r>
    <d v="2024-02-18T00:00:00"/>
    <s v="February"/>
    <d v="1899-12-30T16:24:39"/>
    <s v="&quot;CNR7417036&quot;"/>
    <s v="Completed"/>
    <s v="&quot;CID8283589&quot;"/>
    <x v="1"/>
    <s v="Khan Market"/>
    <s v="Green Park"/>
    <n v="10"/>
    <n v="40.6"/>
    <s v="null"/>
    <s v="null"/>
    <s v="null"/>
    <s v="null"/>
    <s v="null"/>
    <s v="null"/>
    <n v="405"/>
    <n v="13.1"/>
    <n v="3.6"/>
    <n v="4.5999999999999996"/>
    <s v="Credit Card"/>
  </r>
  <r>
    <d v="2024-08-14T00:00:00"/>
    <s v="August"/>
    <d v="1899-12-30T14:34:57"/>
    <s v="&quot;CNR7957879&quot;"/>
    <s v="No Driver Found"/>
    <s v="&quot;CID3277993&quot;"/>
    <x v="2"/>
    <s v="Satguru Ram Singh Marg"/>
    <s v="Sikanderpur"/>
    <s v="null"/>
    <s v="null"/>
    <s v="null"/>
    <s v="null"/>
    <s v="null"/>
    <s v="null"/>
    <s v="null"/>
    <s v="null"/>
    <s v="null"/>
    <s v="null"/>
    <s v="null"/>
    <s v="null"/>
    <s v="null"/>
  </r>
  <r>
    <d v="2024-03-07T00:00:00"/>
    <s v="March"/>
    <d v="1899-12-30T10:59:58"/>
    <s v="&quot;CNR3649243&quot;"/>
    <s v="Cancelled by Driver"/>
    <s v="&quot;CID2049171&quot;"/>
    <x v="5"/>
    <s v="Meerut"/>
    <s v="Vasant Kunj"/>
    <n v="10.199999999999999"/>
    <s v="null"/>
    <s v="null"/>
    <s v="null"/>
    <n v="1"/>
    <s v="Personal &amp; Car related issues"/>
    <s v="null"/>
    <s v="null"/>
    <s v="null"/>
    <s v="null"/>
    <s v="null"/>
    <s v="null"/>
    <s v="null"/>
  </r>
  <r>
    <d v="2024-08-29T00:00:00"/>
    <s v="August"/>
    <d v="1899-12-30T17:11:13"/>
    <s v="&quot;CNR8918353&quot;"/>
    <s v="Completed"/>
    <s v="&quot;CID4955715&quot;"/>
    <x v="1"/>
    <s v="Udyog Vihar Phase 4"/>
    <s v="Kalkaji"/>
    <n v="5"/>
    <n v="23.7"/>
    <s v="null"/>
    <s v="null"/>
    <s v="null"/>
    <s v="null"/>
    <s v="null"/>
    <s v="null"/>
    <n v="423"/>
    <n v="9.93"/>
    <n v="4.4000000000000004"/>
    <n v="4.9000000000000004"/>
    <s v="UPI"/>
  </r>
  <r>
    <d v="2024-06-28T00:00:00"/>
    <s v="June"/>
    <d v="1899-12-30T23:11:32"/>
    <s v="&quot;CNR1343265&quot;"/>
    <s v="Cancelled by Customer"/>
    <s v="&quot;CID2749175&quot;"/>
    <x v="1"/>
    <s v="RK Puram"/>
    <s v="Panipat"/>
    <n v="11.9"/>
    <s v="null"/>
    <n v="1"/>
    <s v="Driver asked to cancel"/>
    <s v="null"/>
    <s v="null"/>
    <s v="null"/>
    <s v="null"/>
    <s v="null"/>
    <s v="null"/>
    <s v="null"/>
    <s v="null"/>
    <s v="null"/>
  </r>
  <r>
    <d v="2024-12-24T00:00:00"/>
    <s v="December"/>
    <d v="1899-12-30T10:03:37"/>
    <s v="&quot;CNR1390232&quot;"/>
    <s v="No Driver Found"/>
    <s v="&quot;CID6307524&quot;"/>
    <x v="2"/>
    <s v="GTB Nagar"/>
    <s v="Jasola"/>
    <s v="null"/>
    <s v="null"/>
    <s v="null"/>
    <s v="null"/>
    <s v="null"/>
    <s v="null"/>
    <s v="null"/>
    <s v="null"/>
    <s v="null"/>
    <s v="null"/>
    <s v="null"/>
    <s v="null"/>
    <s v="null"/>
  </r>
  <r>
    <d v="2024-05-25T00:00:00"/>
    <s v="May"/>
    <d v="1899-12-30T08:42:50"/>
    <s v="&quot;CNR3047231&quot;"/>
    <s v="Completed"/>
    <s v="&quot;CID5464558&quot;"/>
    <x v="2"/>
    <s v="Akshardham"/>
    <s v="Bahadurgarh"/>
    <n v="11.1"/>
    <n v="31.9"/>
    <s v="null"/>
    <s v="null"/>
    <s v="null"/>
    <s v="null"/>
    <s v="null"/>
    <s v="null"/>
    <n v="264"/>
    <n v="31.93"/>
    <n v="3.7"/>
    <n v="4.2"/>
    <s v="UPI"/>
  </r>
  <r>
    <d v="2024-02-01T00:00:00"/>
    <s v="February"/>
    <d v="1899-12-30T09:13:13"/>
    <s v="&quot;CNR5380412&quot;"/>
    <s v="Completed"/>
    <s v="&quot;CID8125937&quot;"/>
    <x v="5"/>
    <s v="Shivaji Park"/>
    <s v="Hauz Khas"/>
    <n v="11.2"/>
    <n v="31.3"/>
    <s v="null"/>
    <s v="null"/>
    <s v="null"/>
    <s v="null"/>
    <s v="null"/>
    <s v="null"/>
    <n v="249"/>
    <n v="34.729999999999997"/>
    <n v="4.2"/>
    <n v="4.9000000000000004"/>
    <s v="UPI"/>
  </r>
  <r>
    <d v="2024-03-10T00:00:00"/>
    <s v="March"/>
    <d v="1899-12-30T21:06:20"/>
    <s v="&quot;CNR4886117&quot;"/>
    <s v="Completed"/>
    <s v="&quot;CID2026490&quot;"/>
    <x v="2"/>
    <s v="Jasola"/>
    <s v="Delhi Gate"/>
    <n v="13.5"/>
    <n v="32.9"/>
    <s v="null"/>
    <s v="null"/>
    <s v="null"/>
    <s v="null"/>
    <s v="null"/>
    <s v="null"/>
    <n v="628"/>
    <n v="31.51"/>
    <n v="4.9000000000000004"/>
    <n v="4.9000000000000004"/>
    <s v="Cash"/>
  </r>
  <r>
    <d v="2024-03-03T00:00:00"/>
    <s v="March"/>
    <d v="1899-12-30T13:48:25"/>
    <s v="&quot;CNR1155206&quot;"/>
    <s v="Incomplete"/>
    <s v="&quot;CID3865002&quot;"/>
    <x v="6"/>
    <s v="IMT Manesar"/>
    <s v="Lok Kalyan Marg"/>
    <n v="4.0999999999999996"/>
    <n v="19.7"/>
    <s v="null"/>
    <s v="null"/>
    <s v="null"/>
    <s v="null"/>
    <n v="1"/>
    <s v="Other Issue"/>
    <n v="110"/>
    <n v="14.46"/>
    <s v="null"/>
    <s v="null"/>
    <s v="UPI"/>
  </r>
  <r>
    <d v="2024-10-26T00:00:00"/>
    <s v="October"/>
    <d v="1899-12-30T13:44:51"/>
    <s v="&quot;CNR7623737&quot;"/>
    <s v="Cancelled by Driver"/>
    <s v="&quot;CID6954811&quot;"/>
    <x v="0"/>
    <s v="Gurgaon Sector 56"/>
    <s v="Pragati Maidan"/>
    <n v="9.3000000000000007"/>
    <s v="null"/>
    <s v="null"/>
    <s v="null"/>
    <n v="1"/>
    <s v="Customer related issue"/>
    <s v="null"/>
    <s v="null"/>
    <s v="null"/>
    <s v="null"/>
    <s v="null"/>
    <s v="null"/>
    <s v="null"/>
  </r>
  <r>
    <d v="2024-07-11T00:00:00"/>
    <s v="July"/>
    <d v="1899-12-30T20:20:54"/>
    <s v="&quot;CNR5468556&quot;"/>
    <s v="Completed"/>
    <s v="&quot;CID4533250&quot;"/>
    <x v="4"/>
    <s v="Udyog Bhawan"/>
    <s v="Mundka"/>
    <n v="7.7"/>
    <n v="15.9"/>
    <s v="null"/>
    <s v="null"/>
    <s v="null"/>
    <s v="null"/>
    <s v="null"/>
    <s v="null"/>
    <n v="190"/>
    <n v="10.27"/>
    <n v="4.7"/>
    <n v="4.8"/>
    <s v="UPI"/>
  </r>
  <r>
    <d v="2024-04-04T00:00:00"/>
    <s v="April"/>
    <d v="1899-12-30T08:50:10"/>
    <s v="&quot;CNR8037805&quot;"/>
    <s v="Completed"/>
    <s v="&quot;CID2099192&quot;"/>
    <x v="3"/>
    <s v="Rajiv Chowk"/>
    <s v="Okhla"/>
    <n v="5.2"/>
    <n v="23.1"/>
    <s v="null"/>
    <s v="null"/>
    <s v="null"/>
    <s v="null"/>
    <s v="null"/>
    <s v="null"/>
    <n v="264"/>
    <n v="46.07"/>
    <n v="4.3"/>
    <n v="3.1"/>
    <s v="Uber Wallet"/>
  </r>
  <r>
    <d v="2024-09-06T00:00:00"/>
    <s v="September"/>
    <d v="1899-12-30T16:16:28"/>
    <s v="&quot;CNR5137585&quot;"/>
    <s v="Cancelled by Customer"/>
    <s v="&quot;CID3906781&quot;"/>
    <x v="1"/>
    <s v="Badarpur"/>
    <s v="Vaishali"/>
    <n v="7.6"/>
    <s v="null"/>
    <n v="1"/>
    <s v="AC is not working"/>
    <s v="null"/>
    <s v="null"/>
    <s v="null"/>
    <s v="null"/>
    <s v="null"/>
    <s v="null"/>
    <s v="null"/>
    <s v="null"/>
    <s v="null"/>
  </r>
  <r>
    <d v="2024-12-20T00:00:00"/>
    <s v="December"/>
    <d v="1899-12-30T10:45:14"/>
    <s v="&quot;CNR5622847&quot;"/>
    <s v="Completed"/>
    <s v="&quot;CID7679264&quot;"/>
    <x v="4"/>
    <s v="Panipat"/>
    <s v="New Colony"/>
    <n v="10"/>
    <n v="37.299999999999997"/>
    <s v="null"/>
    <s v="null"/>
    <s v="null"/>
    <s v="null"/>
    <s v="null"/>
    <s v="null"/>
    <n v="147"/>
    <n v="45.51"/>
    <n v="4.3"/>
    <n v="4.5"/>
    <s v="UPI"/>
  </r>
  <r>
    <d v="2024-07-04T00:00:00"/>
    <s v="July"/>
    <d v="1899-12-30T11:00:26"/>
    <s v="&quot;CNR4461457&quot;"/>
    <s v="No Driver Found"/>
    <s v="&quot;CID8192836&quot;"/>
    <x v="5"/>
    <s v="Noida Film City"/>
    <s v="Kirti Nagar"/>
    <s v="null"/>
    <s v="null"/>
    <s v="null"/>
    <s v="null"/>
    <s v="null"/>
    <s v="null"/>
    <s v="null"/>
    <s v="null"/>
    <s v="null"/>
    <s v="null"/>
    <s v="null"/>
    <s v="null"/>
    <s v="null"/>
  </r>
  <r>
    <d v="2024-09-25T00:00:00"/>
    <s v="September"/>
    <d v="1899-12-30T15:55:15"/>
    <s v="&quot;CNR3788830&quot;"/>
    <s v="Completed"/>
    <s v="&quot;CID1892630&quot;"/>
    <x v="2"/>
    <s v="Vidhan Sabha"/>
    <s v="Kaushambi"/>
    <n v="4.4000000000000004"/>
    <n v="28.1"/>
    <s v="null"/>
    <s v="null"/>
    <s v="null"/>
    <s v="null"/>
    <s v="null"/>
    <s v="null"/>
    <n v="953"/>
    <n v="34.9"/>
    <n v="4.4000000000000004"/>
    <n v="4.8"/>
    <s v="UPI"/>
  </r>
  <r>
    <d v="2024-10-17T00:00:00"/>
    <s v="October"/>
    <d v="1899-12-30T17:46:59"/>
    <s v="&quot;CNR8254837&quot;"/>
    <s v="Completed"/>
    <s v="&quot;CID5350125&quot;"/>
    <x v="5"/>
    <s v="AIIMS"/>
    <s v="Ashok Park Main"/>
    <n v="14.9"/>
    <n v="20.9"/>
    <s v="null"/>
    <s v="null"/>
    <s v="null"/>
    <s v="null"/>
    <s v="null"/>
    <s v="null"/>
    <n v="654"/>
    <n v="30.87"/>
    <n v="4.3"/>
    <n v="4.9000000000000004"/>
    <s v="Cash"/>
  </r>
  <r>
    <d v="2024-06-01T00:00:00"/>
    <s v="June"/>
    <d v="1899-12-30T08:04:36"/>
    <s v="&quot;CNR5483670&quot;"/>
    <s v="Completed"/>
    <s v="&quot;CID3570152&quot;"/>
    <x v="1"/>
    <s v="Panchsheel Park"/>
    <s v="Sarai Kale Khan"/>
    <n v="8.4"/>
    <n v="19.7"/>
    <s v="null"/>
    <s v="null"/>
    <s v="null"/>
    <s v="null"/>
    <s v="null"/>
    <s v="null"/>
    <n v="427"/>
    <n v="37.07"/>
    <n v="4.0999999999999996"/>
    <n v="4.9000000000000004"/>
    <s v="Cash"/>
  </r>
  <r>
    <d v="2024-12-25T00:00:00"/>
    <s v="December"/>
    <d v="1899-12-30T05:04:40"/>
    <s v="&quot;CNR7372127&quot;"/>
    <s v="Cancelled by Driver"/>
    <s v="&quot;CID2108992&quot;"/>
    <x v="5"/>
    <s v="Udyog Bhawan"/>
    <s v="Civil Lines Gurgaon"/>
    <n v="11.8"/>
    <s v="null"/>
    <s v="null"/>
    <s v="null"/>
    <n v="1"/>
    <s v="Personal &amp; Car related issues"/>
    <s v="null"/>
    <s v="null"/>
    <s v="null"/>
    <s v="null"/>
    <s v="null"/>
    <s v="null"/>
    <s v="null"/>
  </r>
  <r>
    <d v="2024-07-04T00:00:00"/>
    <s v="July"/>
    <d v="1899-12-30T08:02:57"/>
    <s v="&quot;CNR5166870&quot;"/>
    <s v="Completed"/>
    <s v="&quot;CID9712348&quot;"/>
    <x v="2"/>
    <s v="Keshav Puram"/>
    <s v="Mayur Vihar"/>
    <n v="5.8"/>
    <n v="25.5"/>
    <s v="null"/>
    <s v="null"/>
    <s v="null"/>
    <s v="null"/>
    <s v="null"/>
    <s v="null"/>
    <n v="610"/>
    <n v="35.380000000000003"/>
    <n v="4.4000000000000004"/>
    <n v="4.3"/>
    <s v="Uber Wallet"/>
  </r>
  <r>
    <d v="2024-04-23T00:00:00"/>
    <s v="April"/>
    <d v="1899-12-30T11:09:18"/>
    <s v="&quot;CNR1915557&quot;"/>
    <s v="Completed"/>
    <s v="&quot;CID8572565&quot;"/>
    <x v="4"/>
    <s v="Pragati Maidan"/>
    <s v="Raj Nagar Extension"/>
    <n v="7.1"/>
    <n v="42.5"/>
    <s v="null"/>
    <s v="null"/>
    <s v="null"/>
    <s v="null"/>
    <s v="null"/>
    <s v="null"/>
    <n v="648"/>
    <n v="19.61"/>
    <n v="4.2"/>
    <n v="5"/>
    <s v="UPI"/>
  </r>
  <r>
    <d v="2024-02-11T00:00:00"/>
    <s v="February"/>
    <d v="1899-12-30T18:46:31"/>
    <s v="&quot;CNR3460247&quot;"/>
    <s v="Completed"/>
    <s v="&quot;CID7449191&quot;"/>
    <x v="4"/>
    <s v="Punjabi Bagh"/>
    <s v="Green Park"/>
    <n v="8.8000000000000007"/>
    <n v="40.4"/>
    <s v="null"/>
    <s v="null"/>
    <s v="null"/>
    <s v="null"/>
    <s v="null"/>
    <s v="null"/>
    <n v="792"/>
    <n v="23.82"/>
    <n v="3.2"/>
    <n v="4.3"/>
    <s v="Cash"/>
  </r>
  <r>
    <d v="2024-04-28T00:00:00"/>
    <s v="April"/>
    <d v="1899-12-30T14:03:27"/>
    <s v="&quot;CNR8192412&quot;"/>
    <s v="Completed"/>
    <s v="&quot;CID3617414&quot;"/>
    <x v="5"/>
    <s v="Keshav Puram"/>
    <s v="Tughlakabad"/>
    <n v="13.6"/>
    <n v="29.8"/>
    <s v="null"/>
    <s v="null"/>
    <s v="null"/>
    <s v="null"/>
    <s v="null"/>
    <s v="null"/>
    <n v="676"/>
    <n v="39.979999999999997"/>
    <n v="3.6"/>
    <n v="4.7"/>
    <s v="UPI"/>
  </r>
  <r>
    <d v="2024-03-22T00:00:00"/>
    <s v="March"/>
    <d v="1899-12-30T21:49:01"/>
    <s v="&quot;CNR7439127&quot;"/>
    <s v="Completed"/>
    <s v="&quot;CID2424398&quot;"/>
    <x v="4"/>
    <s v="Raj Nagar Extension"/>
    <s v="Moolchand"/>
    <n v="5.0999999999999996"/>
    <n v="22.4"/>
    <s v="null"/>
    <s v="null"/>
    <s v="null"/>
    <s v="null"/>
    <s v="null"/>
    <s v="null"/>
    <n v="389"/>
    <n v="27.16"/>
    <n v="3.6"/>
    <n v="3.9"/>
    <s v="Uber Wallet"/>
  </r>
  <r>
    <d v="2024-04-28T00:00:00"/>
    <s v="April"/>
    <d v="1899-12-30T07:28:54"/>
    <s v="&quot;CNR3712135&quot;"/>
    <s v="Completed"/>
    <s v="&quot;CID7174383&quot;"/>
    <x v="3"/>
    <s v="Jhilmil"/>
    <s v="Malviya Nagar"/>
    <n v="11.4"/>
    <n v="42.6"/>
    <s v="null"/>
    <s v="null"/>
    <s v="null"/>
    <s v="null"/>
    <s v="null"/>
    <s v="null"/>
    <n v="74"/>
    <n v="48.45"/>
    <n v="4.0999999999999996"/>
    <n v="3.9"/>
    <s v="Uber Wallet"/>
  </r>
  <r>
    <d v="2024-05-01T00:00:00"/>
    <s v="May"/>
    <d v="1899-12-30T09:30:03"/>
    <s v="&quot;CNR1675599&quot;"/>
    <s v="Cancelled by Driver"/>
    <s v="&quot;CID9232923&quot;"/>
    <x v="2"/>
    <s v="Saket A Block"/>
    <s v="Old Gurgaon"/>
    <n v="8.1999999999999993"/>
    <s v="null"/>
    <s v="null"/>
    <s v="null"/>
    <n v="1"/>
    <s v="Personal &amp; Car related issues"/>
    <s v="null"/>
    <s v="null"/>
    <s v="null"/>
    <s v="null"/>
    <s v="null"/>
    <s v="null"/>
    <s v="null"/>
  </r>
  <r>
    <d v="2024-01-12T00:00:00"/>
    <s v="January"/>
    <d v="1899-12-30T18:48:40"/>
    <s v="&quot;CNR1935772&quot;"/>
    <s v="Cancelled by Driver"/>
    <s v="&quot;CID2909332&quot;"/>
    <x v="1"/>
    <s v="Central Secretariat"/>
    <s v="Janakpuri"/>
    <n v="10.8"/>
    <s v="null"/>
    <s v="null"/>
    <s v="null"/>
    <n v="1"/>
    <s v="The customer was coughing/sick"/>
    <s v="null"/>
    <s v="null"/>
    <s v="null"/>
    <s v="null"/>
    <s v="null"/>
    <s v="null"/>
    <s v="null"/>
  </r>
  <r>
    <d v="2024-05-07T00:00:00"/>
    <s v="May"/>
    <d v="1899-12-30T20:05:26"/>
    <s v="&quot;CNR4730676&quot;"/>
    <s v="Completed"/>
    <s v="&quot;CID5429248&quot;"/>
    <x v="2"/>
    <s v="Noida Sector 18"/>
    <s v="Malviya Nagar"/>
    <n v="9.4"/>
    <n v="41.6"/>
    <s v="null"/>
    <s v="null"/>
    <s v="null"/>
    <s v="null"/>
    <s v="null"/>
    <s v="null"/>
    <n v="465"/>
    <n v="25.05"/>
    <n v="4.4000000000000004"/>
    <n v="4.9000000000000004"/>
    <s v="Credit Card"/>
  </r>
  <r>
    <d v="2024-08-27T00:00:00"/>
    <s v="August"/>
    <d v="1899-12-30T09:40:17"/>
    <s v="&quot;CNR6139544&quot;"/>
    <s v="Completed"/>
    <s v="&quot;CID9812979&quot;"/>
    <x v="2"/>
    <s v="Khan Market"/>
    <s v="New Delhi Railway Station"/>
    <n v="5.3"/>
    <n v="43.6"/>
    <s v="null"/>
    <s v="null"/>
    <s v="null"/>
    <s v="null"/>
    <s v="null"/>
    <s v="null"/>
    <n v="932"/>
    <n v="40.21"/>
    <n v="4.0999999999999996"/>
    <n v="4.0999999999999996"/>
    <s v="UPI"/>
  </r>
  <r>
    <d v="2024-04-03T00:00:00"/>
    <s v="April"/>
    <d v="1899-12-30T19:47:28"/>
    <s v="&quot;CNR3805926&quot;"/>
    <s v="Completed"/>
    <s v="&quot;CID1837528&quot;"/>
    <x v="3"/>
    <s v="ITO"/>
    <s v="Noida Film City"/>
    <n v="10.8"/>
    <n v="33.700000000000003"/>
    <s v="null"/>
    <s v="null"/>
    <s v="null"/>
    <s v="null"/>
    <s v="null"/>
    <s v="null"/>
    <n v="191"/>
    <n v="44.48"/>
    <n v="3.8"/>
    <n v="4.9000000000000004"/>
    <s v="Cash"/>
  </r>
  <r>
    <d v="2024-04-21T00:00:00"/>
    <s v="April"/>
    <d v="1899-12-30T12:27:17"/>
    <s v="&quot;CNR5129655&quot;"/>
    <s v="Completed"/>
    <s v="&quot;CID6449078&quot;"/>
    <x v="4"/>
    <s v="India Gate"/>
    <s v="Shastri Nagar"/>
    <n v="5.2"/>
    <n v="34.9"/>
    <s v="null"/>
    <s v="null"/>
    <s v="null"/>
    <s v="null"/>
    <s v="null"/>
    <s v="null"/>
    <n v="770"/>
    <n v="6.82"/>
    <n v="4.3"/>
    <n v="4.8"/>
    <s v="UPI"/>
  </r>
  <r>
    <d v="2024-09-15T00:00:00"/>
    <s v="September"/>
    <d v="1899-12-30T19:41:11"/>
    <s v="&quot;CNR8725828&quot;"/>
    <s v="Completed"/>
    <s v="&quot;CID5970413&quot;"/>
    <x v="5"/>
    <s v="Indraprastha"/>
    <s v="IGI Airport"/>
    <n v="14.3"/>
    <n v="23.4"/>
    <s v="null"/>
    <s v="null"/>
    <s v="null"/>
    <s v="null"/>
    <s v="null"/>
    <s v="null"/>
    <n v="514"/>
    <n v="16.21"/>
    <n v="4.3"/>
    <n v="3.8"/>
    <s v="UPI"/>
  </r>
  <r>
    <d v="2024-05-14T00:00:00"/>
    <s v="May"/>
    <d v="1899-12-30T14:17:08"/>
    <s v="&quot;CNR6557966&quot;"/>
    <s v="Cancelled by Driver"/>
    <s v="&quot;CID9646686&quot;"/>
    <x v="5"/>
    <s v="Jasola"/>
    <s v="Rohini"/>
    <n v="11.7"/>
    <s v="null"/>
    <s v="null"/>
    <s v="null"/>
    <n v="1"/>
    <s v="More than permitted people in there"/>
    <s v="null"/>
    <s v="null"/>
    <s v="null"/>
    <s v="null"/>
    <s v="null"/>
    <s v="null"/>
    <s v="null"/>
  </r>
  <r>
    <d v="2024-09-18T00:00:00"/>
    <s v="September"/>
    <d v="1899-12-30T18:07:44"/>
    <s v="&quot;CNR5403690&quot;"/>
    <s v="Completed"/>
    <s v="&quot;CID2856626&quot;"/>
    <x v="1"/>
    <s v="Botanical Garden"/>
    <s v="Mansarovar Park"/>
    <n v="11.7"/>
    <n v="17.3"/>
    <s v="null"/>
    <s v="null"/>
    <s v="null"/>
    <s v="null"/>
    <s v="null"/>
    <s v="null"/>
    <n v="349"/>
    <n v="12.9"/>
    <n v="4.2"/>
    <n v="5"/>
    <s v="UPI"/>
  </r>
  <r>
    <d v="2024-07-27T00:00:00"/>
    <s v="July"/>
    <d v="1899-12-30T21:55:25"/>
    <s v="&quot;CNR4969264&quot;"/>
    <s v="Cancelled by Driver"/>
    <s v="&quot;CID8159457&quot;"/>
    <x v="5"/>
    <s v="Narsinghpur"/>
    <s v="Inderlok"/>
    <n v="10.1"/>
    <s v="null"/>
    <s v="null"/>
    <s v="null"/>
    <n v="1"/>
    <s v="Customer related issue"/>
    <s v="null"/>
    <s v="null"/>
    <s v="null"/>
    <s v="null"/>
    <s v="null"/>
    <s v="null"/>
    <s v="null"/>
  </r>
  <r>
    <d v="2024-10-07T00:00:00"/>
    <s v="October"/>
    <d v="1899-12-30T16:22:15"/>
    <s v="&quot;CNR6028710&quot;"/>
    <s v="Completed"/>
    <s v="&quot;CID1715075&quot;"/>
    <x v="0"/>
    <s v="Janakpuri"/>
    <s v="Golf Course Road"/>
    <n v="9.1999999999999993"/>
    <n v="41.2"/>
    <s v="null"/>
    <s v="null"/>
    <s v="null"/>
    <s v="null"/>
    <s v="null"/>
    <s v="null"/>
    <n v="267"/>
    <n v="12.22"/>
    <n v="4.3"/>
    <n v="4.0999999999999996"/>
    <s v="Cash"/>
  </r>
  <r>
    <d v="2024-11-19T00:00:00"/>
    <s v="November"/>
    <d v="1899-12-30T07:50:54"/>
    <s v="&quot;CNR3761377&quot;"/>
    <s v="No Driver Found"/>
    <s v="&quot;CID2461173&quot;"/>
    <x v="0"/>
    <s v="Ashok Park Main"/>
    <s v="Lok Kalyan Marg"/>
    <s v="null"/>
    <s v="null"/>
    <s v="null"/>
    <s v="null"/>
    <s v="null"/>
    <s v="null"/>
    <s v="null"/>
    <s v="null"/>
    <s v="null"/>
    <s v="null"/>
    <s v="null"/>
    <s v="null"/>
    <s v="null"/>
  </r>
  <r>
    <d v="2024-06-27T00:00:00"/>
    <s v="June"/>
    <d v="1899-12-30T17:13:13"/>
    <s v="&quot;CNR2650074&quot;"/>
    <s v="Completed"/>
    <s v="&quot;CID5603156&quot;"/>
    <x v="5"/>
    <s v="Samaypur Badli"/>
    <s v="Ghitorni"/>
    <n v="4.4000000000000004"/>
    <n v="37"/>
    <s v="null"/>
    <s v="null"/>
    <s v="null"/>
    <s v="null"/>
    <s v="null"/>
    <s v="null"/>
    <n v="325"/>
    <n v="3.95"/>
    <n v="3.8"/>
    <n v="4.8"/>
    <s v="UPI"/>
  </r>
  <r>
    <d v="2024-03-16T00:00:00"/>
    <s v="March"/>
    <d v="1899-12-30T19:36:59"/>
    <s v="&quot;CNR7381283&quot;"/>
    <s v="Completed"/>
    <s v="&quot;CID8868738&quot;"/>
    <x v="1"/>
    <s v="Laxmi Nagar"/>
    <s v="Pragati Maidan"/>
    <n v="4.3"/>
    <n v="15.6"/>
    <s v="null"/>
    <s v="null"/>
    <s v="null"/>
    <s v="null"/>
    <s v="null"/>
    <s v="null"/>
    <n v="156"/>
    <n v="42.87"/>
    <n v="3.9"/>
    <n v="4.2"/>
    <s v="Cash"/>
  </r>
  <r>
    <d v="2024-06-16T00:00:00"/>
    <s v="June"/>
    <d v="1899-12-30T21:03:43"/>
    <s v="&quot;CNR2531495&quot;"/>
    <s v="Completed"/>
    <s v="&quot;CID7656183&quot;"/>
    <x v="4"/>
    <s v="Lok Kalyan Marg"/>
    <s v="IGNOU Road"/>
    <n v="5.2"/>
    <n v="27.3"/>
    <s v="null"/>
    <s v="null"/>
    <s v="null"/>
    <s v="null"/>
    <s v="null"/>
    <s v="null"/>
    <n v="689"/>
    <n v="39.840000000000003"/>
    <n v="4.3"/>
    <n v="4.9000000000000004"/>
    <s v="UPI"/>
  </r>
  <r>
    <d v="2024-04-13T00:00:00"/>
    <s v="April"/>
    <d v="1899-12-30T11:19:15"/>
    <s v="&quot;CNR1939605&quot;"/>
    <s v="Completed"/>
    <s v="&quot;CID1229469&quot;"/>
    <x v="2"/>
    <s v="Munirka"/>
    <s v="Pulbangash"/>
    <n v="13.6"/>
    <n v="40.4"/>
    <s v="null"/>
    <s v="null"/>
    <s v="null"/>
    <s v="null"/>
    <s v="null"/>
    <s v="null"/>
    <n v="491"/>
    <n v="4.1900000000000004"/>
    <n v="3.8"/>
    <n v="3.9"/>
    <s v="Credit Card"/>
  </r>
  <r>
    <d v="2024-08-09T00:00:00"/>
    <s v="August"/>
    <d v="1899-12-30T03:34:51"/>
    <s v="&quot;CNR5149041&quot;"/>
    <s v="Completed"/>
    <s v="&quot;CID6951861&quot;"/>
    <x v="1"/>
    <s v="Noida Sector 18"/>
    <s v="Tilak Nagar"/>
    <n v="10.1"/>
    <n v="32.5"/>
    <s v="null"/>
    <s v="null"/>
    <s v="null"/>
    <s v="null"/>
    <s v="null"/>
    <s v="null"/>
    <n v="304"/>
    <n v="6.18"/>
    <n v="4.2"/>
    <n v="4.3"/>
    <s v="Credit Card"/>
  </r>
  <r>
    <d v="2024-11-28T00:00:00"/>
    <s v="November"/>
    <d v="1899-12-30T20:44:46"/>
    <s v="&quot;CNR7041241&quot;"/>
    <s v="Cancelled by Driver"/>
    <s v="&quot;CID1368334&quot;"/>
    <x v="5"/>
    <s v="Gwal Pahari"/>
    <s v="Rohini East"/>
    <n v="12"/>
    <s v="null"/>
    <s v="null"/>
    <s v="null"/>
    <n v="1"/>
    <s v="More than permitted people in there"/>
    <s v="null"/>
    <s v="null"/>
    <s v="null"/>
    <s v="null"/>
    <s v="null"/>
    <s v="null"/>
    <s v="null"/>
  </r>
  <r>
    <d v="2024-08-30T00:00:00"/>
    <s v="August"/>
    <d v="1899-12-30T19:00:23"/>
    <s v="&quot;CNR8035160&quot;"/>
    <s v="Cancelled by Customer"/>
    <s v="&quot;CID5283020&quot;"/>
    <x v="2"/>
    <s v="Connaught Place"/>
    <s v="Uttam Nagar"/>
    <n v="12.6"/>
    <s v="null"/>
    <n v="1"/>
    <s v="Driver asked to cancel"/>
    <s v="null"/>
    <s v="null"/>
    <s v="null"/>
    <s v="null"/>
    <s v="null"/>
    <s v="null"/>
    <s v="null"/>
    <s v="null"/>
    <s v="null"/>
  </r>
  <r>
    <d v="2024-07-11T00:00:00"/>
    <s v="July"/>
    <d v="1899-12-30T20:29:02"/>
    <s v="&quot;CNR1918341&quot;"/>
    <s v="Completed"/>
    <s v="&quot;CID7417050&quot;"/>
    <x v="2"/>
    <s v="Pitampura"/>
    <s v="Paschim Vihar"/>
    <n v="14.8"/>
    <n v="44.4"/>
    <s v="null"/>
    <s v="null"/>
    <s v="null"/>
    <s v="null"/>
    <s v="null"/>
    <s v="null"/>
    <n v="697"/>
    <n v="4.5599999999999996"/>
    <n v="4.5"/>
    <n v="4.5999999999999996"/>
    <s v="UPI"/>
  </r>
  <r>
    <d v="2024-07-25T00:00:00"/>
    <s v="July"/>
    <d v="1899-12-30T19:28:35"/>
    <s v="&quot;CNR9600846&quot;"/>
    <s v="Completed"/>
    <s v="&quot;CID8949589&quot;"/>
    <x v="2"/>
    <s v="Udyog Bhawan"/>
    <s v="Janakpuri"/>
    <n v="3.8"/>
    <n v="20.100000000000001"/>
    <s v="null"/>
    <s v="null"/>
    <s v="null"/>
    <s v="null"/>
    <s v="null"/>
    <s v="null"/>
    <n v="679"/>
    <n v="47.56"/>
    <n v="4.2"/>
    <n v="4.9000000000000004"/>
    <s v="UPI"/>
  </r>
  <r>
    <d v="2024-08-17T00:00:00"/>
    <s v="August"/>
    <d v="1899-12-30T18:35:05"/>
    <s v="&quot;CNR2775291&quot;"/>
    <s v="Incomplete"/>
    <s v="&quot;CID9116623&quot;"/>
    <x v="3"/>
    <s v="Jahangirpuri"/>
    <s v="Indirapuram"/>
    <n v="2.9"/>
    <n v="18"/>
    <s v="null"/>
    <s v="null"/>
    <s v="null"/>
    <s v="null"/>
    <n v="1"/>
    <s v="Other Issue"/>
    <n v="713"/>
    <n v="14.65"/>
    <s v="null"/>
    <s v="null"/>
    <s v="Cash"/>
  </r>
  <r>
    <d v="2024-02-18T00:00:00"/>
    <s v="February"/>
    <d v="1899-12-30T18:57:12"/>
    <s v="&quot;CNR4263854&quot;"/>
    <s v="Cancelled by Driver"/>
    <s v="&quot;CID3967495&quot;"/>
    <x v="1"/>
    <s v="Tughlakabad"/>
    <s v="Vidhan Sabha"/>
    <n v="8.6"/>
    <s v="null"/>
    <s v="null"/>
    <s v="null"/>
    <n v="1"/>
    <s v="Customer related issue"/>
    <s v="null"/>
    <s v="null"/>
    <s v="null"/>
    <s v="null"/>
    <s v="null"/>
    <s v="null"/>
    <s v="null"/>
  </r>
  <r>
    <d v="2024-06-16T00:00:00"/>
    <s v="June"/>
    <d v="1899-12-30T10:12:54"/>
    <s v="&quot;CNR4635401&quot;"/>
    <s v="Completed"/>
    <s v="&quot;CID3741723&quot;"/>
    <x v="5"/>
    <s v="Anand Vihar"/>
    <s v="Gurgaon Sector 56"/>
    <n v="10"/>
    <n v="18.5"/>
    <s v="null"/>
    <s v="null"/>
    <s v="null"/>
    <s v="null"/>
    <s v="null"/>
    <s v="null"/>
    <n v="683"/>
    <n v="32.15"/>
    <n v="4.5999999999999996"/>
    <n v="4"/>
    <s v="UPI"/>
  </r>
  <r>
    <d v="2024-07-08T00:00:00"/>
    <s v="July"/>
    <d v="1899-12-30T21:04:51"/>
    <s v="&quot;CNR2135475&quot;"/>
    <s v="Completed"/>
    <s v="&quot;CID8123696&quot;"/>
    <x v="1"/>
    <s v="Vatika Chowk"/>
    <s v="Paharganj"/>
    <n v="7.8"/>
    <n v="36.4"/>
    <s v="null"/>
    <s v="null"/>
    <s v="null"/>
    <s v="null"/>
    <s v="null"/>
    <s v="null"/>
    <n v="91"/>
    <n v="23.5"/>
    <n v="4"/>
    <n v="4.3"/>
    <s v="UPI"/>
  </r>
  <r>
    <d v="2024-02-26T00:00:00"/>
    <s v="February"/>
    <d v="1899-12-30T14:46:21"/>
    <s v="&quot;CNR2438435&quot;"/>
    <s v="Incomplete"/>
    <s v="&quot;CID7928240&quot;"/>
    <x v="0"/>
    <s v="Central Secretariat"/>
    <s v="Sikanderpur"/>
    <n v="3.1"/>
    <n v="12.4"/>
    <s v="null"/>
    <s v="null"/>
    <s v="null"/>
    <s v="null"/>
    <n v="1"/>
    <s v="Other Issue"/>
    <n v="396"/>
    <n v="16.61"/>
    <s v="null"/>
    <s v="null"/>
    <s v="UPI"/>
  </r>
  <r>
    <d v="2024-02-28T00:00:00"/>
    <s v="February"/>
    <d v="1899-12-30T16:43:09"/>
    <s v="&quot;CNR2068345&quot;"/>
    <s v="Completed"/>
    <s v="&quot;CID1975343&quot;"/>
    <x v="1"/>
    <s v="Govindpuri"/>
    <s v="Kalkaji"/>
    <n v="8.5"/>
    <n v="35.700000000000003"/>
    <s v="null"/>
    <s v="null"/>
    <s v="null"/>
    <s v="null"/>
    <s v="null"/>
    <s v="null"/>
    <n v="769"/>
    <n v="18.14"/>
    <n v="4.4000000000000004"/>
    <n v="4.0999999999999996"/>
    <s v="Cash"/>
  </r>
  <r>
    <d v="2024-12-27T00:00:00"/>
    <s v="December"/>
    <d v="1899-12-30T01:14:14"/>
    <s v="&quot;CNR6107939&quot;"/>
    <s v="Completed"/>
    <s v="&quot;CID3244272&quot;"/>
    <x v="4"/>
    <s v="Welcome"/>
    <s v="DLF Phase 3"/>
    <n v="2.2999999999999998"/>
    <n v="16.399999999999999"/>
    <s v="null"/>
    <s v="null"/>
    <s v="null"/>
    <s v="null"/>
    <s v="null"/>
    <s v="null"/>
    <n v="323"/>
    <n v="31.1"/>
    <n v="3.6"/>
    <n v="4.5999999999999996"/>
    <s v="Uber Wallet"/>
  </r>
  <r>
    <d v="2024-12-06T00:00:00"/>
    <s v="December"/>
    <d v="1899-12-30T16:09:31"/>
    <s v="&quot;CNR6577172&quot;"/>
    <s v="Incomplete"/>
    <s v="&quot;CID5963264&quot;"/>
    <x v="3"/>
    <s v="Preet Vihar"/>
    <s v="Mehrauli"/>
    <n v="3.6"/>
    <n v="27.7"/>
    <s v="null"/>
    <s v="null"/>
    <s v="null"/>
    <s v="null"/>
    <n v="1"/>
    <s v="Other Issue"/>
    <n v="627"/>
    <n v="3.74"/>
    <s v="null"/>
    <s v="null"/>
    <s v="Uber Wallet"/>
  </r>
  <r>
    <d v="2024-05-13T00:00:00"/>
    <s v="May"/>
    <d v="1899-12-30T18:47:50"/>
    <s v="&quot;CNR1957129&quot;"/>
    <s v="Completed"/>
    <s v="&quot;CID5761924&quot;"/>
    <x v="2"/>
    <s v="Noida Extension"/>
    <s v="Old Gurgaon"/>
    <n v="12.9"/>
    <n v="26"/>
    <s v="null"/>
    <s v="null"/>
    <s v="null"/>
    <s v="null"/>
    <s v="null"/>
    <s v="null"/>
    <n v="134"/>
    <n v="13.99"/>
    <n v="4.8"/>
    <n v="4.0999999999999996"/>
    <s v="Cash"/>
  </r>
  <r>
    <d v="2024-05-09T00:00:00"/>
    <s v="May"/>
    <d v="1899-12-30T17:14:18"/>
    <s v="&quot;CNR1531092&quot;"/>
    <s v="Completed"/>
    <s v="&quot;CID7911273&quot;"/>
    <x v="5"/>
    <s v="Kanhaiya Nagar"/>
    <s v="Satguru Ram Singh Marg"/>
    <n v="12.1"/>
    <n v="33.6"/>
    <s v="null"/>
    <s v="null"/>
    <s v="null"/>
    <s v="null"/>
    <s v="null"/>
    <s v="null"/>
    <n v="940"/>
    <n v="5.04"/>
    <n v="4.5999999999999996"/>
    <n v="4.5999999999999996"/>
    <s v="Credit Card"/>
  </r>
  <r>
    <d v="2024-11-19T00:00:00"/>
    <s v="November"/>
    <d v="1899-12-30T21:04:42"/>
    <s v="&quot;CNR6891932&quot;"/>
    <s v="No Driver Found"/>
    <s v="&quot;CID1466189&quot;"/>
    <x v="0"/>
    <s v="Seelampur"/>
    <s v="Udyog Bhawan"/>
    <s v="null"/>
    <s v="null"/>
    <s v="null"/>
    <s v="null"/>
    <s v="null"/>
    <s v="null"/>
    <s v="null"/>
    <s v="null"/>
    <s v="null"/>
    <s v="null"/>
    <s v="null"/>
    <s v="null"/>
    <s v="null"/>
  </r>
  <r>
    <d v="2024-04-04T00:00:00"/>
    <s v="April"/>
    <d v="1899-12-30T14:02:47"/>
    <s v="&quot;CNR2192659&quot;"/>
    <s v="Completed"/>
    <s v="&quot;CID5227340&quot;"/>
    <x v="2"/>
    <s v="Anand Vihar"/>
    <s v="Chirag Delhi"/>
    <n v="9.6"/>
    <n v="26.2"/>
    <s v="null"/>
    <s v="null"/>
    <s v="null"/>
    <s v="null"/>
    <s v="null"/>
    <s v="null"/>
    <n v="266"/>
    <n v="36.18"/>
    <n v="4.0999999999999996"/>
    <n v="4.2"/>
    <s v="Uber Wallet"/>
  </r>
  <r>
    <d v="2024-11-19T00:00:00"/>
    <s v="November"/>
    <d v="1899-12-30T20:15:39"/>
    <s v="&quot;CNR6262174&quot;"/>
    <s v="Completed"/>
    <s v="&quot;CID4943288&quot;"/>
    <x v="2"/>
    <s v="Mehrauli"/>
    <s v="Karol Bagh"/>
    <n v="8.1"/>
    <n v="26.4"/>
    <s v="null"/>
    <s v="null"/>
    <s v="null"/>
    <s v="null"/>
    <s v="null"/>
    <s v="null"/>
    <n v="484"/>
    <n v="13.21"/>
    <n v="4.5"/>
    <n v="4.3"/>
    <s v="Uber Wallet"/>
  </r>
  <r>
    <d v="2024-06-04T00:00:00"/>
    <s v="June"/>
    <d v="1899-12-30T20:15:11"/>
    <s v="&quot;CNR7791863&quot;"/>
    <s v="Completed"/>
    <s v="&quot;CID1873624&quot;"/>
    <x v="1"/>
    <s v="Indirapuram"/>
    <s v="Noida Sector 62"/>
    <n v="5.6"/>
    <n v="19.2"/>
    <s v="null"/>
    <s v="null"/>
    <s v="null"/>
    <s v="null"/>
    <s v="null"/>
    <s v="null"/>
    <n v="250"/>
    <n v="6.06"/>
    <n v="4.3"/>
    <n v="4.7"/>
    <s v="Cash"/>
  </r>
  <r>
    <d v="2024-08-13T00:00:00"/>
    <s v="August"/>
    <d v="1899-12-30T13:22:10"/>
    <s v="&quot;CNR8243301&quot;"/>
    <s v="Cancelled by Driver"/>
    <s v="&quot;CID7666967&quot;"/>
    <x v="2"/>
    <s v="IGI Airport"/>
    <s v="Civil Lines Gurgaon"/>
    <n v="9.3000000000000007"/>
    <s v="null"/>
    <s v="null"/>
    <s v="null"/>
    <n v="1"/>
    <s v="The customer was coughing/sick"/>
    <s v="null"/>
    <s v="null"/>
    <s v="null"/>
    <s v="null"/>
    <s v="null"/>
    <s v="null"/>
    <s v="null"/>
  </r>
  <r>
    <d v="2024-12-25T00:00:00"/>
    <s v="December"/>
    <d v="1899-12-30T11:03:11"/>
    <s v="&quot;CNR9897424&quot;"/>
    <s v="Incomplete"/>
    <s v="&quot;CID8433669&quot;"/>
    <x v="4"/>
    <s v="Saket"/>
    <s v="Noida Extension"/>
    <n v="8.8000000000000007"/>
    <n v="20"/>
    <s v="null"/>
    <s v="null"/>
    <s v="null"/>
    <s v="null"/>
    <n v="1"/>
    <s v="Customer Demand"/>
    <n v="361"/>
    <n v="14.61"/>
    <s v="null"/>
    <s v="null"/>
    <s v="UPI"/>
  </r>
  <r>
    <d v="2024-06-30T00:00:00"/>
    <s v="June"/>
    <d v="1899-12-30T11:57:59"/>
    <s v="&quot;CNR5745004&quot;"/>
    <s v="Completed"/>
    <s v="&quot;CID8137475&quot;"/>
    <x v="5"/>
    <s v="Basai Dhankot"/>
    <s v="Shivaji Park"/>
    <n v="2.6"/>
    <n v="21"/>
    <s v="null"/>
    <s v="null"/>
    <s v="null"/>
    <s v="null"/>
    <s v="null"/>
    <s v="null"/>
    <n v="224"/>
    <n v="48.08"/>
    <n v="5"/>
    <n v="4.5999999999999996"/>
    <s v="Cash"/>
  </r>
  <r>
    <d v="2024-01-20T00:00:00"/>
    <s v="January"/>
    <d v="1899-12-30T21:15:24"/>
    <s v="&quot;CNR9659819&quot;"/>
    <s v="Cancelled by Customer"/>
    <s v="&quot;CID5653812&quot;"/>
    <x v="5"/>
    <s v="Huda City Centre"/>
    <s v="Hauz Rani"/>
    <n v="8.5"/>
    <s v="null"/>
    <n v="1"/>
    <s v="Driver asked to cancel"/>
    <s v="null"/>
    <s v="null"/>
    <s v="null"/>
    <s v="null"/>
    <s v="null"/>
    <s v="null"/>
    <s v="null"/>
    <s v="null"/>
    <s v="null"/>
  </r>
  <r>
    <d v="2024-04-10T00:00:00"/>
    <s v="April"/>
    <d v="1899-12-30T11:34:22"/>
    <s v="&quot;CNR8084453&quot;"/>
    <s v="Completed"/>
    <s v="&quot;CID5057901&quot;"/>
    <x v="3"/>
    <s v="Vatika Chowk"/>
    <s v="Saidulajab"/>
    <n v="12.8"/>
    <n v="36.799999999999997"/>
    <s v="null"/>
    <s v="null"/>
    <s v="null"/>
    <s v="null"/>
    <s v="null"/>
    <s v="null"/>
    <n v="669"/>
    <n v="39.51"/>
    <n v="3.6"/>
    <n v="4.2"/>
    <s v="Cash"/>
  </r>
  <r>
    <d v="2024-07-28T00:00:00"/>
    <s v="July"/>
    <d v="1899-12-30T09:55:49"/>
    <s v="&quot;CNR6574173&quot;"/>
    <s v="Cancelled by Customer"/>
    <s v="&quot;CID6454968&quot;"/>
    <x v="1"/>
    <s v="Gurgaon Sector 29"/>
    <s v="Kherki Daula Toll"/>
    <n v="8.6999999999999993"/>
    <s v="null"/>
    <n v="1"/>
    <s v="Driver asked to cancel"/>
    <s v="null"/>
    <s v="null"/>
    <s v="null"/>
    <s v="null"/>
    <s v="null"/>
    <s v="null"/>
    <s v="null"/>
    <s v="null"/>
    <s v="null"/>
  </r>
  <r>
    <d v="2024-08-04T00:00:00"/>
    <s v="August"/>
    <d v="1899-12-30T08:25:20"/>
    <s v="&quot;CNR4467044&quot;"/>
    <s v="Cancelled by Driver"/>
    <s v="&quot;CID9935423&quot;"/>
    <x v="2"/>
    <s v="Kalkaji"/>
    <s v="INA Market"/>
    <n v="8.8000000000000007"/>
    <s v="null"/>
    <s v="null"/>
    <s v="null"/>
    <n v="1"/>
    <s v="Customer related issue"/>
    <s v="null"/>
    <s v="null"/>
    <s v="null"/>
    <s v="null"/>
    <s v="null"/>
    <s v="null"/>
    <s v="null"/>
  </r>
  <r>
    <d v="2024-08-05T00:00:00"/>
    <s v="August"/>
    <d v="1899-12-30T15:40:40"/>
    <s v="&quot;CNR3334608&quot;"/>
    <s v="Completed"/>
    <s v="&quot;CID2336782&quot;"/>
    <x v="5"/>
    <s v="GTB Nagar"/>
    <s v="Kalkaji"/>
    <n v="5.2"/>
    <n v="31.7"/>
    <s v="null"/>
    <s v="null"/>
    <s v="null"/>
    <s v="null"/>
    <s v="null"/>
    <s v="null"/>
    <n v="207"/>
    <n v="7.83"/>
    <n v="4.4000000000000004"/>
    <n v="3.9"/>
    <s v="Uber Wallet"/>
  </r>
  <r>
    <d v="2024-08-16T00:00:00"/>
    <s v="August"/>
    <d v="1899-12-30T12:45:03"/>
    <s v="&quot;CNR3901250&quot;"/>
    <s v="Completed"/>
    <s v="&quot;CID4369282&quot;"/>
    <x v="1"/>
    <s v="Rajiv Nagar"/>
    <s v="Meerut"/>
    <n v="13.2"/>
    <n v="35.799999999999997"/>
    <s v="null"/>
    <s v="null"/>
    <s v="null"/>
    <s v="null"/>
    <s v="null"/>
    <s v="null"/>
    <n v="227"/>
    <n v="12.34"/>
    <n v="4.0999999999999996"/>
    <n v="3.1"/>
    <s v="Cash"/>
  </r>
  <r>
    <d v="2024-03-21T00:00:00"/>
    <s v="March"/>
    <d v="1899-12-30T01:29:50"/>
    <s v="&quot;CNR3899180&quot;"/>
    <s v="Completed"/>
    <s v="&quot;CID3915373&quot;"/>
    <x v="3"/>
    <s v="Panchsheel Park"/>
    <s v="Yamuna Bank"/>
    <n v="2.2999999999999998"/>
    <n v="33.799999999999997"/>
    <s v="null"/>
    <s v="null"/>
    <s v="null"/>
    <s v="null"/>
    <s v="null"/>
    <s v="null"/>
    <n v="771"/>
    <n v="36.700000000000003"/>
    <n v="3.5"/>
    <n v="4.5999999999999996"/>
    <s v="UPI"/>
  </r>
  <r>
    <d v="2024-04-29T00:00:00"/>
    <s v="April"/>
    <d v="1899-12-30T22:39:08"/>
    <s v="&quot;CNR7686844&quot;"/>
    <s v="Cancelled by Driver"/>
    <s v="&quot;CID4485200&quot;"/>
    <x v="2"/>
    <s v="Sonipat"/>
    <s v="GTB Nagar"/>
    <n v="9.1"/>
    <s v="null"/>
    <s v="null"/>
    <s v="null"/>
    <n v="1"/>
    <s v="Personal &amp; Car related issues"/>
    <s v="null"/>
    <s v="null"/>
    <s v="null"/>
    <s v="null"/>
    <s v="null"/>
    <s v="null"/>
    <s v="null"/>
  </r>
  <r>
    <d v="2024-05-06T00:00:00"/>
    <s v="May"/>
    <d v="1899-12-30T13:35:55"/>
    <s v="&quot;CNR7619619&quot;"/>
    <s v="Completed"/>
    <s v="&quot;CID9964707&quot;"/>
    <x v="2"/>
    <s v="Sadar Bazar Gurgaon"/>
    <s v="Chanakyapuri"/>
    <n v="14.2"/>
    <n v="26.4"/>
    <s v="null"/>
    <s v="null"/>
    <s v="null"/>
    <s v="null"/>
    <s v="null"/>
    <s v="null"/>
    <n v="441"/>
    <n v="31.5"/>
    <n v="4.7"/>
    <n v="3.1"/>
    <s v="Uber Wallet"/>
  </r>
  <r>
    <d v="2024-09-13T00:00:00"/>
    <s v="September"/>
    <d v="1899-12-30T15:20:50"/>
    <s v="&quot;CNR3128056&quot;"/>
    <s v="Cancelled by Driver"/>
    <s v="&quot;CID1669827&quot;"/>
    <x v="1"/>
    <s v="Netaji Subhash Place"/>
    <s v="Kashmere Gate ISBT"/>
    <n v="11.2"/>
    <s v="null"/>
    <s v="null"/>
    <s v="null"/>
    <n v="1"/>
    <s v="Customer related issue"/>
    <s v="null"/>
    <s v="null"/>
    <s v="null"/>
    <s v="null"/>
    <s v="null"/>
    <s v="null"/>
    <s v="null"/>
  </r>
  <r>
    <d v="2024-05-18T00:00:00"/>
    <s v="May"/>
    <d v="1899-12-30T06:30:30"/>
    <s v="&quot;CNR2415257&quot;"/>
    <s v="Completed"/>
    <s v="&quot;CID6909825&quot;"/>
    <x v="3"/>
    <s v="Lajpat Nagar"/>
    <s v="Rohini"/>
    <n v="12.4"/>
    <n v="21.6"/>
    <s v="null"/>
    <s v="null"/>
    <s v="null"/>
    <s v="null"/>
    <s v="null"/>
    <s v="null"/>
    <n v="788"/>
    <n v="4.26"/>
    <n v="4.2"/>
    <n v="4.5"/>
    <s v="UPI"/>
  </r>
  <r>
    <d v="2024-10-06T00:00:00"/>
    <s v="October"/>
    <d v="1899-12-30T21:53:22"/>
    <s v="&quot;CNR9756448&quot;"/>
    <s v="Completed"/>
    <s v="&quot;CID6952097&quot;"/>
    <x v="2"/>
    <s v="Indraprastha"/>
    <s v="Panipat"/>
    <n v="13.3"/>
    <n v="41.6"/>
    <s v="null"/>
    <s v="null"/>
    <s v="null"/>
    <s v="null"/>
    <s v="null"/>
    <s v="null"/>
    <n v="459"/>
    <n v="46.74"/>
    <n v="5"/>
    <n v="4.9000000000000004"/>
    <s v="UPI"/>
  </r>
  <r>
    <d v="2024-10-10T00:00:00"/>
    <s v="October"/>
    <d v="1899-12-30T03:56:19"/>
    <s v="&quot;CNR5071968&quot;"/>
    <s v="Completed"/>
    <s v="&quot;CID7384045&quot;"/>
    <x v="1"/>
    <s v="Panchsheel Park"/>
    <s v="Yamuna Bank"/>
    <n v="4.7"/>
    <n v="42.5"/>
    <s v="null"/>
    <s v="null"/>
    <s v="null"/>
    <s v="null"/>
    <s v="null"/>
    <s v="null"/>
    <n v="473"/>
    <n v="48.35"/>
    <n v="4.7"/>
    <n v="3.8"/>
    <s v="Cash"/>
  </r>
  <r>
    <d v="2024-05-14T00:00:00"/>
    <s v="May"/>
    <d v="1899-12-30T06:39:13"/>
    <s v="&quot;CNR9262105&quot;"/>
    <s v="Completed"/>
    <s v="&quot;CID3597216&quot;"/>
    <x v="4"/>
    <s v="Noida Sector 62"/>
    <s v="DLF City Court"/>
    <n v="14.5"/>
    <n v="19.8"/>
    <s v="null"/>
    <s v="null"/>
    <s v="null"/>
    <s v="null"/>
    <s v="null"/>
    <s v="null"/>
    <n v="503"/>
    <n v="49.87"/>
    <n v="4.3"/>
    <n v="4.7"/>
    <s v="Cash"/>
  </r>
  <r>
    <d v="2024-12-28T00:00:00"/>
    <s v="December"/>
    <d v="1899-12-30T15:23:53"/>
    <s v="&quot;CNR6026973&quot;"/>
    <s v="Completed"/>
    <s v="&quot;CID7000290&quot;"/>
    <x v="5"/>
    <s v="Badarpur"/>
    <s v="Botanical Garden"/>
    <n v="5.4"/>
    <n v="18.2"/>
    <s v="null"/>
    <s v="null"/>
    <s v="null"/>
    <s v="null"/>
    <s v="null"/>
    <s v="null"/>
    <n v="586"/>
    <n v="22.67"/>
    <n v="4.2"/>
    <n v="4.2"/>
    <s v="UPI"/>
  </r>
  <r>
    <d v="2024-11-11T00:00:00"/>
    <s v="November"/>
    <d v="1899-12-30T16:22:48"/>
    <s v="&quot;CNR6798581&quot;"/>
    <s v="Cancelled by Driver"/>
    <s v="&quot;CID4412829&quot;"/>
    <x v="2"/>
    <s v="South Extension"/>
    <s v="Hauz Rani"/>
    <n v="8.1"/>
    <s v="null"/>
    <s v="null"/>
    <s v="null"/>
    <n v="1"/>
    <s v="Customer related issue"/>
    <s v="null"/>
    <s v="null"/>
    <s v="null"/>
    <s v="null"/>
    <s v="null"/>
    <s v="null"/>
    <s v="null"/>
  </r>
  <r>
    <d v="2024-08-20T00:00:00"/>
    <s v="August"/>
    <d v="1899-12-30T09:51:13"/>
    <s v="&quot;CNR1511311&quot;"/>
    <s v="Cancelled by Driver"/>
    <s v="&quot;CID3430917&quot;"/>
    <x v="4"/>
    <s v="Sikanderpur"/>
    <s v="INA Market"/>
    <n v="7.4"/>
    <s v="null"/>
    <s v="null"/>
    <s v="null"/>
    <n v="1"/>
    <s v="The customer was coughing/sick"/>
    <s v="null"/>
    <s v="null"/>
    <s v="null"/>
    <s v="null"/>
    <s v="null"/>
    <s v="null"/>
    <s v="null"/>
  </r>
  <r>
    <d v="2024-05-29T00:00:00"/>
    <s v="May"/>
    <d v="1899-12-30T22:39:15"/>
    <s v="&quot;CNR1690974&quot;"/>
    <s v="Completed"/>
    <s v="&quot;CID5614686&quot;"/>
    <x v="5"/>
    <s v="Preet Vihar"/>
    <s v="Cyber Hub"/>
    <n v="11.5"/>
    <n v="25.4"/>
    <s v="null"/>
    <s v="null"/>
    <s v="null"/>
    <s v="null"/>
    <s v="null"/>
    <s v="null"/>
    <n v="236"/>
    <n v="45.17"/>
    <n v="4.5999999999999996"/>
    <n v="3"/>
    <s v="UPI"/>
  </r>
  <r>
    <d v="2024-11-19T00:00:00"/>
    <s v="November"/>
    <d v="1899-12-30T17:42:35"/>
    <s v="&quot;CNR2405566&quot;"/>
    <s v="Completed"/>
    <s v="&quot;CID2765782&quot;"/>
    <x v="5"/>
    <s v="Kadarpur"/>
    <s v="Maidan Garhi"/>
    <n v="11.6"/>
    <n v="28.4"/>
    <s v="null"/>
    <s v="null"/>
    <s v="null"/>
    <s v="null"/>
    <s v="null"/>
    <s v="null"/>
    <n v="73"/>
    <n v="23.07"/>
    <n v="4.5999999999999996"/>
    <n v="4.2"/>
    <s v="UPI"/>
  </r>
  <r>
    <d v="2024-11-27T00:00:00"/>
    <s v="November"/>
    <d v="1899-12-30T08:10:57"/>
    <s v="&quot;CNR5503992&quot;"/>
    <s v="Completed"/>
    <s v="&quot;CID3215242&quot;"/>
    <x v="3"/>
    <s v="Malviya Nagar"/>
    <s v="Nehru Place"/>
    <n v="3.1"/>
    <n v="44.8"/>
    <s v="null"/>
    <s v="null"/>
    <s v="null"/>
    <s v="null"/>
    <s v="null"/>
    <s v="null"/>
    <n v="355"/>
    <n v="4.08"/>
    <n v="4.7"/>
    <n v="3.1"/>
    <s v="Cash"/>
  </r>
  <r>
    <d v="2024-10-02T00:00:00"/>
    <s v="October"/>
    <d v="1899-12-30T02:51:56"/>
    <s v="&quot;CNR5487256&quot;"/>
    <s v="Completed"/>
    <s v="&quot;CID2154074&quot;"/>
    <x v="2"/>
    <s v="Pitampura"/>
    <s v="Yamuna Bank"/>
    <n v="11.1"/>
    <n v="23.6"/>
    <s v="null"/>
    <s v="null"/>
    <s v="null"/>
    <s v="null"/>
    <s v="null"/>
    <s v="null"/>
    <n v="663"/>
    <n v="41.97"/>
    <n v="3.9"/>
    <n v="4.0999999999999996"/>
    <s v="UPI"/>
  </r>
  <r>
    <d v="2024-04-13T00:00:00"/>
    <s v="April"/>
    <d v="1899-12-30T18:30:55"/>
    <s v="&quot;CNR9280980&quot;"/>
    <s v="Completed"/>
    <s v="&quot;CID4697642&quot;"/>
    <x v="2"/>
    <s v="Kalkaji"/>
    <s v="Sultanpur"/>
    <n v="2.6"/>
    <n v="39.6"/>
    <s v="null"/>
    <s v="null"/>
    <s v="null"/>
    <s v="null"/>
    <s v="null"/>
    <s v="null"/>
    <n v="886"/>
    <n v="38.82"/>
    <n v="4.2"/>
    <n v="4.3"/>
    <s v="UPI"/>
  </r>
  <r>
    <d v="2024-12-29T00:00:00"/>
    <s v="December"/>
    <d v="1899-12-30T19:49:23"/>
    <s v="&quot;CNR5735365&quot;"/>
    <s v="Completed"/>
    <s v="&quot;CID4330019&quot;"/>
    <x v="2"/>
    <s v="Anand Vihar ISBT"/>
    <s v="Hauz Khas"/>
    <n v="7.2"/>
    <n v="37.700000000000003"/>
    <s v="null"/>
    <s v="null"/>
    <s v="null"/>
    <s v="null"/>
    <s v="null"/>
    <s v="null"/>
    <n v="292"/>
    <n v="30.4"/>
    <n v="4.2"/>
    <n v="3.7"/>
    <s v="Cash"/>
  </r>
  <r>
    <d v="2024-06-05T00:00:00"/>
    <s v="June"/>
    <d v="1899-12-30T10:39:57"/>
    <s v="&quot;CNR7094496&quot;"/>
    <s v="Completed"/>
    <s v="&quot;CID1193764&quot;"/>
    <x v="2"/>
    <s v="Gurgaon Sector 29"/>
    <s v="Rajouri Garden"/>
    <n v="2"/>
    <n v="37.299999999999997"/>
    <s v="null"/>
    <s v="null"/>
    <s v="null"/>
    <s v="null"/>
    <s v="null"/>
    <s v="null"/>
    <n v="564"/>
    <n v="19.78"/>
    <n v="4.4000000000000004"/>
    <n v="4.2"/>
    <s v="UPI"/>
  </r>
  <r>
    <d v="2024-04-08T00:00:00"/>
    <s v="April"/>
    <d v="1899-12-30T18:09:35"/>
    <s v="&quot;CNR8674052&quot;"/>
    <s v="Cancelled by Driver"/>
    <s v="&quot;CID9232244&quot;"/>
    <x v="4"/>
    <s v="Noida Film City"/>
    <s v="Jama Masjid"/>
    <n v="8.6999999999999993"/>
    <s v="null"/>
    <s v="null"/>
    <s v="null"/>
    <n v="1"/>
    <s v="More than permitted people in there"/>
    <s v="null"/>
    <s v="null"/>
    <s v="null"/>
    <s v="null"/>
    <s v="null"/>
    <s v="null"/>
    <s v="null"/>
  </r>
  <r>
    <d v="2024-05-26T00:00:00"/>
    <s v="May"/>
    <d v="1899-12-30T20:42:23"/>
    <s v="&quot;CNR3317899&quot;"/>
    <s v="Completed"/>
    <s v="&quot;CID7292132&quot;"/>
    <x v="5"/>
    <s v="Hero Honda Chowk"/>
    <s v="Satguru Ram Singh Marg"/>
    <n v="11.3"/>
    <n v="39.799999999999997"/>
    <s v="null"/>
    <s v="null"/>
    <s v="null"/>
    <s v="null"/>
    <s v="null"/>
    <s v="null"/>
    <n v="619"/>
    <n v="47.2"/>
    <n v="4.2"/>
    <n v="4.3"/>
    <s v="Cash"/>
  </r>
  <r>
    <d v="2024-10-03T00:00:00"/>
    <s v="October"/>
    <d v="1899-12-30T09:05:53"/>
    <s v="&quot;CNR7648257&quot;"/>
    <s v="Completed"/>
    <s v="&quot;CID6260946&quot;"/>
    <x v="5"/>
    <s v="Khan Market"/>
    <s v="AIIMS"/>
    <n v="2.7"/>
    <n v="28.4"/>
    <s v="null"/>
    <s v="null"/>
    <s v="null"/>
    <s v="null"/>
    <s v="null"/>
    <s v="null"/>
    <n v="963"/>
    <n v="17.43"/>
    <n v="4.8"/>
    <n v="3.8"/>
    <s v="Uber Wallet"/>
  </r>
  <r>
    <d v="2024-07-23T00:00:00"/>
    <s v="July"/>
    <d v="1899-12-30T01:52:02"/>
    <s v="&quot;CNR9887499&quot;"/>
    <s v="Completed"/>
    <s v="&quot;CID4896073&quot;"/>
    <x v="2"/>
    <s v="Jahangirpuri"/>
    <s v="Rajiv Nagar"/>
    <n v="4.8"/>
    <n v="33.6"/>
    <s v="null"/>
    <s v="null"/>
    <s v="null"/>
    <s v="null"/>
    <s v="null"/>
    <s v="null"/>
    <n v="427"/>
    <n v="14.43"/>
    <n v="4.0999999999999996"/>
    <n v="4.5999999999999996"/>
    <s v="UPI"/>
  </r>
  <r>
    <d v="2024-10-09T00:00:00"/>
    <s v="October"/>
    <d v="1899-12-30T02:44:58"/>
    <s v="&quot;CNR5899408&quot;"/>
    <s v="Completed"/>
    <s v="&quot;CID6731666&quot;"/>
    <x v="2"/>
    <s v="Chhatarpur"/>
    <s v="Vatika Chowk"/>
    <n v="4.4000000000000004"/>
    <n v="42.4"/>
    <s v="null"/>
    <s v="null"/>
    <s v="null"/>
    <s v="null"/>
    <s v="null"/>
    <s v="null"/>
    <n v="60"/>
    <n v="22.92"/>
    <n v="4.5999999999999996"/>
    <n v="3.7"/>
    <s v="Cash"/>
  </r>
  <r>
    <d v="2024-11-06T00:00:00"/>
    <s v="November"/>
    <d v="1899-12-30T13:15:08"/>
    <s v="&quot;CNR4090725&quot;"/>
    <s v="Completed"/>
    <s v="&quot;CID9333845&quot;"/>
    <x v="4"/>
    <s v="Dilshad Garden"/>
    <s v="Laxmi Nagar"/>
    <n v="8"/>
    <n v="29"/>
    <s v="null"/>
    <s v="null"/>
    <s v="null"/>
    <s v="null"/>
    <s v="null"/>
    <s v="null"/>
    <n v="697"/>
    <n v="32.15"/>
    <n v="3.2"/>
    <n v="3.9"/>
    <s v="Debit Card"/>
  </r>
  <r>
    <d v="2024-02-17T00:00:00"/>
    <s v="February"/>
    <d v="1899-12-30T11:09:37"/>
    <s v="&quot;CNR7912140&quot;"/>
    <s v="Completed"/>
    <s v="&quot;CID2721563&quot;"/>
    <x v="5"/>
    <s v="Arjangarh"/>
    <s v="GTB Nagar"/>
    <n v="8.1"/>
    <n v="35.4"/>
    <s v="null"/>
    <s v="null"/>
    <s v="null"/>
    <s v="null"/>
    <s v="null"/>
    <s v="null"/>
    <n v="953"/>
    <n v="43.08"/>
    <n v="4.5999999999999996"/>
    <n v="4.9000000000000004"/>
    <s v="UPI"/>
  </r>
  <r>
    <d v="2024-08-19T00:00:00"/>
    <s v="August"/>
    <d v="1899-12-30T16:35:23"/>
    <s v="&quot;CNR1149573&quot;"/>
    <s v="Completed"/>
    <s v="&quot;CID4850979&quot;"/>
    <x v="5"/>
    <s v="Chirag Delhi"/>
    <s v="IGNOU Road"/>
    <n v="5.9"/>
    <n v="37.299999999999997"/>
    <s v="null"/>
    <s v="null"/>
    <s v="null"/>
    <s v="null"/>
    <s v="null"/>
    <s v="null"/>
    <n v="342"/>
    <n v="48.91"/>
    <n v="4"/>
    <n v="4.8"/>
    <s v="Cash"/>
  </r>
  <r>
    <d v="2024-07-08T00:00:00"/>
    <s v="July"/>
    <d v="1899-12-30T13:53:17"/>
    <s v="&quot;CNR9795191&quot;"/>
    <s v="Cancelled by Driver"/>
    <s v="&quot;CID7143989&quot;"/>
    <x v="1"/>
    <s v="Kashmere Gate ISBT"/>
    <s v="Jama Masjid"/>
    <n v="9.8000000000000007"/>
    <s v="null"/>
    <s v="null"/>
    <s v="null"/>
    <n v="1"/>
    <s v="Customer related issue"/>
    <s v="null"/>
    <s v="null"/>
    <s v="null"/>
    <s v="null"/>
    <s v="null"/>
    <s v="null"/>
    <s v="null"/>
  </r>
  <r>
    <d v="2024-08-19T00:00:00"/>
    <s v="August"/>
    <d v="1899-12-30T14:05:34"/>
    <s v="&quot;CNR6845177&quot;"/>
    <s v="Completed"/>
    <s v="&quot;CID2910913&quot;"/>
    <x v="5"/>
    <s v="Civil Lines Gurgaon"/>
    <s v="Sarai Kale Khan"/>
    <n v="7"/>
    <n v="17.899999999999999"/>
    <s v="null"/>
    <s v="null"/>
    <s v="null"/>
    <s v="null"/>
    <s v="null"/>
    <s v="null"/>
    <n v="935"/>
    <n v="32.46"/>
    <n v="4.4000000000000004"/>
    <n v="3.9"/>
    <s v="Uber Wallet"/>
  </r>
  <r>
    <d v="2024-05-13T00:00:00"/>
    <s v="May"/>
    <d v="1899-12-30T19:07:57"/>
    <s v="&quot;CNR6115510&quot;"/>
    <s v="Completed"/>
    <s v="&quot;CID8805139&quot;"/>
    <x v="2"/>
    <s v="IGNOU Road"/>
    <s v="Tughlakabad"/>
    <n v="6.1"/>
    <n v="24"/>
    <s v="null"/>
    <s v="null"/>
    <s v="null"/>
    <s v="null"/>
    <s v="null"/>
    <s v="null"/>
    <n v="566"/>
    <n v="11.44"/>
    <n v="4.8"/>
    <n v="3.7"/>
    <s v="Debit Card"/>
  </r>
  <r>
    <d v="2024-02-28T00:00:00"/>
    <s v="February"/>
    <d v="1899-12-30T15:56:29"/>
    <s v="&quot;CNR6859535&quot;"/>
    <s v="Completed"/>
    <s v="&quot;CID2960838&quot;"/>
    <x v="4"/>
    <s v="Sultanpur"/>
    <s v="Netaji Subhash Place"/>
    <n v="9.6"/>
    <n v="34.6"/>
    <s v="null"/>
    <s v="null"/>
    <s v="null"/>
    <s v="null"/>
    <s v="null"/>
    <s v="null"/>
    <n v="459"/>
    <n v="42.18"/>
    <n v="3.7"/>
    <n v="3.7"/>
    <s v="Credit Card"/>
  </r>
  <r>
    <d v="2024-03-05T00:00:00"/>
    <s v="March"/>
    <d v="1899-12-30T13:01:21"/>
    <s v="&quot;CNR2514823&quot;"/>
    <s v="Cancelled by Customer"/>
    <s v="&quot;CID8542583&quot;"/>
    <x v="2"/>
    <s v="Laxmi Nagar"/>
    <s v="Lok Kalyan Marg"/>
    <n v="13.3"/>
    <s v="null"/>
    <n v="1"/>
    <s v="Driver asked to cancel"/>
    <s v="null"/>
    <s v="null"/>
    <s v="null"/>
    <s v="null"/>
    <s v="null"/>
    <s v="null"/>
    <s v="null"/>
    <s v="null"/>
    <s v="null"/>
  </r>
  <r>
    <d v="2024-11-10T00:00:00"/>
    <s v="November"/>
    <d v="1899-12-30T10:53:47"/>
    <s v="&quot;CNR5197106&quot;"/>
    <s v="Cancelled by Driver"/>
    <s v="&quot;CID9447069&quot;"/>
    <x v="1"/>
    <s v="Dilshad Garden"/>
    <s v="Maidan Garhi"/>
    <n v="11.1"/>
    <s v="null"/>
    <s v="null"/>
    <s v="null"/>
    <n v="1"/>
    <s v="More than permitted people in there"/>
    <s v="null"/>
    <s v="null"/>
    <s v="null"/>
    <s v="null"/>
    <s v="null"/>
    <s v="null"/>
    <s v="null"/>
  </r>
  <r>
    <d v="2024-06-10T00:00:00"/>
    <s v="June"/>
    <d v="1899-12-30T17:20:23"/>
    <s v="&quot;CNR5958707&quot;"/>
    <s v="Completed"/>
    <s v="&quot;CID9250719&quot;"/>
    <x v="5"/>
    <s v="South Extension"/>
    <s v="Sultanpur"/>
    <n v="5.2"/>
    <n v="18.3"/>
    <s v="null"/>
    <s v="null"/>
    <s v="null"/>
    <s v="null"/>
    <s v="null"/>
    <s v="null"/>
    <n v="401"/>
    <n v="40.159999999999997"/>
    <n v="4.0999999999999996"/>
    <n v="4.2"/>
    <s v="UPI"/>
  </r>
  <r>
    <d v="2024-07-13T00:00:00"/>
    <s v="July"/>
    <d v="1899-12-30T20:13:00"/>
    <s v="&quot;CNR7438691&quot;"/>
    <s v="Completed"/>
    <s v="&quot;CID6640597&quot;"/>
    <x v="6"/>
    <s v="Tis Hazari"/>
    <s v="Noida Film City"/>
    <n v="4.7"/>
    <n v="34.799999999999997"/>
    <s v="null"/>
    <s v="null"/>
    <s v="null"/>
    <s v="null"/>
    <s v="null"/>
    <s v="null"/>
    <n v="509"/>
    <n v="4.01"/>
    <n v="4.3"/>
    <n v="4.9000000000000004"/>
    <s v="Cash"/>
  </r>
  <r>
    <d v="2024-07-13T00:00:00"/>
    <s v="July"/>
    <d v="1899-12-30T08:57:24"/>
    <s v="&quot;CNR4717203&quot;"/>
    <s v="Cancelled by Driver"/>
    <s v="&quot;CID4019303&quot;"/>
    <x v="5"/>
    <s v="Nawada"/>
    <s v="Ardee City"/>
    <n v="9.8000000000000007"/>
    <s v="null"/>
    <s v="null"/>
    <s v="null"/>
    <n v="1"/>
    <s v="Customer related issue"/>
    <s v="null"/>
    <s v="null"/>
    <s v="null"/>
    <s v="null"/>
    <s v="null"/>
    <s v="null"/>
    <s v="null"/>
  </r>
  <r>
    <d v="2024-01-16T00:00:00"/>
    <s v="January"/>
    <d v="1899-12-30T02:31:09"/>
    <s v="&quot;CNR3871982&quot;"/>
    <s v="Completed"/>
    <s v="&quot;CID3385226&quot;"/>
    <x v="0"/>
    <s v="Basai Dhankot"/>
    <s v="Chirag Delhi"/>
    <n v="10.3"/>
    <n v="41.2"/>
    <s v="null"/>
    <s v="null"/>
    <s v="null"/>
    <s v="null"/>
    <s v="null"/>
    <s v="null"/>
    <n v="905"/>
    <n v="15.59"/>
    <n v="4.9000000000000004"/>
    <n v="4.5999999999999996"/>
    <s v="UPI"/>
  </r>
  <r>
    <d v="2024-05-30T00:00:00"/>
    <s v="May"/>
    <d v="1899-12-30T16:19:02"/>
    <s v="&quot;CNR7276252&quot;"/>
    <s v="Completed"/>
    <s v="&quot;CID4805819&quot;"/>
    <x v="5"/>
    <s v="GTB Nagar"/>
    <s v="Ghitorni"/>
    <n v="10.8"/>
    <n v="16.5"/>
    <s v="null"/>
    <s v="null"/>
    <s v="null"/>
    <s v="null"/>
    <s v="null"/>
    <s v="null"/>
    <n v="312"/>
    <n v="47.72"/>
    <n v="4.7"/>
    <n v="4.2"/>
    <s v="Cash"/>
  </r>
  <r>
    <d v="2024-07-04T00:00:00"/>
    <s v="July"/>
    <d v="1899-12-30T17:14:35"/>
    <s v="&quot;CNR8591450&quot;"/>
    <s v="No Driver Found"/>
    <s v="&quot;CID5485762&quot;"/>
    <x v="4"/>
    <s v="Vatika Chowk"/>
    <s v="Inderlok"/>
    <s v="null"/>
    <s v="null"/>
    <s v="null"/>
    <s v="null"/>
    <s v="null"/>
    <s v="null"/>
    <s v="null"/>
    <s v="null"/>
    <s v="null"/>
    <s v="null"/>
    <s v="null"/>
    <s v="null"/>
    <s v="null"/>
  </r>
  <r>
    <d v="2024-05-09T00:00:00"/>
    <s v="May"/>
    <d v="1899-12-30T09:16:04"/>
    <s v="&quot;CNR2118165&quot;"/>
    <s v="Completed"/>
    <s v="&quot;CID4254404&quot;"/>
    <x v="2"/>
    <s v="Meerut"/>
    <s v="Gurgaon Railway Station"/>
    <n v="11.6"/>
    <n v="20.9"/>
    <s v="null"/>
    <s v="null"/>
    <s v="null"/>
    <s v="null"/>
    <s v="null"/>
    <s v="null"/>
    <n v="103"/>
    <n v="34.36"/>
    <n v="4.2"/>
    <n v="4.5999999999999996"/>
    <s v="UPI"/>
  </r>
  <r>
    <d v="2024-02-04T00:00:00"/>
    <s v="February"/>
    <d v="1899-12-30T21:29:14"/>
    <s v="&quot;CNR1580852&quot;"/>
    <s v="Completed"/>
    <s v="&quot;CID1032196&quot;"/>
    <x v="4"/>
    <s v="Mundka"/>
    <s v="Moolchand"/>
    <n v="7.4"/>
    <n v="16"/>
    <s v="null"/>
    <s v="null"/>
    <s v="null"/>
    <s v="null"/>
    <s v="null"/>
    <s v="null"/>
    <n v="425"/>
    <n v="11.93"/>
    <n v="4.2"/>
    <n v="4.3"/>
    <s v="Cash"/>
  </r>
  <r>
    <d v="2024-06-06T00:00:00"/>
    <s v="June"/>
    <d v="1899-12-30T17:48:55"/>
    <s v="&quot;CNR8400555&quot;"/>
    <s v="Completed"/>
    <s v="&quot;CID7803210&quot;"/>
    <x v="3"/>
    <s v="Netaji Subhash Place"/>
    <s v="Mayur Vihar"/>
    <n v="11.3"/>
    <n v="44.8"/>
    <s v="null"/>
    <s v="null"/>
    <s v="null"/>
    <s v="null"/>
    <s v="null"/>
    <s v="null"/>
    <n v="309"/>
    <n v="42.82"/>
    <n v="4.3"/>
    <n v="4.7"/>
    <s v="UPI"/>
  </r>
  <r>
    <d v="2024-07-30T00:00:00"/>
    <s v="July"/>
    <d v="1899-12-30T21:13:50"/>
    <s v="&quot;CNR2392283&quot;"/>
    <s v="Incomplete"/>
    <s v="&quot;CID7179926&quot;"/>
    <x v="5"/>
    <s v="MG Road"/>
    <s v="Old Gurgaon"/>
    <n v="8.1"/>
    <n v="22.6"/>
    <s v="null"/>
    <s v="null"/>
    <s v="null"/>
    <s v="null"/>
    <n v="1"/>
    <s v="Other Issue"/>
    <n v="103"/>
    <n v="12.63"/>
    <s v="null"/>
    <s v="null"/>
    <s v="UPI"/>
  </r>
  <r>
    <d v="2024-08-23T00:00:00"/>
    <s v="August"/>
    <d v="1899-12-30T15:15:50"/>
    <s v="&quot;CNR8799283&quot;"/>
    <s v="Completed"/>
    <s v="&quot;CID2914515&quot;"/>
    <x v="2"/>
    <s v="Netaji Subhash Place"/>
    <s v="Vatika Chowk"/>
    <n v="8"/>
    <n v="23.6"/>
    <s v="null"/>
    <s v="null"/>
    <s v="null"/>
    <s v="null"/>
    <s v="null"/>
    <s v="null"/>
    <n v="379"/>
    <n v="43.14"/>
    <n v="4.3"/>
    <n v="3.9"/>
    <s v="UPI"/>
  </r>
  <r>
    <d v="2024-05-01T00:00:00"/>
    <s v="May"/>
    <d v="1899-12-30T18:52:59"/>
    <s v="&quot;CNR7692801&quot;"/>
    <s v="Cancelled by Driver"/>
    <s v="&quot;CID4418657&quot;"/>
    <x v="2"/>
    <s v="Manesar"/>
    <s v="Malviya Nagar"/>
    <n v="6.4"/>
    <s v="null"/>
    <s v="null"/>
    <s v="null"/>
    <n v="1"/>
    <s v="Personal &amp; Car related issues"/>
    <s v="null"/>
    <s v="null"/>
    <s v="null"/>
    <s v="null"/>
    <s v="null"/>
    <s v="null"/>
    <s v="null"/>
  </r>
  <r>
    <d v="2024-03-18T00:00:00"/>
    <s v="March"/>
    <d v="1899-12-30T17:22:40"/>
    <s v="&quot;CNR8406654&quot;"/>
    <s v="No Driver Found"/>
    <s v="&quot;CID3494610&quot;"/>
    <x v="2"/>
    <s v="Gurgaon Sector 56"/>
    <s v="Greater Noida"/>
    <s v="null"/>
    <s v="null"/>
    <s v="null"/>
    <s v="null"/>
    <s v="null"/>
    <s v="null"/>
    <s v="null"/>
    <s v="null"/>
    <s v="null"/>
    <s v="null"/>
    <s v="null"/>
    <s v="null"/>
    <s v="null"/>
  </r>
  <r>
    <d v="2024-09-16T00:00:00"/>
    <s v="September"/>
    <d v="1899-12-30T12:20:07"/>
    <s v="&quot;CNR5193961&quot;"/>
    <s v="Completed"/>
    <s v="&quot;CID3471193&quot;"/>
    <x v="5"/>
    <s v="Green Park"/>
    <s v="Udyog Vihar Phase 4"/>
    <n v="9.6"/>
    <n v="39.799999999999997"/>
    <s v="null"/>
    <s v="null"/>
    <s v="null"/>
    <s v="null"/>
    <s v="null"/>
    <s v="null"/>
    <n v="623"/>
    <n v="40.590000000000003"/>
    <n v="4.3"/>
    <n v="3.8"/>
    <s v="UPI"/>
  </r>
  <r>
    <d v="2024-12-25T00:00:00"/>
    <s v="December"/>
    <d v="1899-12-30T18:07:10"/>
    <s v="&quot;CNR9045710&quot;"/>
    <s v="Completed"/>
    <s v="&quot;CID9382079&quot;"/>
    <x v="5"/>
    <s v="Gwal Pahari"/>
    <s v="Pitampura"/>
    <n v="14.3"/>
    <n v="19.600000000000001"/>
    <s v="null"/>
    <s v="null"/>
    <s v="null"/>
    <s v="null"/>
    <s v="null"/>
    <s v="null"/>
    <n v="743"/>
    <n v="20.32"/>
    <n v="4.4000000000000004"/>
    <n v="5"/>
    <s v="Cash"/>
  </r>
  <r>
    <d v="2024-07-25T00:00:00"/>
    <s v="July"/>
    <d v="1899-12-30T14:39:37"/>
    <s v="&quot;CNR1884447&quot;"/>
    <s v="Completed"/>
    <s v="&quot;CID3794502&quot;"/>
    <x v="3"/>
    <s v="Cyber Hub"/>
    <s v="Narsinghpur"/>
    <n v="2.1"/>
    <n v="23.1"/>
    <s v="null"/>
    <s v="null"/>
    <s v="null"/>
    <s v="null"/>
    <s v="null"/>
    <s v="null"/>
    <n v="647"/>
    <n v="48.8"/>
    <n v="4.4000000000000004"/>
    <n v="4.3"/>
    <s v="Uber Wallet"/>
  </r>
  <r>
    <d v="2024-03-04T00:00:00"/>
    <s v="March"/>
    <d v="1899-12-30T18:44:28"/>
    <s v="&quot;CNR5929425&quot;"/>
    <s v="Cancelled by Customer"/>
    <s v="&quot;CID8229428&quot;"/>
    <x v="2"/>
    <s v="Noida Sector 62"/>
    <s v="Jhilmil"/>
    <n v="14.1"/>
    <s v="null"/>
    <n v="1"/>
    <s v="Driver asked to cancel"/>
    <s v="null"/>
    <s v="null"/>
    <s v="null"/>
    <s v="null"/>
    <s v="null"/>
    <s v="null"/>
    <s v="null"/>
    <s v="null"/>
    <s v="null"/>
  </r>
  <r>
    <d v="2024-10-30T00:00:00"/>
    <s v="October"/>
    <d v="1899-12-30T03:42:37"/>
    <s v="&quot;CNR3795914&quot;"/>
    <s v="Completed"/>
    <s v="&quot;CID2036541&quot;"/>
    <x v="5"/>
    <s v="Pataudi Chowk"/>
    <s v="Golf Course Road"/>
    <n v="7.3"/>
    <n v="30.1"/>
    <s v="null"/>
    <s v="null"/>
    <s v="null"/>
    <s v="null"/>
    <s v="null"/>
    <s v="null"/>
    <n v="1364"/>
    <n v="42.16"/>
    <n v="3.4"/>
    <n v="3.3"/>
    <s v="Cash"/>
  </r>
  <r>
    <d v="2024-07-24T00:00:00"/>
    <s v="July"/>
    <d v="1899-12-30T05:25:09"/>
    <s v="&quot;CNR5115903&quot;"/>
    <s v="Cancelled by Driver"/>
    <s v="&quot;CID1437336&quot;"/>
    <x v="1"/>
    <s v="Satguru Ram Singh Marg"/>
    <s v="Kaushambi"/>
    <n v="7.6"/>
    <s v="null"/>
    <s v="null"/>
    <s v="null"/>
    <n v="1"/>
    <s v="Customer related issue"/>
    <s v="null"/>
    <s v="null"/>
    <s v="null"/>
    <s v="null"/>
    <s v="null"/>
    <s v="null"/>
    <s v="null"/>
  </r>
  <r>
    <d v="2024-05-13T00:00:00"/>
    <s v="May"/>
    <d v="1899-12-30T17:29:47"/>
    <s v="&quot;CNR7223335&quot;"/>
    <s v="Cancelled by Driver"/>
    <s v="&quot;CID9786042&quot;"/>
    <x v="5"/>
    <s v="Badarpur"/>
    <s v="Ashok Vihar"/>
    <n v="6.8"/>
    <s v="null"/>
    <s v="null"/>
    <s v="null"/>
    <n v="1"/>
    <s v="Personal &amp; Car related issues"/>
    <s v="null"/>
    <s v="null"/>
    <s v="null"/>
    <s v="null"/>
    <s v="null"/>
    <s v="null"/>
    <s v="null"/>
  </r>
  <r>
    <d v="2024-09-29T00:00:00"/>
    <s v="September"/>
    <d v="1899-12-30T19:08:22"/>
    <s v="&quot;CNR3338595&quot;"/>
    <s v="Completed"/>
    <s v="&quot;CID3627391&quot;"/>
    <x v="2"/>
    <s v="Badshahpur"/>
    <s v="Vatika Chowk"/>
    <n v="3.6"/>
    <n v="24.8"/>
    <s v="null"/>
    <s v="null"/>
    <s v="null"/>
    <s v="null"/>
    <s v="null"/>
    <s v="null"/>
    <n v="890"/>
    <n v="47.98"/>
    <n v="3.6"/>
    <n v="4.7"/>
    <s v="UPI"/>
  </r>
  <r>
    <d v="2024-12-24T00:00:00"/>
    <s v="December"/>
    <d v="1899-12-30T18:06:50"/>
    <s v="&quot;CNR1610053&quot;"/>
    <s v="Completed"/>
    <s v="&quot;CID5372274&quot;"/>
    <x v="1"/>
    <s v="Pragati Maidan"/>
    <s v="Tilak Nagar"/>
    <n v="5.0999999999999996"/>
    <n v="44"/>
    <s v="null"/>
    <s v="null"/>
    <s v="null"/>
    <s v="null"/>
    <s v="null"/>
    <s v="null"/>
    <n v="162"/>
    <n v="46.78"/>
    <n v="3.8"/>
    <n v="3.2"/>
    <s v="Cash"/>
  </r>
  <r>
    <d v="2024-11-23T00:00:00"/>
    <s v="November"/>
    <d v="1899-12-30T14:38:02"/>
    <s v="&quot;CNR4383491&quot;"/>
    <s v="Completed"/>
    <s v="&quot;CID5404553&quot;"/>
    <x v="2"/>
    <s v="Jor Bagh"/>
    <s v="Shivaji Park"/>
    <n v="14.6"/>
    <n v="42.3"/>
    <s v="null"/>
    <s v="null"/>
    <s v="null"/>
    <s v="null"/>
    <s v="null"/>
    <s v="null"/>
    <n v="242"/>
    <n v="27.68"/>
    <n v="4.3"/>
    <n v="4.5"/>
    <s v="Debit Card"/>
  </r>
  <r>
    <d v="2024-02-22T00:00:00"/>
    <s v="February"/>
    <d v="1899-12-30T19:18:56"/>
    <s v="&quot;CNR4238002&quot;"/>
    <s v="Completed"/>
    <s v="&quot;CID6776646&quot;"/>
    <x v="3"/>
    <s v="Sikanderpur"/>
    <s v="Karkarduma"/>
    <n v="2.9"/>
    <n v="44.7"/>
    <s v="null"/>
    <s v="null"/>
    <s v="null"/>
    <s v="null"/>
    <s v="null"/>
    <s v="null"/>
    <n v="342"/>
    <n v="27.62"/>
    <n v="4.5999999999999996"/>
    <n v="4.5"/>
    <s v="UPI"/>
  </r>
  <r>
    <d v="2024-01-11T00:00:00"/>
    <s v="January"/>
    <d v="1899-12-30T16:19:12"/>
    <s v="&quot;CNR2471315&quot;"/>
    <s v="Completed"/>
    <s v="&quot;CID1296895&quot;"/>
    <x v="5"/>
    <s v="Maidan Garhi"/>
    <s v="Ghitorni Village"/>
    <n v="5.2"/>
    <n v="26.2"/>
    <s v="null"/>
    <s v="null"/>
    <s v="null"/>
    <s v="null"/>
    <s v="null"/>
    <s v="null"/>
    <n v="316"/>
    <n v="17.920000000000002"/>
    <n v="4"/>
    <n v="4.7"/>
    <s v="UPI"/>
  </r>
  <r>
    <d v="2024-08-26T00:00:00"/>
    <s v="August"/>
    <d v="1899-12-30T21:41:12"/>
    <s v="&quot;CNR7554909&quot;"/>
    <s v="Completed"/>
    <s v="&quot;CID2941890&quot;"/>
    <x v="2"/>
    <s v="New Colony"/>
    <s v="RK Puram"/>
    <n v="2.7"/>
    <n v="34.6"/>
    <s v="null"/>
    <s v="null"/>
    <s v="null"/>
    <s v="null"/>
    <s v="null"/>
    <s v="null"/>
    <n v="1286"/>
    <n v="30.53"/>
    <n v="4.5"/>
    <n v="4.2"/>
    <s v="Uber Wallet"/>
  </r>
  <r>
    <d v="2024-04-02T00:00:00"/>
    <s v="April"/>
    <d v="1899-12-30T14:06:02"/>
    <s v="&quot;CNR4559667&quot;"/>
    <s v="Cancelled by Driver"/>
    <s v="&quot;CID2567945&quot;"/>
    <x v="2"/>
    <s v="Sarojini Nagar"/>
    <s v="Noida Extension"/>
    <n v="6.3"/>
    <s v="null"/>
    <s v="null"/>
    <s v="null"/>
    <n v="1"/>
    <s v="The customer was coughing/sick"/>
    <s v="null"/>
    <s v="null"/>
    <s v="null"/>
    <s v="null"/>
    <s v="null"/>
    <s v="null"/>
    <s v="null"/>
  </r>
  <r>
    <d v="2024-12-01T00:00:00"/>
    <s v="December"/>
    <d v="1899-12-30T16:49:53"/>
    <s v="&quot;CNR7943612&quot;"/>
    <s v="Incomplete"/>
    <s v="&quot;CID7051878&quot;"/>
    <x v="4"/>
    <s v="Gurgaon Sector 56"/>
    <s v="Samaypur Badli"/>
    <n v="2.5"/>
    <n v="18.899999999999999"/>
    <s v="null"/>
    <s v="null"/>
    <s v="null"/>
    <s v="null"/>
    <n v="1"/>
    <s v="Vehicle Breakdown"/>
    <n v="274"/>
    <n v="14.78"/>
    <s v="null"/>
    <s v="null"/>
    <s v="Credit Card"/>
  </r>
  <r>
    <d v="2024-02-05T00:00:00"/>
    <s v="February"/>
    <d v="1899-12-30T19:24:59"/>
    <s v="&quot;CNR9513281&quot;"/>
    <s v="No Driver Found"/>
    <s v="&quot;CID8578287&quot;"/>
    <x v="3"/>
    <s v="Raj Nagar Extension"/>
    <s v="Paharganj"/>
    <s v="null"/>
    <s v="null"/>
    <s v="null"/>
    <s v="null"/>
    <s v="null"/>
    <s v="null"/>
    <s v="null"/>
    <s v="null"/>
    <s v="null"/>
    <s v="null"/>
    <s v="null"/>
    <s v="null"/>
    <s v="null"/>
  </r>
  <r>
    <d v="2024-03-06T00:00:00"/>
    <s v="March"/>
    <d v="1899-12-30T18:05:10"/>
    <s v="&quot;CNR3228885&quot;"/>
    <s v="Completed"/>
    <s v="&quot;CID3480522&quot;"/>
    <x v="4"/>
    <s v="Manesar"/>
    <s v="Civil Lines Gurgaon"/>
    <n v="6.6"/>
    <n v="29.8"/>
    <s v="null"/>
    <s v="null"/>
    <s v="null"/>
    <s v="null"/>
    <s v="null"/>
    <s v="null"/>
    <n v="689"/>
    <n v="45.97"/>
    <n v="3.9"/>
    <n v="4.9000000000000004"/>
    <s v="UPI"/>
  </r>
  <r>
    <d v="2024-09-22T00:00:00"/>
    <s v="September"/>
    <d v="1899-12-30T15:53:15"/>
    <s v="&quot;CNR6838313&quot;"/>
    <s v="Cancelled by Driver"/>
    <s v="&quot;CID6286831&quot;"/>
    <x v="2"/>
    <s v="Azadpur"/>
    <s v="Connaught Place"/>
    <n v="5"/>
    <s v="null"/>
    <s v="null"/>
    <s v="null"/>
    <n v="1"/>
    <s v="More than permitted people in there"/>
    <s v="null"/>
    <s v="null"/>
    <s v="null"/>
    <s v="null"/>
    <s v="null"/>
    <s v="null"/>
    <s v="null"/>
  </r>
  <r>
    <d v="2024-07-24T00:00:00"/>
    <s v="July"/>
    <d v="1899-12-30T23:28:39"/>
    <s v="&quot;CNR7513763&quot;"/>
    <s v="Cancelled by Driver"/>
    <s v="&quot;CID5819264&quot;"/>
    <x v="0"/>
    <s v="Cyber Hub"/>
    <s v="IGI Airport"/>
    <n v="8.4"/>
    <s v="null"/>
    <s v="null"/>
    <s v="null"/>
    <n v="1"/>
    <s v="Customer related issue"/>
    <s v="null"/>
    <s v="null"/>
    <s v="null"/>
    <s v="null"/>
    <s v="null"/>
    <s v="null"/>
    <s v="null"/>
  </r>
  <r>
    <d v="2024-04-24T00:00:00"/>
    <s v="April"/>
    <d v="1899-12-30T04:51:55"/>
    <s v="&quot;CNR4249572&quot;"/>
    <s v="Completed"/>
    <s v="&quot;CID9658351&quot;"/>
    <x v="3"/>
    <s v="Kashmere Gate"/>
    <s v="Gwal Pahari"/>
    <n v="4.7"/>
    <n v="15.6"/>
    <s v="null"/>
    <s v="null"/>
    <s v="null"/>
    <s v="null"/>
    <s v="null"/>
    <s v="null"/>
    <n v="504"/>
    <n v="24.06"/>
    <n v="4.7"/>
    <n v="5"/>
    <s v="Uber Wallet"/>
  </r>
  <r>
    <d v="2024-04-12T00:00:00"/>
    <s v="April"/>
    <d v="1899-12-30T09:09:48"/>
    <s v="&quot;CNR1730323&quot;"/>
    <s v="Completed"/>
    <s v="&quot;CID1295813&quot;"/>
    <x v="1"/>
    <s v="Jahangirpuri"/>
    <s v="Sultanpur"/>
    <n v="10.8"/>
    <n v="17.600000000000001"/>
    <s v="null"/>
    <s v="null"/>
    <s v="null"/>
    <s v="null"/>
    <s v="null"/>
    <s v="null"/>
    <n v="231"/>
    <n v="9.44"/>
    <n v="4.0999999999999996"/>
    <n v="4.5"/>
    <s v="Uber Wallet"/>
  </r>
  <r>
    <d v="2024-12-28T00:00:00"/>
    <s v="December"/>
    <d v="1899-12-30T03:45:50"/>
    <s v="&quot;CNR3316127&quot;"/>
    <s v="Completed"/>
    <s v="&quot;CID1501533&quot;"/>
    <x v="3"/>
    <s v="Mansarovar Park"/>
    <s v="IGNOU Road"/>
    <n v="15"/>
    <n v="29.1"/>
    <s v="null"/>
    <s v="null"/>
    <s v="null"/>
    <s v="null"/>
    <s v="null"/>
    <s v="null"/>
    <n v="824"/>
    <n v="24.98"/>
    <n v="4.4000000000000004"/>
    <n v="4.2"/>
    <s v="UPI"/>
  </r>
  <r>
    <d v="2024-09-09T00:00:00"/>
    <s v="September"/>
    <d v="1899-12-30T21:25:37"/>
    <s v="&quot;CNR5001450&quot;"/>
    <s v="Completed"/>
    <s v="&quot;CID4130652&quot;"/>
    <x v="6"/>
    <s v="Khan Market"/>
    <s v="Tilak Nagar"/>
    <n v="12.5"/>
    <n v="15.4"/>
    <s v="null"/>
    <s v="null"/>
    <s v="null"/>
    <s v="null"/>
    <s v="null"/>
    <s v="null"/>
    <n v="478"/>
    <n v="10.78"/>
    <n v="3.9"/>
    <n v="4.9000000000000004"/>
    <s v="Uber Wallet"/>
  </r>
  <r>
    <d v="2024-03-16T00:00:00"/>
    <s v="March"/>
    <d v="1899-12-30T14:26:34"/>
    <s v="&quot;CNR2994632&quot;"/>
    <s v="Completed"/>
    <s v="&quot;CID4528348&quot;"/>
    <x v="4"/>
    <s v="Panipat"/>
    <s v="Jasola"/>
    <n v="6.9"/>
    <n v="29.7"/>
    <s v="null"/>
    <s v="null"/>
    <s v="null"/>
    <s v="null"/>
    <s v="null"/>
    <s v="null"/>
    <n v="432"/>
    <n v="40.590000000000003"/>
    <n v="4.4000000000000004"/>
    <n v="4.3"/>
    <s v="Debit Card"/>
  </r>
  <r>
    <d v="2024-04-30T00:00:00"/>
    <s v="April"/>
    <d v="1899-12-30T11:35:16"/>
    <s v="&quot;CNR8349332&quot;"/>
    <s v="Completed"/>
    <s v="&quot;CID1895189&quot;"/>
    <x v="4"/>
    <s v="Saket"/>
    <s v="Rohini"/>
    <n v="6.6"/>
    <n v="19.100000000000001"/>
    <s v="null"/>
    <s v="null"/>
    <s v="null"/>
    <s v="null"/>
    <s v="null"/>
    <s v="null"/>
    <n v="606"/>
    <n v="5.75"/>
    <n v="4.2"/>
    <n v="4.5999999999999996"/>
    <s v="UPI"/>
  </r>
  <r>
    <d v="2024-08-12T00:00:00"/>
    <s v="August"/>
    <d v="1899-12-30T16:59:05"/>
    <s v="&quot;CNR6785391&quot;"/>
    <s v="Completed"/>
    <s v="&quot;CID3192351&quot;"/>
    <x v="2"/>
    <s v="Sultanpur"/>
    <s v="Bahadurgarh"/>
    <n v="7.5"/>
    <n v="18.100000000000001"/>
    <s v="null"/>
    <s v="null"/>
    <s v="null"/>
    <s v="null"/>
    <s v="null"/>
    <s v="null"/>
    <n v="328"/>
    <n v="42.66"/>
    <n v="3.4"/>
    <n v="4.9000000000000004"/>
    <s v="UPI"/>
  </r>
  <r>
    <d v="2024-10-21T00:00:00"/>
    <s v="October"/>
    <d v="1899-12-30T06:06:08"/>
    <s v="&quot;CNR4239039&quot;"/>
    <s v="Cancelled by Customer"/>
    <s v="&quot;CID5633622&quot;"/>
    <x v="3"/>
    <s v="Ghitorni"/>
    <s v="Chhatarpur"/>
    <n v="14.9"/>
    <s v="null"/>
    <n v="1"/>
    <s v="AC is not working"/>
    <s v="null"/>
    <s v="null"/>
    <s v="null"/>
    <s v="null"/>
    <s v="null"/>
    <s v="null"/>
    <s v="null"/>
    <s v="null"/>
    <s v="null"/>
  </r>
  <r>
    <d v="2024-10-15T00:00:00"/>
    <s v="October"/>
    <d v="1899-12-30T11:25:04"/>
    <s v="&quot;CNR3942728&quot;"/>
    <s v="Completed"/>
    <s v="&quot;CID3899231&quot;"/>
    <x v="3"/>
    <s v="Shastri Park"/>
    <s v="Rohini West"/>
    <n v="2.9"/>
    <n v="38.299999999999997"/>
    <s v="null"/>
    <s v="null"/>
    <s v="null"/>
    <s v="null"/>
    <s v="null"/>
    <s v="null"/>
    <n v="156"/>
    <n v="36.130000000000003"/>
    <n v="4.3"/>
    <n v="4.3"/>
    <s v="UPI"/>
  </r>
  <r>
    <d v="2024-03-06T00:00:00"/>
    <s v="March"/>
    <d v="1899-12-30T11:49:24"/>
    <s v="&quot;CNR2282162&quot;"/>
    <s v="Completed"/>
    <s v="&quot;CID7242372&quot;"/>
    <x v="1"/>
    <s v="Rithala"/>
    <s v="Noida Film City"/>
    <n v="9.4"/>
    <n v="36.299999999999997"/>
    <s v="null"/>
    <s v="null"/>
    <s v="null"/>
    <s v="null"/>
    <s v="null"/>
    <s v="null"/>
    <n v="105"/>
    <n v="44.08"/>
    <n v="4.7"/>
    <n v="4.9000000000000004"/>
    <s v="Credit Card"/>
  </r>
  <r>
    <d v="2024-05-07T00:00:00"/>
    <s v="May"/>
    <d v="1899-12-30T11:55:31"/>
    <s v="&quot;CNR4677505&quot;"/>
    <s v="Cancelled by Driver"/>
    <s v="&quot;CID3339585&quot;"/>
    <x v="1"/>
    <s v="Akshardham"/>
    <s v="Delhi Gate"/>
    <n v="11.3"/>
    <s v="null"/>
    <s v="null"/>
    <s v="null"/>
    <n v="1"/>
    <s v="More than permitted people in there"/>
    <s v="null"/>
    <s v="null"/>
    <s v="null"/>
    <s v="null"/>
    <s v="null"/>
    <s v="null"/>
    <s v="null"/>
  </r>
  <r>
    <d v="2024-07-28T00:00:00"/>
    <s v="July"/>
    <d v="1899-12-30T20:08:07"/>
    <s v="&quot;CNR8185605&quot;"/>
    <s v="Cancelled by Customer"/>
    <s v="&quot;CID9816010&quot;"/>
    <x v="1"/>
    <s v="IFFCO Chowk"/>
    <s v="Sultanpur"/>
    <n v="16.899999999999999"/>
    <s v="null"/>
    <n v="1"/>
    <s v="Change of plans"/>
    <s v="null"/>
    <s v="null"/>
    <s v="null"/>
    <s v="null"/>
    <s v="null"/>
    <s v="null"/>
    <s v="null"/>
    <s v="null"/>
    <s v="null"/>
  </r>
  <r>
    <d v="2024-01-24T00:00:00"/>
    <s v="January"/>
    <d v="1899-12-30T10:32:59"/>
    <s v="&quot;CNR5351433&quot;"/>
    <s v="Completed"/>
    <s v="&quot;CID4736469&quot;"/>
    <x v="2"/>
    <s v="Huda City Centre"/>
    <s v="Karkarduma"/>
    <n v="11.2"/>
    <n v="22"/>
    <s v="null"/>
    <s v="null"/>
    <s v="null"/>
    <s v="null"/>
    <s v="null"/>
    <s v="null"/>
    <n v="213"/>
    <n v="35.76"/>
    <n v="4.8"/>
    <n v="4.5999999999999996"/>
    <s v="Debit Card"/>
  </r>
  <r>
    <d v="2024-08-29T00:00:00"/>
    <s v="August"/>
    <d v="1899-12-30T02:37:10"/>
    <s v="&quot;CNR8880913&quot;"/>
    <s v="Completed"/>
    <s v="&quot;CID4302311&quot;"/>
    <x v="4"/>
    <s v="Kashmere Gate ISBT"/>
    <s v="Rajiv Chowk"/>
    <n v="11.2"/>
    <n v="19.600000000000001"/>
    <s v="null"/>
    <s v="null"/>
    <s v="null"/>
    <s v="null"/>
    <s v="null"/>
    <s v="null"/>
    <n v="620"/>
    <n v="45"/>
    <n v="4.5999999999999996"/>
    <n v="3.1"/>
    <s v="Cash"/>
  </r>
  <r>
    <d v="2024-02-07T00:00:00"/>
    <s v="February"/>
    <d v="1899-12-30T21:52:08"/>
    <s v="&quot;CNR3643495&quot;"/>
    <s v="Cancelled by Driver"/>
    <s v="&quot;CID3072962&quot;"/>
    <x v="4"/>
    <s v="Laxmi Nagar"/>
    <s v="ITO"/>
    <n v="6.8"/>
    <s v="null"/>
    <s v="null"/>
    <s v="null"/>
    <n v="1"/>
    <s v="The customer was coughing/sick"/>
    <s v="null"/>
    <s v="null"/>
    <s v="null"/>
    <s v="null"/>
    <s v="null"/>
    <s v="null"/>
    <s v="null"/>
  </r>
  <r>
    <d v="2024-10-02T00:00:00"/>
    <s v="October"/>
    <d v="1899-12-30T23:59:15"/>
    <s v="&quot;CNR8399435&quot;"/>
    <s v="Completed"/>
    <s v="&quot;CID7010722&quot;"/>
    <x v="5"/>
    <s v="South Extension"/>
    <s v="Vidhan Sabha"/>
    <n v="11.6"/>
    <n v="21.9"/>
    <s v="null"/>
    <s v="null"/>
    <s v="null"/>
    <s v="null"/>
    <s v="null"/>
    <s v="null"/>
    <n v="83"/>
    <n v="45.07"/>
    <n v="3.9"/>
    <n v="4.2"/>
    <s v="Credit Card"/>
  </r>
  <r>
    <d v="2024-12-01T00:00:00"/>
    <s v="December"/>
    <d v="1899-12-30T13:31:45"/>
    <s v="&quot;CNR5699093&quot;"/>
    <s v="Cancelled by Driver"/>
    <s v="&quot;CID6044294&quot;"/>
    <x v="1"/>
    <s v="Badshahpur"/>
    <s v="Green Park"/>
    <n v="9.6999999999999993"/>
    <s v="null"/>
    <s v="null"/>
    <s v="null"/>
    <n v="1"/>
    <s v="More than permitted people in there"/>
    <s v="null"/>
    <s v="null"/>
    <s v="null"/>
    <s v="null"/>
    <s v="null"/>
    <s v="null"/>
    <s v="null"/>
  </r>
  <r>
    <d v="2024-12-30T00:00:00"/>
    <s v="December"/>
    <d v="1899-12-30T17:45:30"/>
    <s v="&quot;CNR1090037&quot;"/>
    <s v="Completed"/>
    <s v="&quot;CID2369298&quot;"/>
    <x v="4"/>
    <s v="Ashok Vihar"/>
    <s v="Rohini"/>
    <n v="7.6"/>
    <n v="41.6"/>
    <s v="null"/>
    <s v="null"/>
    <s v="null"/>
    <s v="null"/>
    <s v="null"/>
    <s v="null"/>
    <n v="821"/>
    <n v="3.86"/>
    <n v="3.7"/>
    <n v="4.9000000000000004"/>
    <s v="Uber Wallet"/>
  </r>
  <r>
    <d v="2024-07-06T00:00:00"/>
    <s v="July"/>
    <d v="1899-12-30T19:41:22"/>
    <s v="&quot;CNR1672620&quot;"/>
    <s v="Cancelled by Customer"/>
    <s v="&quot;CID9094427&quot;"/>
    <x v="5"/>
    <s v="Jahangirpuri"/>
    <s v="Cyber Hub"/>
    <n v="16.2"/>
    <s v="null"/>
    <n v="1"/>
    <s v="Change of plans"/>
    <s v="null"/>
    <s v="null"/>
    <s v="null"/>
    <s v="null"/>
    <s v="null"/>
    <s v="null"/>
    <s v="null"/>
    <s v="null"/>
    <s v="null"/>
  </r>
  <r>
    <d v="2024-01-27T00:00:00"/>
    <s v="January"/>
    <d v="1899-12-30T13:53:18"/>
    <s v="&quot;CNR4811296&quot;"/>
    <s v="Completed"/>
    <s v="&quot;CID7470261&quot;"/>
    <x v="3"/>
    <s v="Pitampura"/>
    <s v="Delhi Gate"/>
    <n v="4.8"/>
    <n v="44.8"/>
    <s v="null"/>
    <s v="null"/>
    <s v="null"/>
    <s v="null"/>
    <s v="null"/>
    <s v="null"/>
    <n v="176"/>
    <n v="49.18"/>
    <n v="3.1"/>
    <n v="4.5999999999999996"/>
    <s v="UPI"/>
  </r>
  <r>
    <d v="2024-12-26T00:00:00"/>
    <s v="December"/>
    <d v="1899-12-30T07:10:12"/>
    <s v="&quot;CNR6421218&quot;"/>
    <s v="Incomplete"/>
    <s v="&quot;CID2328704&quot;"/>
    <x v="5"/>
    <s v="Nawada"/>
    <s v="Shastri Park"/>
    <n v="6.6"/>
    <n v="21.9"/>
    <s v="null"/>
    <s v="null"/>
    <s v="null"/>
    <s v="null"/>
    <n v="1"/>
    <s v="Customer Demand"/>
    <n v="315"/>
    <n v="7.41"/>
    <s v="null"/>
    <s v="null"/>
    <s v="UPI"/>
  </r>
  <r>
    <d v="2024-08-23T00:00:00"/>
    <s v="August"/>
    <d v="1899-12-30T11:47:22"/>
    <s v="&quot;CNR7297536&quot;"/>
    <s v="Completed"/>
    <s v="&quot;CID3104231&quot;"/>
    <x v="2"/>
    <s v="DLF City Court"/>
    <s v="Pitampura"/>
    <n v="8.3000000000000007"/>
    <n v="18.7"/>
    <s v="null"/>
    <s v="null"/>
    <s v="null"/>
    <s v="null"/>
    <s v="null"/>
    <s v="null"/>
    <n v="82"/>
    <n v="14.49"/>
    <n v="4.5999999999999996"/>
    <n v="4.2"/>
    <s v="UPI"/>
  </r>
  <r>
    <d v="2024-04-28T00:00:00"/>
    <s v="April"/>
    <d v="1899-12-30T01:17:51"/>
    <s v="&quot;CNR2290384&quot;"/>
    <s v="Completed"/>
    <s v="&quot;CID6067378&quot;"/>
    <x v="6"/>
    <s v="Nehru Place"/>
    <s v="Rajiv Chowk"/>
    <n v="14.8"/>
    <n v="40.4"/>
    <s v="null"/>
    <s v="null"/>
    <s v="null"/>
    <s v="null"/>
    <s v="null"/>
    <s v="null"/>
    <n v="221"/>
    <n v="15.3"/>
    <n v="4.0999999999999996"/>
    <n v="4.5"/>
    <s v="UPI"/>
  </r>
  <r>
    <d v="2024-03-07T00:00:00"/>
    <s v="March"/>
    <d v="1899-12-30T12:34:46"/>
    <s v="&quot;CNR2229358&quot;"/>
    <s v="Cancelled by Customer"/>
    <s v="&quot;CID7586583&quot;"/>
    <x v="3"/>
    <s v="Pragati Maidan"/>
    <s v="Subhash Chowk"/>
    <n v="6.1"/>
    <s v="null"/>
    <n v="1"/>
    <s v="Wrong Address"/>
    <s v="null"/>
    <s v="null"/>
    <s v="null"/>
    <s v="null"/>
    <s v="null"/>
    <s v="null"/>
    <s v="null"/>
    <s v="null"/>
    <s v="null"/>
  </r>
  <r>
    <d v="2024-01-02T00:00:00"/>
    <s v="January"/>
    <d v="1899-12-30T09:03:00"/>
    <s v="&quot;CNR4246484&quot;"/>
    <s v="Cancelled by Driver"/>
    <s v="&quot;CID4625807&quot;"/>
    <x v="0"/>
    <s v="Munirka"/>
    <s v="Saidulajab"/>
    <n v="9.1"/>
    <s v="null"/>
    <s v="null"/>
    <s v="null"/>
    <n v="1"/>
    <s v="Customer related issue"/>
    <s v="null"/>
    <s v="null"/>
    <s v="null"/>
    <s v="null"/>
    <s v="null"/>
    <s v="null"/>
    <s v="null"/>
  </r>
  <r>
    <d v="2024-01-21T00:00:00"/>
    <s v="January"/>
    <d v="1899-12-30T19:25:02"/>
    <s v="&quot;CNR9882850&quot;"/>
    <s v="Cancelled by Driver"/>
    <s v="&quot;CID8976182&quot;"/>
    <x v="2"/>
    <s v="Vishwavidyalaya"/>
    <s v="Manesar"/>
    <n v="5"/>
    <s v="null"/>
    <s v="null"/>
    <s v="null"/>
    <n v="1"/>
    <s v="Customer related issue"/>
    <s v="null"/>
    <s v="null"/>
    <s v="null"/>
    <s v="null"/>
    <s v="null"/>
    <s v="null"/>
    <s v="null"/>
  </r>
  <r>
    <d v="2024-06-05T00:00:00"/>
    <s v="June"/>
    <d v="1899-12-30T13:02:32"/>
    <s v="&quot;CNR3234899&quot;"/>
    <s v="Completed"/>
    <s v="&quot;CID1908216&quot;"/>
    <x v="4"/>
    <s v="Sohna Road"/>
    <s v="IGNOU Road"/>
    <n v="14.1"/>
    <n v="30.2"/>
    <s v="null"/>
    <s v="null"/>
    <s v="null"/>
    <s v="null"/>
    <s v="null"/>
    <s v="null"/>
    <n v="901"/>
    <n v="15.53"/>
    <n v="4.4000000000000004"/>
    <n v="4.5999999999999996"/>
    <s v="Uber Wallet"/>
  </r>
  <r>
    <d v="2024-02-14T00:00:00"/>
    <s v="February"/>
    <d v="1899-12-30T14:46:37"/>
    <s v="&quot;CNR9159821&quot;"/>
    <s v="Completed"/>
    <s v="&quot;CID7212119&quot;"/>
    <x v="1"/>
    <s v="Saket A Block"/>
    <s v="Gurgaon Railway Station"/>
    <n v="4.8"/>
    <n v="24.7"/>
    <s v="null"/>
    <s v="null"/>
    <s v="null"/>
    <s v="null"/>
    <s v="null"/>
    <s v="null"/>
    <n v="1523"/>
    <n v="6.84"/>
    <n v="4"/>
    <n v="4.3"/>
    <s v="UPI"/>
  </r>
  <r>
    <d v="2024-02-24T00:00:00"/>
    <s v="February"/>
    <d v="1899-12-30T23:05:49"/>
    <s v="&quot;CNR3377580&quot;"/>
    <s v="No Driver Found"/>
    <s v="&quot;CID3773482&quot;"/>
    <x v="2"/>
    <s v="Adarsh Nagar"/>
    <s v="Huda City Centre"/>
    <s v="null"/>
    <s v="null"/>
    <s v="null"/>
    <s v="null"/>
    <s v="null"/>
    <s v="null"/>
    <s v="null"/>
    <s v="null"/>
    <s v="null"/>
    <s v="null"/>
    <s v="null"/>
    <s v="null"/>
    <s v="null"/>
  </r>
  <r>
    <d v="2024-01-19T00:00:00"/>
    <s v="January"/>
    <d v="1899-12-30T21:48:21"/>
    <s v="&quot;CNR7286285&quot;"/>
    <s v="Completed"/>
    <s v="&quot;CID6567281&quot;"/>
    <x v="3"/>
    <s v="Yamuna Bank"/>
    <s v="Dilshad Garden"/>
    <n v="9.1"/>
    <n v="21.7"/>
    <s v="null"/>
    <s v="null"/>
    <s v="null"/>
    <s v="null"/>
    <s v="null"/>
    <s v="null"/>
    <n v="582"/>
    <n v="27.22"/>
    <n v="3.5"/>
    <n v="4.3"/>
    <s v="Cash"/>
  </r>
  <r>
    <d v="2024-07-02T00:00:00"/>
    <s v="July"/>
    <d v="1899-12-30T15:09:07"/>
    <s v="&quot;CNR8901989&quot;"/>
    <s v="Completed"/>
    <s v="&quot;CID4529927&quot;"/>
    <x v="2"/>
    <s v="AIIMS"/>
    <s v="Jasola"/>
    <n v="3.6"/>
    <n v="18.600000000000001"/>
    <s v="null"/>
    <s v="null"/>
    <s v="null"/>
    <s v="null"/>
    <s v="null"/>
    <s v="null"/>
    <n v="133"/>
    <n v="31.65"/>
    <n v="3.2"/>
    <n v="4.4000000000000004"/>
    <s v="UPI"/>
  </r>
  <r>
    <d v="2024-02-27T00:00:00"/>
    <s v="February"/>
    <d v="1899-12-30T09:33:05"/>
    <s v="&quot;CNR9222191&quot;"/>
    <s v="Completed"/>
    <s v="&quot;CID9902256&quot;"/>
    <x v="2"/>
    <s v="Green Park"/>
    <s v="Aya Nagar"/>
    <n v="6.8"/>
    <n v="21"/>
    <s v="null"/>
    <s v="null"/>
    <s v="null"/>
    <s v="null"/>
    <s v="null"/>
    <s v="null"/>
    <n v="508"/>
    <n v="38.25"/>
    <n v="3.2"/>
    <n v="5"/>
    <s v="Credit Card"/>
  </r>
  <r>
    <d v="2024-04-15T00:00:00"/>
    <s v="April"/>
    <d v="1899-12-30T12:25:23"/>
    <s v="&quot;CNR6647107&quot;"/>
    <s v="Cancelled by Customer"/>
    <s v="&quot;CID7253416&quot;"/>
    <x v="2"/>
    <s v="Greater Kailash"/>
    <s v="Kashmere Gate ISBT"/>
    <n v="9.5"/>
    <s v="null"/>
    <n v="1"/>
    <s v="Driver asked to cancel"/>
    <s v="null"/>
    <s v="null"/>
    <s v="null"/>
    <s v="null"/>
    <s v="null"/>
    <s v="null"/>
    <s v="null"/>
    <s v="null"/>
    <s v="null"/>
  </r>
  <r>
    <d v="2024-07-31T00:00:00"/>
    <s v="July"/>
    <d v="1899-12-30T22:13:15"/>
    <s v="&quot;CNR9775227&quot;"/>
    <s v="Completed"/>
    <s v="&quot;CID4405721&quot;"/>
    <x v="4"/>
    <s v="Madipur"/>
    <s v="Chhatarpur"/>
    <n v="5"/>
    <n v="22"/>
    <s v="null"/>
    <s v="null"/>
    <s v="null"/>
    <s v="null"/>
    <s v="null"/>
    <s v="null"/>
    <n v="999"/>
    <n v="12.14"/>
    <n v="4.4000000000000004"/>
    <n v="4.5999999999999996"/>
    <s v="Uber Wallet"/>
  </r>
  <r>
    <d v="2024-10-14T00:00:00"/>
    <s v="October"/>
    <d v="1899-12-30T23:39:15"/>
    <s v="&quot;CNR5436498&quot;"/>
    <s v="Completed"/>
    <s v="&quot;CID6124996&quot;"/>
    <x v="2"/>
    <s v="Panchsheel Park"/>
    <s v="Janakpuri"/>
    <n v="11"/>
    <n v="25.8"/>
    <s v="null"/>
    <s v="null"/>
    <s v="null"/>
    <s v="null"/>
    <s v="null"/>
    <s v="null"/>
    <n v="713"/>
    <n v="9.76"/>
    <n v="4.3"/>
    <n v="4.0999999999999996"/>
    <s v="UPI"/>
  </r>
  <r>
    <d v="2024-12-23T00:00:00"/>
    <s v="December"/>
    <d v="1899-12-30T19:00:24"/>
    <s v="&quot;CNR9394835&quot;"/>
    <s v="Completed"/>
    <s v="&quot;CID3125278&quot;"/>
    <x v="3"/>
    <s v="Mandi House"/>
    <s v="Sadar Bazar Gurgaon"/>
    <n v="14.3"/>
    <n v="35.200000000000003"/>
    <s v="null"/>
    <s v="null"/>
    <s v="null"/>
    <s v="null"/>
    <s v="null"/>
    <s v="null"/>
    <n v="96"/>
    <n v="10.63"/>
    <n v="4.7"/>
    <n v="4.5"/>
    <s v="UPI"/>
  </r>
  <r>
    <d v="2024-08-29T00:00:00"/>
    <s v="August"/>
    <d v="1899-12-30T19:47:03"/>
    <s v="&quot;CNR7811486&quot;"/>
    <s v="Completed"/>
    <s v="&quot;CID3203722&quot;"/>
    <x v="2"/>
    <s v="Kanhaiya Nagar"/>
    <s v="Narsinghpur"/>
    <n v="11.4"/>
    <n v="36.799999999999997"/>
    <s v="null"/>
    <s v="null"/>
    <s v="null"/>
    <s v="null"/>
    <s v="null"/>
    <s v="null"/>
    <n v="595"/>
    <n v="15.32"/>
    <n v="4.5999999999999996"/>
    <n v="5"/>
    <s v="UPI"/>
  </r>
  <r>
    <d v="2024-09-06T00:00:00"/>
    <s v="September"/>
    <d v="1899-12-30T16:43:36"/>
    <s v="&quot;CNR9208205&quot;"/>
    <s v="Cancelled by Driver"/>
    <s v="&quot;CID2712013&quot;"/>
    <x v="1"/>
    <s v="Mayur Vihar"/>
    <s v="Sohna Road"/>
    <n v="4.8"/>
    <s v="null"/>
    <s v="null"/>
    <s v="null"/>
    <n v="1"/>
    <s v="The customer was coughing/sick"/>
    <s v="null"/>
    <s v="null"/>
    <s v="null"/>
    <s v="null"/>
    <s v="null"/>
    <s v="null"/>
    <s v="null"/>
  </r>
  <r>
    <d v="2024-03-22T00:00:00"/>
    <s v="March"/>
    <d v="1899-12-30T16:52:05"/>
    <s v="&quot;CNR6583672&quot;"/>
    <s v="Completed"/>
    <s v="&quot;CID2281519&quot;"/>
    <x v="2"/>
    <s v="Ghitorni Village"/>
    <s v="Rajiv Nagar"/>
    <n v="12.2"/>
    <n v="20.5"/>
    <s v="null"/>
    <s v="null"/>
    <s v="null"/>
    <s v="null"/>
    <s v="null"/>
    <s v="null"/>
    <n v="256"/>
    <n v="8.76"/>
    <n v="4.5"/>
    <n v="5"/>
    <s v="Debit Card"/>
  </r>
  <r>
    <d v="2024-12-11T00:00:00"/>
    <s v="December"/>
    <d v="1899-12-30T10:17:35"/>
    <s v="&quot;CNR5706641&quot;"/>
    <s v="Completed"/>
    <s v="&quot;CID5130718&quot;"/>
    <x v="2"/>
    <s v="Adarsh Nagar"/>
    <s v="Connaught Place"/>
    <n v="11.8"/>
    <n v="37.200000000000003"/>
    <s v="null"/>
    <s v="null"/>
    <s v="null"/>
    <s v="null"/>
    <s v="null"/>
    <s v="null"/>
    <n v="449"/>
    <n v="22.4"/>
    <n v="4.9000000000000004"/>
    <n v="4.5"/>
    <s v="Uber Wallet"/>
  </r>
  <r>
    <d v="2024-08-09T00:00:00"/>
    <s v="August"/>
    <d v="1899-12-30T22:33:01"/>
    <s v="&quot;CNR8005201&quot;"/>
    <s v="Cancelled by Driver"/>
    <s v="&quot;CID8692503&quot;"/>
    <x v="4"/>
    <s v="Aya Nagar"/>
    <s v="Noida Sector 62"/>
    <n v="7.8"/>
    <s v="null"/>
    <s v="null"/>
    <s v="null"/>
    <n v="1"/>
    <s v="Customer related issue"/>
    <s v="null"/>
    <s v="null"/>
    <s v="null"/>
    <s v="null"/>
    <s v="null"/>
    <s v="null"/>
    <s v="null"/>
  </r>
  <r>
    <d v="2024-02-03T00:00:00"/>
    <s v="February"/>
    <d v="1899-12-30T19:43:12"/>
    <s v="&quot;CNR7534075&quot;"/>
    <s v="Completed"/>
    <s v="&quot;CID4275914&quot;"/>
    <x v="3"/>
    <s v="Pataudi Chowk"/>
    <s v="Greater Kailash"/>
    <n v="13.4"/>
    <n v="40"/>
    <s v="null"/>
    <s v="null"/>
    <s v="null"/>
    <s v="null"/>
    <s v="null"/>
    <s v="null"/>
    <n v="373"/>
    <n v="12.73"/>
    <n v="4.5999999999999996"/>
    <n v="4.2"/>
    <s v="Cash"/>
  </r>
  <r>
    <d v="2024-07-24T00:00:00"/>
    <s v="July"/>
    <d v="1899-12-30T06:09:08"/>
    <s v="&quot;CNR1712916&quot;"/>
    <s v="Completed"/>
    <s v="&quot;CID9416242&quot;"/>
    <x v="5"/>
    <s v="Badshahpur"/>
    <s v="Preet Vihar"/>
    <n v="2.4"/>
    <n v="38.5"/>
    <s v="null"/>
    <s v="null"/>
    <s v="null"/>
    <s v="null"/>
    <s v="null"/>
    <s v="null"/>
    <n v="445"/>
    <n v="28.77"/>
    <n v="4.2"/>
    <n v="4.2"/>
    <s v="UPI"/>
  </r>
  <r>
    <d v="2024-10-19T00:00:00"/>
    <s v="October"/>
    <d v="1899-12-30T10:43:36"/>
    <s v="&quot;CNR8081487&quot;"/>
    <s v="Completed"/>
    <s v="&quot;CID1030753&quot;"/>
    <x v="3"/>
    <s v="Mehrauli"/>
    <s v="Rithala"/>
    <n v="7.4"/>
    <n v="20.6"/>
    <s v="null"/>
    <s v="null"/>
    <s v="null"/>
    <s v="null"/>
    <s v="null"/>
    <s v="null"/>
    <n v="1563"/>
    <n v="8.86"/>
    <n v="4.7"/>
    <n v="4.5999999999999996"/>
    <s v="Cash"/>
  </r>
  <r>
    <d v="2024-10-29T00:00:00"/>
    <s v="October"/>
    <d v="1899-12-30T06:22:50"/>
    <s v="&quot;CNR4056850&quot;"/>
    <s v="Cancelled by Driver"/>
    <s v="&quot;CID5921257&quot;"/>
    <x v="2"/>
    <s v="Indraprastha"/>
    <s v="Gurgaon Sector 29"/>
    <n v="4.0999999999999996"/>
    <s v="null"/>
    <s v="null"/>
    <s v="null"/>
    <n v="1"/>
    <s v="Personal &amp; Car related issues"/>
    <s v="null"/>
    <s v="null"/>
    <s v="null"/>
    <s v="null"/>
    <s v="null"/>
    <s v="null"/>
    <s v="null"/>
  </r>
  <r>
    <d v="2024-02-07T00:00:00"/>
    <s v="February"/>
    <d v="1899-12-30T18:58:54"/>
    <s v="&quot;CNR6714334&quot;"/>
    <s v="No Driver Found"/>
    <s v="&quot;CID3077805&quot;"/>
    <x v="2"/>
    <s v="Chirag Delhi"/>
    <s v="Saket"/>
    <s v="null"/>
    <s v="null"/>
    <s v="null"/>
    <s v="null"/>
    <s v="null"/>
    <s v="null"/>
    <s v="null"/>
    <s v="null"/>
    <s v="null"/>
    <s v="null"/>
    <s v="null"/>
    <s v="null"/>
    <s v="null"/>
  </r>
  <r>
    <d v="2024-03-29T00:00:00"/>
    <s v="March"/>
    <d v="1899-12-30T20:42:13"/>
    <s v="&quot;CNR7702733&quot;"/>
    <s v="No Driver Found"/>
    <s v="&quot;CID7542922&quot;"/>
    <x v="1"/>
    <s v="Botanical Garden"/>
    <s v="Delhi Gate"/>
    <s v="null"/>
    <s v="null"/>
    <s v="null"/>
    <s v="null"/>
    <s v="null"/>
    <s v="null"/>
    <s v="null"/>
    <s v="null"/>
    <s v="null"/>
    <s v="null"/>
    <s v="null"/>
    <s v="null"/>
    <s v="null"/>
  </r>
  <r>
    <d v="2024-05-15T00:00:00"/>
    <s v="May"/>
    <d v="1899-12-30T15:02:03"/>
    <s v="&quot;CNR9212883&quot;"/>
    <s v="Completed"/>
    <s v="&quot;CID7774837&quot;"/>
    <x v="1"/>
    <s v="Indirapuram"/>
    <s v="Botanical Garden"/>
    <n v="12.2"/>
    <n v="35.299999999999997"/>
    <s v="null"/>
    <s v="null"/>
    <s v="null"/>
    <s v="null"/>
    <s v="null"/>
    <s v="null"/>
    <n v="486"/>
    <n v="30.28"/>
    <n v="4.5999999999999996"/>
    <n v="4.8"/>
    <s v="Debit Card"/>
  </r>
  <r>
    <d v="2024-06-20T00:00:00"/>
    <s v="June"/>
    <d v="1899-12-30T11:34:09"/>
    <s v="&quot;CNR9154108&quot;"/>
    <s v="Completed"/>
    <s v="&quot;CID7990974&quot;"/>
    <x v="3"/>
    <s v="Noida Film City"/>
    <s v="Tilak Nagar"/>
    <n v="4.3"/>
    <n v="33.1"/>
    <s v="null"/>
    <s v="null"/>
    <s v="null"/>
    <s v="null"/>
    <s v="null"/>
    <s v="null"/>
    <n v="480"/>
    <n v="40.380000000000003"/>
    <n v="4.2"/>
    <n v="3.7"/>
    <s v="Cash"/>
  </r>
  <r>
    <d v="2024-09-14T00:00:00"/>
    <s v="September"/>
    <d v="1899-12-30T10:19:51"/>
    <s v="&quot;CNR6429307&quot;"/>
    <s v="Completed"/>
    <s v="&quot;CID6093452&quot;"/>
    <x v="4"/>
    <s v="Jahangirpuri"/>
    <s v="Uttam Nagar"/>
    <n v="11.1"/>
    <n v="26.5"/>
    <s v="null"/>
    <s v="null"/>
    <s v="null"/>
    <s v="null"/>
    <s v="null"/>
    <s v="null"/>
    <n v="162"/>
    <n v="45.56"/>
    <n v="3.6"/>
    <n v="4.3"/>
    <s v="Credit Card"/>
  </r>
  <r>
    <d v="2024-04-18T00:00:00"/>
    <s v="April"/>
    <d v="1899-12-30T17:43:38"/>
    <s v="&quot;CNR4933209&quot;"/>
    <s v="Completed"/>
    <s v="&quot;CID7088241&quot;"/>
    <x v="4"/>
    <s v="Udyog Vihar Phase 4"/>
    <s v="Vinobapuri"/>
    <n v="7.1"/>
    <n v="34"/>
    <s v="null"/>
    <s v="null"/>
    <s v="null"/>
    <s v="null"/>
    <s v="null"/>
    <s v="null"/>
    <n v="964"/>
    <n v="47.18"/>
    <n v="4.5999999999999996"/>
    <n v="4.5999999999999996"/>
    <s v="Debit Card"/>
  </r>
  <r>
    <d v="2024-03-12T00:00:00"/>
    <s v="March"/>
    <d v="1899-12-30T18:26:42"/>
    <s v="&quot;CNR2979424&quot;"/>
    <s v="Completed"/>
    <s v="&quot;CID8679276&quot;"/>
    <x v="4"/>
    <s v="Kherki Daula Toll"/>
    <s v="Mandi House"/>
    <n v="3"/>
    <n v="29.1"/>
    <s v="null"/>
    <s v="null"/>
    <s v="null"/>
    <s v="null"/>
    <s v="null"/>
    <s v="null"/>
    <n v="68"/>
    <n v="46.93"/>
    <n v="3.3"/>
    <n v="4.9000000000000004"/>
    <s v="Cash"/>
  </r>
  <r>
    <d v="2024-11-25T00:00:00"/>
    <s v="November"/>
    <d v="1899-12-30T18:19:32"/>
    <s v="&quot;CNR3332119&quot;"/>
    <s v="Cancelled by Driver"/>
    <s v="&quot;CID6481348&quot;"/>
    <x v="1"/>
    <s v="Mansarovar Park"/>
    <s v="Lajpat Nagar"/>
    <n v="9.8000000000000007"/>
    <s v="null"/>
    <s v="null"/>
    <s v="null"/>
    <n v="1"/>
    <s v="The customer was coughing/sick"/>
    <s v="null"/>
    <s v="null"/>
    <s v="null"/>
    <s v="null"/>
    <s v="null"/>
    <s v="null"/>
    <s v="null"/>
  </r>
  <r>
    <d v="2024-05-23T00:00:00"/>
    <s v="May"/>
    <d v="1899-12-30T19:10:04"/>
    <s v="&quot;CNR8678279&quot;"/>
    <s v="Completed"/>
    <s v="&quot;CID1487975&quot;"/>
    <x v="2"/>
    <s v="Munirka"/>
    <s v="GTB Nagar"/>
    <n v="3.5"/>
    <n v="22.7"/>
    <s v="null"/>
    <s v="null"/>
    <s v="null"/>
    <s v="null"/>
    <s v="null"/>
    <s v="null"/>
    <n v="77"/>
    <n v="43.81"/>
    <n v="4.5"/>
    <n v="4.8"/>
    <s v="Uber Wallet"/>
  </r>
  <r>
    <d v="2024-12-21T00:00:00"/>
    <s v="December"/>
    <d v="1899-12-30T20:12:48"/>
    <s v="&quot;CNR1559285&quot;"/>
    <s v="Completed"/>
    <s v="&quot;CID2693633&quot;"/>
    <x v="2"/>
    <s v="Pragati Maidan"/>
    <s v="Ashok Vihar"/>
    <n v="6.2"/>
    <n v="20.6"/>
    <s v="null"/>
    <s v="null"/>
    <s v="null"/>
    <s v="null"/>
    <s v="null"/>
    <s v="null"/>
    <n v="1596"/>
    <n v="38.53"/>
    <n v="4.5999999999999996"/>
    <n v="4.5"/>
    <s v="Debit Card"/>
  </r>
  <r>
    <d v="2024-07-03T00:00:00"/>
    <s v="July"/>
    <d v="1899-12-30T08:59:05"/>
    <s v="&quot;CNR7024730&quot;"/>
    <s v="Cancelled by Driver"/>
    <s v="&quot;CID4838658&quot;"/>
    <x v="5"/>
    <s v="Nirman Vihar"/>
    <s v="Inderlok"/>
    <n v="7.4"/>
    <s v="null"/>
    <s v="null"/>
    <s v="null"/>
    <n v="1"/>
    <s v="The customer was coughing/sick"/>
    <s v="null"/>
    <s v="null"/>
    <s v="null"/>
    <s v="null"/>
    <s v="null"/>
    <s v="null"/>
    <s v="null"/>
  </r>
  <r>
    <d v="2024-02-16T00:00:00"/>
    <s v="February"/>
    <d v="1899-12-30T18:13:26"/>
    <s v="&quot;CNR6839076&quot;"/>
    <s v="No Driver Found"/>
    <s v="&quot;CID8166401&quot;"/>
    <x v="2"/>
    <s v="Punjabi Bagh"/>
    <s v="Moti Nagar"/>
    <s v="null"/>
    <s v="null"/>
    <s v="null"/>
    <s v="null"/>
    <s v="null"/>
    <s v="null"/>
    <s v="null"/>
    <s v="null"/>
    <s v="null"/>
    <s v="null"/>
    <s v="null"/>
    <s v="null"/>
    <s v="null"/>
  </r>
  <r>
    <d v="2024-07-24T00:00:00"/>
    <s v="July"/>
    <d v="1899-12-30T19:53:26"/>
    <s v="&quot;CNR7905117&quot;"/>
    <s v="Completed"/>
    <s v="&quot;CID1416555&quot;"/>
    <x v="4"/>
    <s v="Chandni Chowk"/>
    <s v="Rohini West"/>
    <n v="9.9"/>
    <n v="26.6"/>
    <s v="null"/>
    <s v="null"/>
    <s v="null"/>
    <s v="null"/>
    <s v="null"/>
    <s v="null"/>
    <n v="983"/>
    <n v="33.61"/>
    <n v="3.7"/>
    <n v="4.5999999999999996"/>
    <s v="Cash"/>
  </r>
  <r>
    <d v="2024-05-23T00:00:00"/>
    <s v="May"/>
    <d v="1899-12-30T00:27:47"/>
    <s v="&quot;CNR5759870&quot;"/>
    <s v="Completed"/>
    <s v="&quot;CID2323422&quot;"/>
    <x v="5"/>
    <s v="Gurgaon Railway Station"/>
    <s v="Moti Nagar"/>
    <n v="3"/>
    <n v="29.4"/>
    <s v="null"/>
    <s v="null"/>
    <s v="null"/>
    <s v="null"/>
    <s v="null"/>
    <s v="null"/>
    <n v="68"/>
    <n v="24.62"/>
    <n v="5"/>
    <n v="3.7"/>
    <s v="Cash"/>
  </r>
  <r>
    <d v="2024-05-04T00:00:00"/>
    <s v="May"/>
    <d v="1899-12-30T22:00:18"/>
    <s v="&quot;CNR3578899&quot;"/>
    <s v="Completed"/>
    <s v="&quot;CID5661102&quot;"/>
    <x v="3"/>
    <s v="Sikanderpur"/>
    <s v="Pulbangash"/>
    <n v="11.6"/>
    <n v="32"/>
    <s v="null"/>
    <s v="null"/>
    <s v="null"/>
    <s v="null"/>
    <s v="null"/>
    <s v="null"/>
    <n v="493"/>
    <n v="33.799999999999997"/>
    <n v="4.9000000000000004"/>
    <n v="4.2"/>
    <s v="UPI"/>
  </r>
  <r>
    <d v="2024-10-02T00:00:00"/>
    <s v="October"/>
    <d v="1899-12-30T17:11:05"/>
    <s v="&quot;CNR1089514&quot;"/>
    <s v="Cancelled by Driver"/>
    <s v="&quot;CID4125399&quot;"/>
    <x v="1"/>
    <s v="Huda City Centre"/>
    <s v="Paharganj"/>
    <n v="5.8"/>
    <s v="null"/>
    <s v="null"/>
    <s v="null"/>
    <n v="1"/>
    <s v="Personal &amp; Car related issues"/>
    <s v="null"/>
    <s v="null"/>
    <s v="null"/>
    <s v="null"/>
    <s v="null"/>
    <s v="null"/>
    <s v="null"/>
  </r>
  <r>
    <d v="2024-12-18T00:00:00"/>
    <s v="December"/>
    <d v="1899-12-30T19:23:42"/>
    <s v="&quot;CNR9835984&quot;"/>
    <s v="Completed"/>
    <s v="&quot;CID9964638&quot;"/>
    <x v="2"/>
    <s v="Sadar Bazar Gurgaon"/>
    <s v="Gurgaon Sector 56"/>
    <n v="3.2"/>
    <n v="44.4"/>
    <s v="null"/>
    <s v="null"/>
    <s v="null"/>
    <s v="null"/>
    <s v="null"/>
    <s v="null"/>
    <n v="745"/>
    <n v="32.090000000000003"/>
    <n v="4.5999999999999996"/>
    <n v="4.3"/>
    <s v="Credit Card"/>
  </r>
  <r>
    <d v="2024-01-03T00:00:00"/>
    <s v="January"/>
    <d v="1899-12-30T16:22:08"/>
    <s v="&quot;CNR1643972&quot;"/>
    <s v="Cancelled by Driver"/>
    <s v="&quot;CID3506515&quot;"/>
    <x v="0"/>
    <s v="Sikanderpur"/>
    <s v="Nehru Place"/>
    <n v="6.9"/>
    <s v="null"/>
    <s v="null"/>
    <s v="null"/>
    <n v="1"/>
    <s v="Customer related issue"/>
    <s v="null"/>
    <s v="null"/>
    <s v="null"/>
    <s v="null"/>
    <s v="null"/>
    <s v="null"/>
    <s v="null"/>
  </r>
  <r>
    <d v="2024-07-02T00:00:00"/>
    <s v="July"/>
    <d v="1899-12-30T11:48:21"/>
    <s v="&quot;CNR2939495&quot;"/>
    <s v="Completed"/>
    <s v="&quot;CID2801589&quot;"/>
    <x v="3"/>
    <s v="Inderlok"/>
    <s v="Shastri Nagar"/>
    <n v="14.5"/>
    <n v="40.4"/>
    <s v="null"/>
    <s v="null"/>
    <s v="null"/>
    <s v="null"/>
    <s v="null"/>
    <s v="null"/>
    <n v="304"/>
    <n v="13.99"/>
    <n v="4.8"/>
    <n v="4.5"/>
    <s v="Uber Wallet"/>
  </r>
  <r>
    <d v="2024-08-30T00:00:00"/>
    <s v="August"/>
    <d v="1899-12-30T07:07:23"/>
    <s v="&quot;CNR4997006&quot;"/>
    <s v="Cancelled by Driver"/>
    <s v="&quot;CID6970636&quot;"/>
    <x v="0"/>
    <s v="Rithala"/>
    <s v="Chanakyapuri"/>
    <n v="4.7"/>
    <s v="null"/>
    <s v="null"/>
    <s v="null"/>
    <n v="1"/>
    <s v="Personal &amp; Car related issues"/>
    <s v="null"/>
    <s v="null"/>
    <s v="null"/>
    <s v="null"/>
    <s v="null"/>
    <s v="null"/>
    <s v="null"/>
  </r>
  <r>
    <d v="2024-11-29T00:00:00"/>
    <s v="November"/>
    <d v="1899-12-30T18:38:27"/>
    <s v="&quot;CNR3684938&quot;"/>
    <s v="Completed"/>
    <s v="&quot;CID6381738&quot;"/>
    <x v="2"/>
    <s v="Delhi Gate"/>
    <s v="Subhash Chowk"/>
    <n v="9"/>
    <n v="17.100000000000001"/>
    <s v="null"/>
    <s v="null"/>
    <s v="null"/>
    <s v="null"/>
    <s v="null"/>
    <s v="null"/>
    <n v="402"/>
    <n v="14.13"/>
    <n v="4.5999999999999996"/>
    <n v="4.0999999999999996"/>
    <s v="UPI"/>
  </r>
  <r>
    <d v="2024-09-27T00:00:00"/>
    <s v="September"/>
    <d v="1899-12-30T18:46:11"/>
    <s v="&quot;CNR8016082&quot;"/>
    <s v="No Driver Found"/>
    <s v="&quot;CID3400110&quot;"/>
    <x v="2"/>
    <s v="Nirman Vihar"/>
    <s v="Greater Noida"/>
    <s v="null"/>
    <s v="null"/>
    <s v="null"/>
    <s v="null"/>
    <s v="null"/>
    <s v="null"/>
    <s v="null"/>
    <s v="null"/>
    <s v="null"/>
    <s v="null"/>
    <s v="null"/>
    <s v="null"/>
    <s v="null"/>
  </r>
  <r>
    <d v="2024-01-26T00:00:00"/>
    <s v="January"/>
    <d v="1899-12-30T16:22:14"/>
    <s v="&quot;CNR9166884&quot;"/>
    <s v="Completed"/>
    <s v="&quot;CID3068872&quot;"/>
    <x v="5"/>
    <s v="Panipat"/>
    <s v="Palam Vihar"/>
    <n v="12.7"/>
    <n v="36.5"/>
    <s v="null"/>
    <s v="null"/>
    <s v="null"/>
    <s v="null"/>
    <s v="null"/>
    <s v="null"/>
    <n v="320"/>
    <n v="34.86"/>
    <n v="5"/>
    <n v="4.5"/>
    <s v="Cash"/>
  </r>
  <r>
    <d v="2024-03-29T00:00:00"/>
    <s v="March"/>
    <d v="1899-12-30T04:41:59"/>
    <s v="&quot;CNR5034553&quot;"/>
    <s v="Completed"/>
    <s v="&quot;CID2838731&quot;"/>
    <x v="4"/>
    <s v="Palam Vihar"/>
    <s v="Noida Film City"/>
    <n v="9.1999999999999993"/>
    <n v="34.6"/>
    <s v="null"/>
    <s v="null"/>
    <s v="null"/>
    <s v="null"/>
    <s v="null"/>
    <s v="null"/>
    <n v="1247"/>
    <n v="43.94"/>
    <n v="4.5"/>
    <n v="3.1"/>
    <s v="Uber Wallet"/>
  </r>
  <r>
    <d v="2024-09-15T00:00:00"/>
    <s v="September"/>
    <d v="1899-12-30T22:33:27"/>
    <s v="&quot;CNR5994760&quot;"/>
    <s v="Completed"/>
    <s v="&quot;CID8677699&quot;"/>
    <x v="3"/>
    <s v="Tagore Garden"/>
    <s v="Basai Dhankot"/>
    <n v="6.1"/>
    <n v="29"/>
    <s v="null"/>
    <s v="null"/>
    <s v="null"/>
    <s v="null"/>
    <s v="null"/>
    <s v="null"/>
    <n v="358"/>
    <n v="24.56"/>
    <n v="3.6"/>
    <n v="3.8"/>
    <s v="UPI"/>
  </r>
  <r>
    <d v="2024-11-23T00:00:00"/>
    <s v="November"/>
    <d v="1899-12-30T19:05:58"/>
    <s v="&quot;CNR8280553&quot;"/>
    <s v="Completed"/>
    <s v="&quot;CID4089830&quot;"/>
    <x v="2"/>
    <s v="Rajouri Garden"/>
    <s v="RK Puram"/>
    <n v="5.5"/>
    <n v="31.6"/>
    <s v="null"/>
    <s v="null"/>
    <s v="null"/>
    <s v="null"/>
    <s v="null"/>
    <s v="null"/>
    <n v="86"/>
    <n v="32.14"/>
    <n v="4.5999999999999996"/>
    <n v="4.5999999999999996"/>
    <s v="UPI"/>
  </r>
  <r>
    <d v="2024-11-13T00:00:00"/>
    <s v="November"/>
    <d v="1899-12-30T11:49:33"/>
    <s v="&quot;CNR6304645&quot;"/>
    <s v="Cancelled by Driver"/>
    <s v="&quot;CID8878002&quot;"/>
    <x v="1"/>
    <s v="Kashmere Gate"/>
    <s v="Subhash Chowk"/>
    <n v="10.4"/>
    <s v="null"/>
    <s v="null"/>
    <s v="null"/>
    <n v="1"/>
    <s v="More than permitted people in there"/>
    <s v="null"/>
    <s v="null"/>
    <s v="null"/>
    <s v="null"/>
    <s v="null"/>
    <s v="null"/>
    <s v="null"/>
  </r>
  <r>
    <d v="2024-02-05T00:00:00"/>
    <s v="February"/>
    <d v="1899-12-30T19:48:28"/>
    <s v="&quot;CNR8726920&quot;"/>
    <s v="Cancelled by Customer"/>
    <s v="&quot;CID1004784&quot;"/>
    <x v="3"/>
    <s v="Mansarovar Park"/>
    <s v="Central Secretariat"/>
    <n v="6.3"/>
    <s v="null"/>
    <n v="1"/>
    <s v="Wrong Address"/>
    <s v="null"/>
    <s v="null"/>
    <s v="null"/>
    <s v="null"/>
    <s v="null"/>
    <s v="null"/>
    <s v="null"/>
    <s v="null"/>
    <s v="null"/>
  </r>
  <r>
    <d v="2024-03-08T00:00:00"/>
    <s v="March"/>
    <d v="1899-12-30T14:00:29"/>
    <s v="&quot;CNR1583241&quot;"/>
    <s v="Completed"/>
    <s v="&quot;CID3000345&quot;"/>
    <x v="5"/>
    <s v="Pitampura"/>
    <s v="Sadar Bazar Gurgaon"/>
    <n v="2.8"/>
    <n v="16.8"/>
    <s v="null"/>
    <s v="null"/>
    <s v="null"/>
    <s v="null"/>
    <s v="null"/>
    <s v="null"/>
    <n v="85"/>
    <n v="43.31"/>
    <n v="4.5999999999999996"/>
    <n v="4.9000000000000004"/>
    <s v="Uber Wallet"/>
  </r>
  <r>
    <d v="2024-08-21T00:00:00"/>
    <s v="August"/>
    <d v="1899-12-30T13:03:15"/>
    <s v="&quot;CNR4484602&quot;"/>
    <s v="Completed"/>
    <s v="&quot;CID7199241&quot;"/>
    <x v="1"/>
    <s v="Karol Bagh"/>
    <s v="Saket"/>
    <n v="4.2"/>
    <n v="41.7"/>
    <s v="null"/>
    <s v="null"/>
    <s v="null"/>
    <s v="null"/>
    <s v="null"/>
    <s v="null"/>
    <n v="311"/>
    <n v="30.94"/>
    <n v="4.3"/>
    <n v="4.5999999999999996"/>
    <s v="UPI"/>
  </r>
  <r>
    <d v="2024-05-13T00:00:00"/>
    <s v="May"/>
    <d v="1899-12-30T19:39:38"/>
    <s v="&quot;CNR8525908&quot;"/>
    <s v="Cancelled by Driver"/>
    <s v="&quot;CID4158986&quot;"/>
    <x v="3"/>
    <s v="Jasola"/>
    <s v="Rajouri Garden"/>
    <n v="7.6"/>
    <s v="null"/>
    <s v="null"/>
    <s v="null"/>
    <n v="1"/>
    <s v="Customer related issue"/>
    <s v="null"/>
    <s v="null"/>
    <s v="null"/>
    <s v="null"/>
    <s v="null"/>
    <s v="null"/>
    <s v="null"/>
  </r>
  <r>
    <d v="2024-10-02T00:00:00"/>
    <s v="October"/>
    <d v="1899-12-30T09:12:38"/>
    <s v="&quot;CNR8491180&quot;"/>
    <s v="Incomplete"/>
    <s v="&quot;CID4510240&quot;"/>
    <x v="2"/>
    <s v="Noida Sector 62"/>
    <s v="Uttam Nagar"/>
    <n v="5.3"/>
    <n v="24.9"/>
    <s v="null"/>
    <s v="null"/>
    <s v="null"/>
    <s v="null"/>
    <n v="1"/>
    <s v="Customer Demand"/>
    <n v="98"/>
    <n v="7.87"/>
    <s v="null"/>
    <s v="null"/>
    <s v="Cash"/>
  </r>
  <r>
    <d v="2024-05-27T00:00:00"/>
    <s v="May"/>
    <d v="1899-12-30T17:16:04"/>
    <s v="&quot;CNR4866588&quot;"/>
    <s v="Completed"/>
    <s v="&quot;CID1441937&quot;"/>
    <x v="5"/>
    <s v="Shastri Nagar"/>
    <s v="Udyog Vihar Phase 4"/>
    <n v="11.4"/>
    <n v="26.3"/>
    <s v="null"/>
    <s v="null"/>
    <s v="null"/>
    <s v="null"/>
    <s v="null"/>
    <s v="null"/>
    <n v="130"/>
    <n v="15.24"/>
    <n v="4.3"/>
    <n v="4.5999999999999996"/>
    <s v="Uber Wallet"/>
  </r>
  <r>
    <d v="2024-11-23T00:00:00"/>
    <s v="November"/>
    <d v="1899-12-30T08:54:09"/>
    <s v="&quot;CNR1107433&quot;"/>
    <s v="Completed"/>
    <s v="&quot;CID3758873&quot;"/>
    <x v="5"/>
    <s v="Rohini"/>
    <s v="Lajpat Nagar"/>
    <n v="10.199999999999999"/>
    <n v="20.5"/>
    <s v="null"/>
    <s v="null"/>
    <s v="null"/>
    <s v="null"/>
    <s v="null"/>
    <s v="null"/>
    <n v="367"/>
    <n v="27.38"/>
    <n v="4.2"/>
    <n v="4.2"/>
    <s v="Uber Wallet"/>
  </r>
  <r>
    <d v="2024-03-30T00:00:00"/>
    <s v="March"/>
    <d v="1899-12-30T13:43:56"/>
    <s v="&quot;CNR5804680&quot;"/>
    <s v="Completed"/>
    <s v="&quot;CID5921510&quot;"/>
    <x v="3"/>
    <s v="Malviya Nagar"/>
    <s v="Sadar Bazar Gurgaon"/>
    <n v="7.4"/>
    <n v="28.7"/>
    <s v="null"/>
    <s v="null"/>
    <s v="null"/>
    <s v="null"/>
    <s v="null"/>
    <s v="null"/>
    <n v="420"/>
    <n v="4.5"/>
    <n v="4.5999999999999996"/>
    <n v="4.2"/>
    <s v="UPI"/>
  </r>
  <r>
    <d v="2024-07-05T00:00:00"/>
    <s v="July"/>
    <d v="1899-12-30T10:34:23"/>
    <s v="&quot;CNR3635060&quot;"/>
    <s v="Completed"/>
    <s v="&quot;CID5212455&quot;"/>
    <x v="6"/>
    <s v="Welcome"/>
    <s v="Nawada"/>
    <n v="8.6999999999999993"/>
    <n v="19.399999999999999"/>
    <s v="null"/>
    <s v="null"/>
    <s v="null"/>
    <s v="null"/>
    <s v="null"/>
    <s v="null"/>
    <n v="510"/>
    <n v="9.8699999999999992"/>
    <n v="4.9000000000000004"/>
    <n v="4.9000000000000004"/>
    <s v="UPI"/>
  </r>
  <r>
    <d v="2024-02-16T00:00:00"/>
    <s v="February"/>
    <d v="1899-12-30T21:14:25"/>
    <s v="&quot;CNR3550383&quot;"/>
    <s v="Completed"/>
    <s v="&quot;CID3308866&quot;"/>
    <x v="2"/>
    <s v="Malviya Nagar"/>
    <s v="Govindpuri"/>
    <n v="10"/>
    <n v="25.4"/>
    <s v="null"/>
    <s v="null"/>
    <s v="null"/>
    <s v="null"/>
    <s v="null"/>
    <s v="null"/>
    <n v="83"/>
    <n v="16.5"/>
    <n v="4.4000000000000004"/>
    <n v="4.3"/>
    <s v="UPI"/>
  </r>
  <r>
    <d v="2024-08-26T00:00:00"/>
    <s v="August"/>
    <d v="1899-12-30T03:34:22"/>
    <s v="&quot;CNR4225693&quot;"/>
    <s v="Completed"/>
    <s v="&quot;CID4486029&quot;"/>
    <x v="3"/>
    <s v="Noida Extension"/>
    <s v="Kalkaji"/>
    <n v="4.5"/>
    <n v="15.1"/>
    <s v="null"/>
    <s v="null"/>
    <s v="null"/>
    <s v="null"/>
    <s v="null"/>
    <s v="null"/>
    <n v="158"/>
    <n v="41.88"/>
    <n v="3"/>
    <n v="4.8"/>
    <s v="UPI"/>
  </r>
  <r>
    <d v="2024-10-26T00:00:00"/>
    <s v="October"/>
    <d v="1899-12-30T20:23:08"/>
    <s v="&quot;CNR2221311&quot;"/>
    <s v="Completed"/>
    <s v="&quot;CID3075272&quot;"/>
    <x v="1"/>
    <s v="Jahangirpuri"/>
    <s v="Ashram"/>
    <n v="11.3"/>
    <n v="33"/>
    <s v="null"/>
    <s v="null"/>
    <s v="null"/>
    <s v="null"/>
    <s v="null"/>
    <s v="null"/>
    <n v="1211"/>
    <n v="32.9"/>
    <n v="4.2"/>
    <n v="4.5999999999999996"/>
    <s v="Uber Wallet"/>
  </r>
  <r>
    <d v="2024-08-10T00:00:00"/>
    <s v="August"/>
    <d v="1899-12-30T09:12:53"/>
    <s v="&quot;CNR7713513&quot;"/>
    <s v="Completed"/>
    <s v="&quot;CID3463027&quot;"/>
    <x v="4"/>
    <s v="GTB Nagar"/>
    <s v="Gwal Pahari"/>
    <n v="13.7"/>
    <n v="35.9"/>
    <s v="null"/>
    <s v="null"/>
    <s v="null"/>
    <s v="null"/>
    <s v="null"/>
    <s v="null"/>
    <n v="313"/>
    <n v="36.68"/>
    <n v="4.2"/>
    <n v="4.5"/>
    <s v="Credit Card"/>
  </r>
  <r>
    <d v="2024-04-21T00:00:00"/>
    <s v="April"/>
    <d v="1899-12-30T19:10:08"/>
    <s v="&quot;CNR1286883&quot;"/>
    <s v="Completed"/>
    <s v="&quot;CID7499313&quot;"/>
    <x v="4"/>
    <s v="Bhiwadi"/>
    <s v="Vatika Chowk"/>
    <n v="8.1"/>
    <n v="42.2"/>
    <s v="null"/>
    <s v="null"/>
    <s v="null"/>
    <s v="null"/>
    <s v="null"/>
    <s v="null"/>
    <n v="97"/>
    <n v="20.38"/>
    <n v="4.2"/>
    <n v="4.5"/>
    <s v="Credit Card"/>
  </r>
  <r>
    <d v="2024-01-30T00:00:00"/>
    <s v="January"/>
    <d v="1899-12-30T17:59:06"/>
    <s v="&quot;CNR5104000&quot;"/>
    <s v="Completed"/>
    <s v="&quot;CID5850345&quot;"/>
    <x v="2"/>
    <s v="Vaishali"/>
    <s v="Mehrauli"/>
    <n v="10.3"/>
    <n v="26.4"/>
    <s v="null"/>
    <s v="null"/>
    <s v="null"/>
    <s v="null"/>
    <s v="null"/>
    <s v="null"/>
    <n v="142"/>
    <n v="47.2"/>
    <n v="4.5999999999999996"/>
    <n v="4.5999999999999996"/>
    <s v="UPI"/>
  </r>
  <r>
    <d v="2024-05-11T00:00:00"/>
    <s v="May"/>
    <d v="1899-12-30T21:54:30"/>
    <s v="&quot;CNR1748676&quot;"/>
    <s v="Completed"/>
    <s v="&quot;CID5855184&quot;"/>
    <x v="1"/>
    <s v="Mehrauli"/>
    <s v="IIT Delhi"/>
    <n v="4.8"/>
    <n v="15.5"/>
    <s v="null"/>
    <s v="null"/>
    <s v="null"/>
    <s v="null"/>
    <s v="null"/>
    <s v="null"/>
    <n v="257"/>
    <n v="10.02"/>
    <n v="4"/>
    <n v="4.7"/>
    <s v="Credit Card"/>
  </r>
  <r>
    <d v="2024-05-25T00:00:00"/>
    <s v="May"/>
    <d v="1899-12-30T15:20:19"/>
    <s v="&quot;CNR9018332&quot;"/>
    <s v="Completed"/>
    <s v="&quot;CID5244532&quot;"/>
    <x v="2"/>
    <s v="Raj Nagar Extension"/>
    <s v="Mayur Vihar"/>
    <n v="9.4"/>
    <n v="34.1"/>
    <s v="null"/>
    <s v="null"/>
    <s v="null"/>
    <s v="null"/>
    <s v="null"/>
    <s v="null"/>
    <n v="110"/>
    <n v="2.99"/>
    <n v="4.5"/>
    <n v="4.8"/>
    <s v="UPI"/>
  </r>
  <r>
    <d v="2024-01-23T00:00:00"/>
    <s v="January"/>
    <d v="1899-12-30T18:52:40"/>
    <s v="&quot;CNR6347706&quot;"/>
    <s v="Cancelled by Driver"/>
    <s v="&quot;CID7676450&quot;"/>
    <x v="5"/>
    <s v="Badarpur"/>
    <s v="Bahadurgarh"/>
    <n v="4.3"/>
    <s v="null"/>
    <s v="null"/>
    <s v="null"/>
    <n v="1"/>
    <s v="Customer related issue"/>
    <s v="null"/>
    <s v="null"/>
    <s v="null"/>
    <s v="null"/>
    <s v="null"/>
    <s v="null"/>
    <s v="null"/>
  </r>
  <r>
    <d v="2024-05-09T00:00:00"/>
    <s v="May"/>
    <d v="1899-12-30T09:59:46"/>
    <s v="&quot;CNR3245062&quot;"/>
    <s v="Completed"/>
    <s v="&quot;CID3655439&quot;"/>
    <x v="1"/>
    <s v="Pataudi Chowk"/>
    <s v="Preet Vihar"/>
    <n v="2.9"/>
    <n v="40.200000000000003"/>
    <s v="null"/>
    <s v="null"/>
    <s v="null"/>
    <s v="null"/>
    <s v="null"/>
    <s v="null"/>
    <n v="585"/>
    <n v="31.32"/>
    <n v="4.5"/>
    <n v="3.9"/>
    <s v="UPI"/>
  </r>
  <r>
    <d v="2024-04-21T00:00:00"/>
    <s v="April"/>
    <d v="1899-12-30T16:53:42"/>
    <s v="&quot;CNR2353965&quot;"/>
    <s v="Completed"/>
    <s v="&quot;CID4723366&quot;"/>
    <x v="5"/>
    <s v="IMT Manesar"/>
    <s v="Jahangirpuri"/>
    <n v="7.4"/>
    <n v="31.3"/>
    <s v="null"/>
    <s v="null"/>
    <s v="null"/>
    <s v="null"/>
    <s v="null"/>
    <s v="null"/>
    <n v="697"/>
    <n v="36.64"/>
    <n v="3.9"/>
    <n v="4.7"/>
    <s v="Credit Card"/>
  </r>
  <r>
    <d v="2024-01-20T00:00:00"/>
    <s v="January"/>
    <d v="1899-12-30T11:21:13"/>
    <s v="&quot;CNR3349418&quot;"/>
    <s v="Completed"/>
    <s v="&quot;CID1938710&quot;"/>
    <x v="1"/>
    <s v="Ghitorni"/>
    <s v="Manesar"/>
    <n v="7.8"/>
    <n v="32.6"/>
    <s v="null"/>
    <s v="null"/>
    <s v="null"/>
    <s v="null"/>
    <s v="null"/>
    <s v="null"/>
    <n v="1240"/>
    <n v="47.01"/>
    <n v="4.4000000000000004"/>
    <n v="4.4000000000000004"/>
    <s v="UPI"/>
  </r>
  <r>
    <d v="2024-12-22T00:00:00"/>
    <s v="December"/>
    <d v="1899-12-30T06:52:49"/>
    <s v="&quot;CNR5038976&quot;"/>
    <s v="Cancelled by Driver"/>
    <s v="&quot;CID8313729&quot;"/>
    <x v="5"/>
    <s v="Jama Masjid"/>
    <s v="Saket A Block"/>
    <n v="5.0999999999999996"/>
    <s v="null"/>
    <s v="null"/>
    <s v="null"/>
    <n v="1"/>
    <s v="Customer related issue"/>
    <s v="null"/>
    <s v="null"/>
    <s v="null"/>
    <s v="null"/>
    <s v="null"/>
    <s v="null"/>
    <s v="null"/>
  </r>
  <r>
    <d v="2024-10-16T00:00:00"/>
    <s v="October"/>
    <d v="1899-12-30T15:34:07"/>
    <s v="&quot;CNR9755184&quot;"/>
    <s v="Cancelled by Customer"/>
    <s v="&quot;CID3811968&quot;"/>
    <x v="1"/>
    <s v="India Gate"/>
    <s v="Gwal Pahari"/>
    <n v="5.0999999999999996"/>
    <s v="null"/>
    <n v="1"/>
    <s v="Wrong Address"/>
    <s v="null"/>
    <s v="null"/>
    <s v="null"/>
    <s v="null"/>
    <s v="null"/>
    <s v="null"/>
    <s v="null"/>
    <s v="null"/>
    <s v="null"/>
  </r>
  <r>
    <d v="2024-08-23T00:00:00"/>
    <s v="August"/>
    <d v="1899-12-30T10:19:06"/>
    <s v="&quot;CNR1872680&quot;"/>
    <s v="Completed"/>
    <s v="&quot;CID1362913&quot;"/>
    <x v="3"/>
    <s v="Gurgaon Sector 56"/>
    <s v="Indirapuram"/>
    <n v="9.4"/>
    <n v="20.6"/>
    <s v="null"/>
    <s v="null"/>
    <s v="null"/>
    <s v="null"/>
    <s v="null"/>
    <s v="null"/>
    <n v="777"/>
    <n v="15.11"/>
    <n v="4.0999999999999996"/>
    <n v="4.4000000000000004"/>
    <s v="Debit Card"/>
  </r>
  <r>
    <d v="2024-05-29T00:00:00"/>
    <s v="May"/>
    <d v="1899-12-30T19:30:57"/>
    <s v="&quot;CNR1349127&quot;"/>
    <s v="Completed"/>
    <s v="&quot;CID3169109&quot;"/>
    <x v="2"/>
    <s v="Jhilmil"/>
    <s v="Kirti Nagar"/>
    <n v="11"/>
    <n v="31.1"/>
    <s v="null"/>
    <s v="null"/>
    <s v="null"/>
    <s v="null"/>
    <s v="null"/>
    <s v="null"/>
    <n v="95"/>
    <n v="38.26"/>
    <n v="4.2"/>
    <n v="4.7"/>
    <s v="Cash"/>
  </r>
  <r>
    <d v="2024-10-08T00:00:00"/>
    <s v="October"/>
    <d v="1899-12-30T07:40:03"/>
    <s v="&quot;CNR2230959&quot;"/>
    <s v="Completed"/>
    <s v="&quot;CID8978567&quot;"/>
    <x v="2"/>
    <s v="Shivaji Park"/>
    <s v="Meerut"/>
    <n v="11.6"/>
    <n v="39.9"/>
    <s v="null"/>
    <s v="null"/>
    <s v="null"/>
    <s v="null"/>
    <s v="null"/>
    <s v="null"/>
    <n v="484"/>
    <n v="47.12"/>
    <n v="4.3"/>
    <n v="4.9000000000000004"/>
    <s v="Uber Wallet"/>
  </r>
  <r>
    <d v="2024-02-26T00:00:00"/>
    <s v="February"/>
    <d v="1899-12-30T08:18:20"/>
    <s v="&quot;CNR9380391&quot;"/>
    <s v="Incomplete"/>
    <s v="&quot;CID2765374&quot;"/>
    <x v="1"/>
    <s v="DLF Phase 3"/>
    <s v="Janakpuri"/>
    <n v="8"/>
    <n v="11"/>
    <s v="null"/>
    <s v="null"/>
    <s v="null"/>
    <s v="null"/>
    <n v="1"/>
    <s v="Other Issue"/>
    <n v="301"/>
    <n v="9.59"/>
    <s v="null"/>
    <s v="null"/>
    <s v="Cash"/>
  </r>
  <r>
    <d v="2024-01-21T00:00:00"/>
    <s v="January"/>
    <d v="1899-12-30T18:10:37"/>
    <s v="&quot;CNR9895668&quot;"/>
    <s v="Completed"/>
    <s v="&quot;CID2656518&quot;"/>
    <x v="1"/>
    <s v="Yamuna Bank"/>
    <s v="Jahangirpuri"/>
    <n v="2.1"/>
    <n v="21.2"/>
    <s v="null"/>
    <s v="null"/>
    <s v="null"/>
    <s v="null"/>
    <s v="null"/>
    <s v="null"/>
    <n v="485"/>
    <n v="2.17"/>
    <n v="3.2"/>
    <n v="4.0999999999999996"/>
    <s v="UPI"/>
  </r>
  <r>
    <d v="2024-03-20T00:00:00"/>
    <s v="March"/>
    <d v="1899-12-30T11:52:33"/>
    <s v="&quot;CNR1918302&quot;"/>
    <s v="Completed"/>
    <s v="&quot;CID6415639&quot;"/>
    <x v="1"/>
    <s v="Tis Hazari"/>
    <s v="Chhatarpur"/>
    <n v="2.9"/>
    <n v="19.2"/>
    <s v="null"/>
    <s v="null"/>
    <s v="null"/>
    <s v="null"/>
    <s v="null"/>
    <s v="null"/>
    <n v="76"/>
    <n v="42.9"/>
    <n v="4.7"/>
    <n v="4.5"/>
    <s v="UPI"/>
  </r>
  <r>
    <d v="2024-05-20T00:00:00"/>
    <s v="May"/>
    <d v="1899-12-30T12:53:30"/>
    <s v="&quot;CNR2429657&quot;"/>
    <s v="Completed"/>
    <s v="&quot;CID3288614&quot;"/>
    <x v="2"/>
    <s v="Huda City Centre"/>
    <s v="Sikanderpur"/>
    <n v="8.3000000000000007"/>
    <n v="38.6"/>
    <s v="null"/>
    <s v="null"/>
    <s v="null"/>
    <s v="null"/>
    <s v="null"/>
    <s v="null"/>
    <n v="188"/>
    <n v="35.090000000000003"/>
    <n v="4.5999999999999996"/>
    <n v="4.0999999999999996"/>
    <s v="UPI"/>
  </r>
  <r>
    <d v="2024-09-07T00:00:00"/>
    <s v="September"/>
    <d v="1899-12-30T13:54:20"/>
    <s v="&quot;CNR7937909&quot;"/>
    <s v="Cancelled by Driver"/>
    <s v="&quot;CID3192355&quot;"/>
    <x v="2"/>
    <s v="Ghaziabad"/>
    <s v="IGI Airport"/>
    <n v="5.2"/>
    <s v="null"/>
    <s v="null"/>
    <s v="null"/>
    <n v="1"/>
    <s v="Personal &amp; Car related issues"/>
    <s v="null"/>
    <s v="null"/>
    <s v="null"/>
    <s v="null"/>
    <s v="null"/>
    <s v="null"/>
    <s v="null"/>
  </r>
  <r>
    <d v="2024-09-19T00:00:00"/>
    <s v="September"/>
    <d v="1899-12-30T16:57:48"/>
    <s v="&quot;CNR7044315&quot;"/>
    <s v="Completed"/>
    <s v="&quot;CID2521883&quot;"/>
    <x v="3"/>
    <s v="Nirman Vihar"/>
    <s v="Sushant Lok"/>
    <n v="12"/>
    <n v="38"/>
    <s v="null"/>
    <s v="null"/>
    <s v="null"/>
    <s v="null"/>
    <s v="null"/>
    <s v="null"/>
    <n v="443"/>
    <n v="45.58"/>
    <n v="4.5999999999999996"/>
    <n v="4.5999999999999996"/>
    <s v="Debit Card"/>
  </r>
  <r>
    <d v="2024-05-12T00:00:00"/>
    <s v="May"/>
    <d v="1899-12-30T09:51:14"/>
    <s v="&quot;CNR5517053&quot;"/>
    <s v="Cancelled by Driver"/>
    <s v="&quot;CID8551973&quot;"/>
    <x v="2"/>
    <s v="Govindpuri"/>
    <s v="Saidulajab"/>
    <n v="9.1999999999999993"/>
    <s v="null"/>
    <s v="null"/>
    <s v="null"/>
    <n v="1"/>
    <s v="The customer was coughing/sick"/>
    <s v="null"/>
    <s v="null"/>
    <s v="null"/>
    <s v="null"/>
    <s v="null"/>
    <s v="null"/>
    <s v="null"/>
  </r>
  <r>
    <d v="2024-02-16T00:00:00"/>
    <s v="February"/>
    <d v="1899-12-30T07:46:22"/>
    <s v="&quot;CNR8024437&quot;"/>
    <s v="Cancelled by Driver"/>
    <s v="&quot;CID8921274&quot;"/>
    <x v="3"/>
    <s v="Chhatarpur"/>
    <s v="RK Puram"/>
    <n v="5.6"/>
    <s v="null"/>
    <s v="null"/>
    <s v="null"/>
    <n v="1"/>
    <s v="The customer was coughing/sick"/>
    <s v="null"/>
    <s v="null"/>
    <s v="null"/>
    <s v="null"/>
    <s v="null"/>
    <s v="null"/>
    <s v="null"/>
  </r>
  <r>
    <d v="2024-08-20T00:00:00"/>
    <s v="August"/>
    <d v="1899-12-30T18:30:52"/>
    <s v="&quot;CNR4956091&quot;"/>
    <s v="Completed"/>
    <s v="&quot;CID5068009&quot;"/>
    <x v="2"/>
    <s v="Manesar"/>
    <s v="Rithala"/>
    <n v="5"/>
    <n v="19.2"/>
    <s v="null"/>
    <s v="null"/>
    <s v="null"/>
    <s v="null"/>
    <s v="null"/>
    <s v="null"/>
    <n v="144"/>
    <n v="34.44"/>
    <n v="4.7"/>
    <n v="4.5999999999999996"/>
    <s v="Uber Wallet"/>
  </r>
  <r>
    <d v="2024-05-19T00:00:00"/>
    <s v="May"/>
    <d v="1899-12-30T05:27:39"/>
    <s v="&quot;CNR5377230&quot;"/>
    <s v="Cancelled by Driver"/>
    <s v="&quot;CID7586347&quot;"/>
    <x v="1"/>
    <s v="Udyog Vihar Phase 4"/>
    <s v="Chanakyapuri"/>
    <n v="9.1999999999999993"/>
    <s v="null"/>
    <s v="null"/>
    <s v="null"/>
    <n v="1"/>
    <s v="More than permitted people in there"/>
    <s v="null"/>
    <s v="null"/>
    <s v="null"/>
    <s v="null"/>
    <s v="null"/>
    <s v="null"/>
    <s v="null"/>
  </r>
  <r>
    <d v="2024-12-18T00:00:00"/>
    <s v="December"/>
    <d v="1899-12-30T18:08:25"/>
    <s v="&quot;CNR3120739&quot;"/>
    <s v="No Driver Found"/>
    <s v="&quot;CID5285181&quot;"/>
    <x v="4"/>
    <s v="Sushant Lok"/>
    <s v="Nirman Vihar"/>
    <s v="null"/>
    <s v="null"/>
    <s v="null"/>
    <s v="null"/>
    <s v="null"/>
    <s v="null"/>
    <s v="null"/>
    <s v="null"/>
    <s v="null"/>
    <s v="null"/>
    <s v="null"/>
    <s v="null"/>
    <s v="null"/>
  </r>
  <r>
    <d v="2024-12-27T00:00:00"/>
    <s v="December"/>
    <d v="1899-12-30T18:08:03"/>
    <s v="&quot;CNR4763532&quot;"/>
    <s v="Incomplete"/>
    <s v="&quot;CID3554977&quot;"/>
    <x v="4"/>
    <s v="Green Park"/>
    <s v="Okhla"/>
    <n v="3.5"/>
    <n v="14.8"/>
    <s v="null"/>
    <s v="null"/>
    <s v="null"/>
    <s v="null"/>
    <n v="1"/>
    <s v="Vehicle Breakdown"/>
    <n v="268"/>
    <n v="7.21"/>
    <s v="null"/>
    <s v="null"/>
    <s v="UPI"/>
  </r>
  <r>
    <d v="2024-03-05T00:00:00"/>
    <s v="March"/>
    <d v="1899-12-30T19:33:38"/>
    <s v="&quot;CNR5897670&quot;"/>
    <s v="Completed"/>
    <s v="&quot;CID3538617&quot;"/>
    <x v="2"/>
    <s v="Satguru Ram Singh Marg"/>
    <s v="Bhiwadi"/>
    <n v="5.2"/>
    <n v="32.1"/>
    <s v="null"/>
    <s v="null"/>
    <s v="null"/>
    <s v="null"/>
    <s v="null"/>
    <s v="null"/>
    <n v="118"/>
    <n v="14.3"/>
    <n v="4.2"/>
    <n v="3"/>
    <s v="Uber Wallet"/>
  </r>
  <r>
    <d v="2024-06-27T00:00:00"/>
    <s v="June"/>
    <d v="1899-12-30T16:58:32"/>
    <s v="&quot;CNR7975978&quot;"/>
    <s v="Completed"/>
    <s v="&quot;CID6240053&quot;"/>
    <x v="4"/>
    <s v="Keshav Puram"/>
    <s v="Noida Film City"/>
    <n v="9.9"/>
    <n v="17.600000000000001"/>
    <s v="null"/>
    <s v="null"/>
    <s v="null"/>
    <s v="null"/>
    <s v="null"/>
    <s v="null"/>
    <n v="516"/>
    <n v="13.3"/>
    <n v="4.0999999999999996"/>
    <n v="4.7"/>
    <s v="Cash"/>
  </r>
  <r>
    <d v="2024-01-18T00:00:00"/>
    <s v="January"/>
    <d v="1899-12-30T17:50:42"/>
    <s v="&quot;CNR8129409&quot;"/>
    <s v="Cancelled by Driver"/>
    <s v="&quot;CID3329487&quot;"/>
    <x v="1"/>
    <s v="Anand Vihar"/>
    <s v="Moti Nagar"/>
    <n v="3.7"/>
    <s v="null"/>
    <s v="null"/>
    <s v="null"/>
    <n v="1"/>
    <s v="Personal &amp; Car related issues"/>
    <s v="null"/>
    <s v="null"/>
    <s v="null"/>
    <s v="null"/>
    <s v="null"/>
    <s v="null"/>
    <s v="null"/>
  </r>
  <r>
    <d v="2024-07-05T00:00:00"/>
    <s v="July"/>
    <d v="1899-12-30T18:51:57"/>
    <s v="&quot;CNR2244899&quot;"/>
    <s v="Cancelled by Driver"/>
    <s v="&quot;CID7332345&quot;"/>
    <x v="2"/>
    <s v="Sushant Lok"/>
    <s v="MG Road"/>
    <n v="7.3"/>
    <s v="null"/>
    <s v="null"/>
    <s v="null"/>
    <n v="1"/>
    <s v="Personal &amp; Car related issues"/>
    <s v="null"/>
    <s v="null"/>
    <s v="null"/>
    <s v="null"/>
    <s v="null"/>
    <s v="null"/>
    <s v="null"/>
  </r>
  <r>
    <d v="2024-05-28T00:00:00"/>
    <s v="May"/>
    <d v="1899-12-30T05:56:09"/>
    <s v="&quot;CNR3178616&quot;"/>
    <s v="Completed"/>
    <s v="&quot;CID6827919&quot;"/>
    <x v="2"/>
    <s v="Arjangarh"/>
    <s v="Punjabi Bagh"/>
    <n v="5.3"/>
    <n v="36.700000000000003"/>
    <s v="null"/>
    <s v="null"/>
    <s v="null"/>
    <s v="null"/>
    <s v="null"/>
    <s v="null"/>
    <n v="600"/>
    <n v="22.68"/>
    <n v="4"/>
    <n v="4.3"/>
    <s v="UPI"/>
  </r>
  <r>
    <d v="2024-12-12T00:00:00"/>
    <s v="December"/>
    <d v="1899-12-30T20:32:17"/>
    <s v="&quot;CNR9398491&quot;"/>
    <s v="No Driver Found"/>
    <s v="&quot;CID4442768&quot;"/>
    <x v="2"/>
    <s v="Nawada"/>
    <s v="Ghitorni"/>
    <s v="null"/>
    <s v="null"/>
    <s v="null"/>
    <s v="null"/>
    <s v="null"/>
    <s v="null"/>
    <s v="null"/>
    <s v="null"/>
    <s v="null"/>
    <s v="null"/>
    <s v="null"/>
    <s v="null"/>
    <s v="null"/>
  </r>
  <r>
    <d v="2024-01-04T00:00:00"/>
    <s v="January"/>
    <d v="1899-12-30T22:58:02"/>
    <s v="&quot;CNR1365010&quot;"/>
    <s v="Cancelled by Driver"/>
    <s v="&quot;CID6704179&quot;"/>
    <x v="5"/>
    <s v="Aya Nagar"/>
    <s v="IGI Airport"/>
    <n v="7.6"/>
    <s v="null"/>
    <s v="null"/>
    <s v="null"/>
    <n v="1"/>
    <s v="More than permitted people in there"/>
    <s v="null"/>
    <s v="null"/>
    <s v="null"/>
    <s v="null"/>
    <s v="null"/>
    <s v="null"/>
    <s v="null"/>
  </r>
  <r>
    <d v="2024-01-15T00:00:00"/>
    <s v="January"/>
    <d v="1899-12-30T09:20:39"/>
    <s v="&quot;CNR7934360&quot;"/>
    <s v="Cancelled by Customer"/>
    <s v="&quot;CID7563867&quot;"/>
    <x v="4"/>
    <s v="Malviya Nagar"/>
    <s v="Dwarka Mor"/>
    <n v="19.2"/>
    <s v="null"/>
    <n v="1"/>
    <s v="Driver asked to cancel"/>
    <s v="null"/>
    <s v="null"/>
    <s v="null"/>
    <s v="null"/>
    <s v="null"/>
    <s v="null"/>
    <s v="null"/>
    <s v="null"/>
    <s v="null"/>
  </r>
  <r>
    <d v="2024-02-11T00:00:00"/>
    <s v="February"/>
    <d v="1899-12-30T17:05:28"/>
    <s v="&quot;CNR3466923&quot;"/>
    <s v="Completed"/>
    <s v="&quot;CID6417399&quot;"/>
    <x v="1"/>
    <s v="Kashmere Gate"/>
    <s v="Jama Masjid"/>
    <n v="8.1"/>
    <n v="24.1"/>
    <s v="null"/>
    <s v="null"/>
    <s v="null"/>
    <s v="null"/>
    <s v="null"/>
    <s v="null"/>
    <n v="339"/>
    <n v="20.88"/>
    <n v="4.7"/>
    <n v="3"/>
    <s v="Cash"/>
  </r>
  <r>
    <d v="2024-02-05T00:00:00"/>
    <s v="February"/>
    <d v="1899-12-30T18:27:13"/>
    <s v="&quot;CNR1772188&quot;"/>
    <s v="Cancelled by Driver"/>
    <s v="&quot;CID9995196&quot;"/>
    <x v="2"/>
    <s v="Tilak Nagar"/>
    <s v="Hero Honda Chowk"/>
    <n v="5.3"/>
    <s v="null"/>
    <s v="null"/>
    <s v="null"/>
    <n v="1"/>
    <s v="Customer related issue"/>
    <s v="null"/>
    <s v="null"/>
    <s v="null"/>
    <s v="null"/>
    <s v="null"/>
    <s v="null"/>
    <s v="null"/>
  </r>
  <r>
    <d v="2024-02-03T00:00:00"/>
    <s v="February"/>
    <d v="1899-12-30T23:43:15"/>
    <s v="&quot;CNR6221378&quot;"/>
    <s v="Completed"/>
    <s v="&quot;CID4952284&quot;"/>
    <x v="6"/>
    <s v="India Gate"/>
    <s v="IGI Airport"/>
    <n v="14.9"/>
    <n v="15"/>
    <s v="null"/>
    <s v="null"/>
    <s v="null"/>
    <s v="null"/>
    <s v="null"/>
    <s v="null"/>
    <n v="533"/>
    <n v="28.23"/>
    <n v="3.4"/>
    <n v="4.5999999999999996"/>
    <s v="Cash"/>
  </r>
  <r>
    <d v="2024-02-26T00:00:00"/>
    <s v="February"/>
    <d v="1899-12-30T09:03:49"/>
    <s v="&quot;CNR9154449&quot;"/>
    <s v="Completed"/>
    <s v="&quot;CID1077586&quot;"/>
    <x v="3"/>
    <s v="Tilak Nagar"/>
    <s v="Qutub Minar"/>
    <n v="13.3"/>
    <n v="30.8"/>
    <s v="null"/>
    <s v="null"/>
    <s v="null"/>
    <s v="null"/>
    <s v="null"/>
    <s v="null"/>
    <n v="884"/>
    <n v="14.57"/>
    <n v="4.3"/>
    <n v="4.7"/>
    <s v="UPI"/>
  </r>
  <r>
    <d v="2024-08-05T00:00:00"/>
    <s v="August"/>
    <d v="1899-12-30T03:06:06"/>
    <s v="&quot;CNR2310347&quot;"/>
    <s v="Completed"/>
    <s v="&quot;CID1012548&quot;"/>
    <x v="5"/>
    <s v="IFFCO Chowk"/>
    <s v="Chirag Delhi"/>
    <n v="8.8000000000000007"/>
    <n v="15.6"/>
    <s v="null"/>
    <s v="null"/>
    <s v="null"/>
    <s v="null"/>
    <s v="null"/>
    <s v="null"/>
    <n v="446"/>
    <n v="6.69"/>
    <n v="4.4000000000000004"/>
    <n v="4.3"/>
    <s v="Cash"/>
  </r>
  <r>
    <d v="2024-09-24T00:00:00"/>
    <s v="September"/>
    <d v="1899-12-30T20:53:11"/>
    <s v="&quot;CNR5161112&quot;"/>
    <s v="Completed"/>
    <s v="&quot;CID1845980&quot;"/>
    <x v="3"/>
    <s v="Chhatarpur"/>
    <s v="Paharganj"/>
    <n v="11.7"/>
    <n v="30.7"/>
    <s v="null"/>
    <s v="null"/>
    <s v="null"/>
    <s v="null"/>
    <s v="null"/>
    <s v="null"/>
    <n v="675"/>
    <n v="10.62"/>
    <n v="4.2"/>
    <n v="4.0999999999999996"/>
    <s v="Credit Card"/>
  </r>
  <r>
    <d v="2024-07-02T00:00:00"/>
    <s v="July"/>
    <d v="1899-12-30T13:28:31"/>
    <s v="&quot;CNR4746570&quot;"/>
    <s v="No Driver Found"/>
    <s v="&quot;CID4041893&quot;"/>
    <x v="5"/>
    <s v="Lajpat Nagar"/>
    <s v="Patel Chowk"/>
    <s v="null"/>
    <s v="null"/>
    <s v="null"/>
    <s v="null"/>
    <s v="null"/>
    <s v="null"/>
    <s v="null"/>
    <s v="null"/>
    <s v="null"/>
    <s v="null"/>
    <s v="null"/>
    <s v="null"/>
    <s v="null"/>
  </r>
  <r>
    <d v="2024-11-02T00:00:00"/>
    <s v="November"/>
    <d v="1899-12-30T12:14:07"/>
    <s v="&quot;CNR5206507&quot;"/>
    <s v="Completed"/>
    <s v="&quot;CID9160368&quot;"/>
    <x v="6"/>
    <s v="Ghaziabad"/>
    <s v="Mandi House"/>
    <n v="3.9"/>
    <n v="25.2"/>
    <s v="null"/>
    <s v="null"/>
    <s v="null"/>
    <s v="null"/>
    <s v="null"/>
    <s v="null"/>
    <n v="407"/>
    <n v="19.989999999999998"/>
    <n v="3.7"/>
    <n v="4.9000000000000004"/>
    <s v="UPI"/>
  </r>
  <r>
    <d v="2024-07-31T00:00:00"/>
    <s v="July"/>
    <d v="1899-12-30T20:46:08"/>
    <s v="&quot;CNR1105649&quot;"/>
    <s v="Cancelled by Customer"/>
    <s v="&quot;CID2416362&quot;"/>
    <x v="1"/>
    <s v="Mundka"/>
    <s v="Maidan Garhi"/>
    <n v="18"/>
    <s v="null"/>
    <n v="1"/>
    <s v="Change of plans"/>
    <s v="null"/>
    <s v="null"/>
    <s v="null"/>
    <s v="null"/>
    <s v="null"/>
    <s v="null"/>
    <s v="null"/>
    <s v="null"/>
    <s v="null"/>
  </r>
  <r>
    <d v="2024-08-19T00:00:00"/>
    <s v="August"/>
    <d v="1899-12-30T14:52:54"/>
    <s v="&quot;CNR6561675&quot;"/>
    <s v="Completed"/>
    <s v="&quot;CID4709340&quot;"/>
    <x v="3"/>
    <s v="Badarpur"/>
    <s v="Qutub Minar"/>
    <n v="14.9"/>
    <n v="25.8"/>
    <s v="null"/>
    <s v="null"/>
    <s v="null"/>
    <s v="null"/>
    <s v="null"/>
    <s v="null"/>
    <n v="219"/>
    <n v="12.04"/>
    <n v="3.7"/>
    <n v="4.3"/>
    <s v="Cash"/>
  </r>
  <r>
    <d v="2024-02-12T00:00:00"/>
    <s v="February"/>
    <d v="1899-12-30T20:17:26"/>
    <s v="&quot;CNR6735246&quot;"/>
    <s v="Completed"/>
    <s v="&quot;CID4830877&quot;"/>
    <x v="0"/>
    <s v="Moolchand"/>
    <s v="Saket A Block"/>
    <n v="3.8"/>
    <n v="15.5"/>
    <s v="null"/>
    <s v="null"/>
    <s v="null"/>
    <s v="null"/>
    <s v="null"/>
    <s v="null"/>
    <n v="811"/>
    <n v="43.29"/>
    <n v="4.2"/>
    <n v="5"/>
    <s v="UPI"/>
  </r>
  <r>
    <d v="2024-05-17T00:00:00"/>
    <s v="May"/>
    <d v="1899-12-30T10:02:17"/>
    <s v="&quot;CNR9393355&quot;"/>
    <s v="Completed"/>
    <s v="&quot;CID2207388&quot;"/>
    <x v="1"/>
    <s v="Gurgaon Railway Station"/>
    <s v="Paschim Vihar"/>
    <n v="13.3"/>
    <n v="43"/>
    <s v="null"/>
    <s v="null"/>
    <s v="null"/>
    <s v="null"/>
    <s v="null"/>
    <s v="null"/>
    <n v="169"/>
    <n v="3"/>
    <n v="3.9"/>
    <n v="4.9000000000000004"/>
    <s v="Uber Wallet"/>
  </r>
  <r>
    <d v="2024-07-07T00:00:00"/>
    <s v="July"/>
    <d v="1899-12-30T09:37:31"/>
    <s v="&quot;CNR7041170&quot;"/>
    <s v="Completed"/>
    <s v="&quot;CID3351210&quot;"/>
    <x v="1"/>
    <s v="Ashok Park Main"/>
    <s v="Uttam Nagar"/>
    <n v="4.9000000000000004"/>
    <n v="41.4"/>
    <s v="null"/>
    <s v="null"/>
    <s v="null"/>
    <s v="null"/>
    <s v="null"/>
    <s v="null"/>
    <n v="379"/>
    <n v="28.36"/>
    <n v="3.5"/>
    <n v="4.2"/>
    <s v="Cash"/>
  </r>
  <r>
    <d v="2024-05-26T00:00:00"/>
    <s v="May"/>
    <d v="1899-12-30T18:19:30"/>
    <s v="&quot;CNR7015962&quot;"/>
    <s v="Incomplete"/>
    <s v="&quot;CID3453799&quot;"/>
    <x v="2"/>
    <s v="Anand Vihar ISBT"/>
    <s v="Huda City Centre"/>
    <n v="7.3"/>
    <n v="29.7"/>
    <s v="null"/>
    <s v="null"/>
    <s v="null"/>
    <s v="null"/>
    <n v="1"/>
    <s v="Customer Demand"/>
    <n v="465"/>
    <n v="13.04"/>
    <s v="null"/>
    <s v="null"/>
    <s v="Credit Card"/>
  </r>
  <r>
    <d v="2024-06-03T00:00:00"/>
    <s v="June"/>
    <d v="1899-12-30T21:14:38"/>
    <s v="&quot;CNR2820483&quot;"/>
    <s v="Cancelled by Driver"/>
    <s v="&quot;CID2955701&quot;"/>
    <x v="2"/>
    <s v="Vishwavidyalaya"/>
    <s v="Vinobapuri"/>
    <n v="7.9"/>
    <s v="null"/>
    <s v="null"/>
    <s v="null"/>
    <n v="1"/>
    <s v="Personal &amp; Car related issues"/>
    <s v="null"/>
    <s v="null"/>
    <s v="null"/>
    <s v="null"/>
    <s v="null"/>
    <s v="null"/>
    <s v="null"/>
  </r>
  <r>
    <d v="2024-05-30T00:00:00"/>
    <s v="May"/>
    <d v="1899-12-30T10:07:04"/>
    <s v="&quot;CNR8192504&quot;"/>
    <s v="Completed"/>
    <s v="&quot;CID2186576&quot;"/>
    <x v="6"/>
    <s v="Subhash Chowk"/>
    <s v="Noida Extension"/>
    <n v="5.9"/>
    <n v="26.5"/>
    <s v="null"/>
    <s v="null"/>
    <s v="null"/>
    <s v="null"/>
    <s v="null"/>
    <s v="null"/>
    <n v="160"/>
    <n v="5.52"/>
    <n v="4.4000000000000004"/>
    <n v="4.0999999999999996"/>
    <s v="UPI"/>
  </r>
  <r>
    <d v="2024-04-01T00:00:00"/>
    <s v="April"/>
    <d v="1899-12-30T20:06:11"/>
    <s v="&quot;CNR5614673&quot;"/>
    <s v="Completed"/>
    <s v="&quot;CID1336911&quot;"/>
    <x v="1"/>
    <s v="Azadpur"/>
    <s v="Moti Nagar"/>
    <n v="5.9"/>
    <n v="27.9"/>
    <s v="null"/>
    <s v="null"/>
    <s v="null"/>
    <s v="null"/>
    <s v="null"/>
    <s v="null"/>
    <n v="153"/>
    <n v="11.93"/>
    <n v="4.4000000000000004"/>
    <n v="4.9000000000000004"/>
    <s v="UPI"/>
  </r>
  <r>
    <d v="2024-12-05T00:00:00"/>
    <s v="December"/>
    <d v="1899-12-30T20:21:12"/>
    <s v="&quot;CNR8765520&quot;"/>
    <s v="Cancelled by Driver"/>
    <s v="&quot;CID9963800&quot;"/>
    <x v="5"/>
    <s v="Greater Noida"/>
    <s v="Sohna Road"/>
    <n v="9.6"/>
    <s v="null"/>
    <s v="null"/>
    <s v="null"/>
    <n v="1"/>
    <s v="Personal &amp; Car related issues"/>
    <s v="null"/>
    <s v="null"/>
    <s v="null"/>
    <s v="null"/>
    <s v="null"/>
    <s v="null"/>
    <s v="null"/>
  </r>
  <r>
    <d v="2024-11-28T00:00:00"/>
    <s v="November"/>
    <d v="1899-12-30T15:08:47"/>
    <s v="&quot;CNR2066424&quot;"/>
    <s v="Cancelled by Driver"/>
    <s v="&quot;CID6053450&quot;"/>
    <x v="5"/>
    <s v="Rajiv Nagar"/>
    <s v="Jahangirpuri"/>
    <n v="9.6999999999999993"/>
    <s v="null"/>
    <s v="null"/>
    <s v="null"/>
    <n v="1"/>
    <s v="Personal &amp; Car related issues"/>
    <s v="null"/>
    <s v="null"/>
    <s v="null"/>
    <s v="null"/>
    <s v="null"/>
    <s v="null"/>
    <s v="null"/>
  </r>
  <r>
    <d v="2024-07-16T00:00:00"/>
    <s v="July"/>
    <d v="1899-12-30T16:23:25"/>
    <s v="&quot;CNR4566796&quot;"/>
    <s v="Cancelled by Driver"/>
    <s v="&quot;CID7109338&quot;"/>
    <x v="2"/>
    <s v="Chanakyapuri"/>
    <s v="Ghaziabad"/>
    <n v="9.1"/>
    <s v="null"/>
    <s v="null"/>
    <s v="null"/>
    <n v="1"/>
    <s v="The customer was coughing/sick"/>
    <s v="null"/>
    <s v="null"/>
    <s v="null"/>
    <s v="null"/>
    <s v="null"/>
    <s v="null"/>
    <s v="null"/>
  </r>
  <r>
    <d v="2024-08-02T00:00:00"/>
    <s v="August"/>
    <d v="1899-12-30T12:48:08"/>
    <s v="&quot;CNR4733031&quot;"/>
    <s v="Cancelled by Driver"/>
    <s v="&quot;CID4204069&quot;"/>
    <x v="0"/>
    <s v="Greater Kailash"/>
    <s v="Shivaji Park"/>
    <n v="10"/>
    <s v="null"/>
    <s v="null"/>
    <s v="null"/>
    <n v="1"/>
    <s v="The customer was coughing/sick"/>
    <s v="null"/>
    <s v="null"/>
    <s v="null"/>
    <s v="null"/>
    <s v="null"/>
    <s v="null"/>
    <s v="null"/>
  </r>
  <r>
    <d v="2024-03-13T00:00:00"/>
    <s v="March"/>
    <d v="1899-12-30T10:00:31"/>
    <s v="&quot;CNR7239129&quot;"/>
    <s v="Completed"/>
    <s v="&quot;CID6041120&quot;"/>
    <x v="3"/>
    <s v="Nirman Vihar"/>
    <s v="Patel Chowk"/>
    <n v="4.5999999999999996"/>
    <n v="24.7"/>
    <s v="null"/>
    <s v="null"/>
    <s v="null"/>
    <s v="null"/>
    <s v="null"/>
    <s v="null"/>
    <n v="369"/>
    <n v="8.8000000000000007"/>
    <n v="4.3"/>
    <n v="3.7"/>
    <s v="UPI"/>
  </r>
  <r>
    <d v="2024-06-18T00:00:00"/>
    <s v="June"/>
    <d v="1899-12-30T19:49:46"/>
    <s v="&quot;CNR7089866&quot;"/>
    <s v="Completed"/>
    <s v="&quot;CID8788583&quot;"/>
    <x v="2"/>
    <s v="Rohini East"/>
    <s v="Basai Dhankot"/>
    <n v="14"/>
    <n v="17.899999999999999"/>
    <s v="null"/>
    <s v="null"/>
    <s v="null"/>
    <s v="null"/>
    <s v="null"/>
    <s v="null"/>
    <n v="360"/>
    <n v="19.2"/>
    <n v="4.4000000000000004"/>
    <n v="3.8"/>
    <s v="Uber Wallet"/>
  </r>
  <r>
    <d v="2024-12-28T00:00:00"/>
    <s v="December"/>
    <d v="1899-12-30T14:02:01"/>
    <s v="&quot;CNR8341687&quot;"/>
    <s v="Completed"/>
    <s v="&quot;CID8711272&quot;"/>
    <x v="2"/>
    <s v="Jor Bagh"/>
    <s v="Nirman Vihar"/>
    <n v="2.1"/>
    <n v="31.7"/>
    <s v="null"/>
    <s v="null"/>
    <s v="null"/>
    <s v="null"/>
    <s v="null"/>
    <s v="null"/>
    <n v="828"/>
    <n v="28.84"/>
    <n v="5"/>
    <n v="4.0999999999999996"/>
    <s v="UPI"/>
  </r>
  <r>
    <d v="2024-04-14T00:00:00"/>
    <s v="April"/>
    <d v="1899-12-30T08:09:09"/>
    <s v="&quot;CNR9138999&quot;"/>
    <s v="Completed"/>
    <s v="&quot;CID6864518&quot;"/>
    <x v="1"/>
    <s v="Khan Market"/>
    <s v="Bhiwadi"/>
    <n v="12.1"/>
    <n v="19.7"/>
    <s v="null"/>
    <s v="null"/>
    <s v="null"/>
    <s v="null"/>
    <s v="null"/>
    <s v="null"/>
    <n v="791"/>
    <n v="33.08"/>
    <n v="4.9000000000000004"/>
    <n v="4.9000000000000004"/>
    <s v="UPI"/>
  </r>
  <r>
    <d v="2024-06-10T00:00:00"/>
    <s v="June"/>
    <d v="1899-12-30T20:19:58"/>
    <s v="&quot;CNR4704280&quot;"/>
    <s v="Completed"/>
    <s v="&quot;CID7724201&quot;"/>
    <x v="5"/>
    <s v="Karkarduma"/>
    <s v="Ambience Mall"/>
    <n v="10.5"/>
    <n v="18"/>
    <s v="null"/>
    <s v="null"/>
    <s v="null"/>
    <s v="null"/>
    <s v="null"/>
    <s v="null"/>
    <n v="529"/>
    <n v="10.88"/>
    <n v="5"/>
    <n v="4.9000000000000004"/>
    <s v="UPI"/>
  </r>
  <r>
    <d v="2024-11-08T00:00:00"/>
    <s v="November"/>
    <d v="1899-12-30T17:00:33"/>
    <s v="&quot;CNR9540934&quot;"/>
    <s v="Completed"/>
    <s v="&quot;CID8987509&quot;"/>
    <x v="3"/>
    <s v="Lok Kalyan Marg"/>
    <s v="Preet Vihar"/>
    <n v="9.6999999999999993"/>
    <n v="36.4"/>
    <s v="null"/>
    <s v="null"/>
    <s v="null"/>
    <s v="null"/>
    <s v="null"/>
    <s v="null"/>
    <n v="306"/>
    <n v="43.4"/>
    <n v="4.4000000000000004"/>
    <n v="4.9000000000000004"/>
    <s v="UPI"/>
  </r>
  <r>
    <d v="2024-02-10T00:00:00"/>
    <s v="February"/>
    <d v="1899-12-30T08:25:19"/>
    <s v="&quot;CNR9190112&quot;"/>
    <s v="Completed"/>
    <s v="&quot;CID2588384&quot;"/>
    <x v="2"/>
    <s v="Ghaziabad"/>
    <s v="Moti Nagar"/>
    <n v="3.3"/>
    <n v="25.8"/>
    <s v="null"/>
    <s v="null"/>
    <s v="null"/>
    <s v="null"/>
    <s v="null"/>
    <s v="null"/>
    <n v="131"/>
    <n v="15.83"/>
    <n v="3.1"/>
    <n v="4.3"/>
    <s v="Credit Card"/>
  </r>
  <r>
    <d v="2024-05-13T00:00:00"/>
    <s v="May"/>
    <d v="1899-12-30T17:58:11"/>
    <s v="&quot;CNR3039145&quot;"/>
    <s v="Completed"/>
    <s v="&quot;CID8157003&quot;"/>
    <x v="1"/>
    <s v="Shastri Park"/>
    <s v="Narsinghpur"/>
    <n v="5.0999999999999996"/>
    <n v="23.2"/>
    <s v="null"/>
    <s v="null"/>
    <s v="null"/>
    <s v="null"/>
    <s v="null"/>
    <s v="null"/>
    <n v="651"/>
    <n v="9.61"/>
    <n v="4.7"/>
    <n v="4.5999999999999996"/>
    <s v="Debit Card"/>
  </r>
  <r>
    <d v="2024-07-27T00:00:00"/>
    <s v="July"/>
    <d v="1899-12-30T19:05:27"/>
    <s v="&quot;CNR1456049&quot;"/>
    <s v="Completed"/>
    <s v="&quot;CID5722305&quot;"/>
    <x v="1"/>
    <s v="Peeragarhi"/>
    <s v="Pulbangash"/>
    <n v="2.9"/>
    <n v="30.1"/>
    <s v="null"/>
    <s v="null"/>
    <s v="null"/>
    <s v="null"/>
    <s v="null"/>
    <s v="null"/>
    <n v="412"/>
    <n v="2.69"/>
    <n v="4.8"/>
    <n v="3.7"/>
    <s v="Debit Card"/>
  </r>
  <r>
    <d v="2024-01-31T00:00:00"/>
    <s v="January"/>
    <d v="1899-12-30T09:57:25"/>
    <s v="&quot;CNR9910547&quot;"/>
    <s v="Cancelled by Driver"/>
    <s v="&quot;CID7267162&quot;"/>
    <x v="2"/>
    <s v="Botanical Garden"/>
    <s v="Panipat"/>
    <n v="6.9"/>
    <s v="null"/>
    <s v="null"/>
    <s v="null"/>
    <n v="1"/>
    <s v="The customer was coughing/sick"/>
    <s v="null"/>
    <s v="null"/>
    <s v="null"/>
    <s v="null"/>
    <s v="null"/>
    <s v="null"/>
    <s v="null"/>
  </r>
  <r>
    <d v="2024-05-26T00:00:00"/>
    <s v="May"/>
    <d v="1899-12-30T10:28:54"/>
    <s v="&quot;CNR4505039&quot;"/>
    <s v="Completed"/>
    <s v="&quot;CID8601598&quot;"/>
    <x v="2"/>
    <s v="Vasant Kunj"/>
    <s v="Vatika Chowk"/>
    <n v="6.6"/>
    <n v="33.9"/>
    <s v="null"/>
    <s v="null"/>
    <s v="null"/>
    <s v="null"/>
    <s v="null"/>
    <s v="null"/>
    <n v="984"/>
    <n v="12.52"/>
    <n v="3.9"/>
    <n v="4.5999999999999996"/>
    <s v="Cash"/>
  </r>
  <r>
    <d v="2024-03-31T00:00:00"/>
    <s v="March"/>
    <d v="1899-12-30T21:06:58"/>
    <s v="&quot;CNR2898050&quot;"/>
    <s v="Completed"/>
    <s v="&quot;CID1516570&quot;"/>
    <x v="2"/>
    <s v="DLF Phase 3"/>
    <s v="Okhla"/>
    <n v="12.4"/>
    <n v="31.7"/>
    <s v="null"/>
    <s v="null"/>
    <s v="null"/>
    <s v="null"/>
    <s v="null"/>
    <s v="null"/>
    <n v="375"/>
    <n v="27.76"/>
    <n v="4"/>
    <n v="3.6"/>
    <s v="UPI"/>
  </r>
  <r>
    <d v="2024-09-19T00:00:00"/>
    <s v="September"/>
    <d v="1899-12-30T14:09:02"/>
    <s v="&quot;CNR2066912&quot;"/>
    <s v="Cancelled by Driver"/>
    <s v="&quot;CID7868182&quot;"/>
    <x v="0"/>
    <s v="Saket A Block"/>
    <s v="Sultanpur"/>
    <n v="7"/>
    <s v="null"/>
    <s v="null"/>
    <s v="null"/>
    <n v="1"/>
    <s v="More than permitted people in there"/>
    <s v="null"/>
    <s v="null"/>
    <s v="null"/>
    <s v="null"/>
    <s v="null"/>
    <s v="null"/>
    <s v="null"/>
  </r>
  <r>
    <d v="2024-01-05T00:00:00"/>
    <s v="January"/>
    <d v="1899-12-30T11:10:02"/>
    <s v="&quot;CNR4694217&quot;"/>
    <s v="Cancelled by Driver"/>
    <s v="&quot;CID6623498&quot;"/>
    <x v="1"/>
    <s v="Subhash Chowk"/>
    <s v="Badshahpur"/>
    <n v="5.0999999999999996"/>
    <s v="null"/>
    <s v="null"/>
    <s v="null"/>
    <n v="1"/>
    <s v="More than permitted people in there"/>
    <s v="null"/>
    <s v="null"/>
    <s v="null"/>
    <s v="null"/>
    <s v="null"/>
    <s v="null"/>
    <s v="null"/>
  </r>
  <r>
    <d v="2024-12-22T00:00:00"/>
    <s v="December"/>
    <d v="1899-12-30T04:40:50"/>
    <s v="&quot;CNR9086694&quot;"/>
    <s v="Completed"/>
    <s v="&quot;CID1564650&quot;"/>
    <x v="2"/>
    <s v="Jahangirpuri"/>
    <s v="Rohini"/>
    <n v="9.6999999999999993"/>
    <n v="31.7"/>
    <s v="null"/>
    <s v="null"/>
    <s v="null"/>
    <s v="null"/>
    <s v="null"/>
    <s v="null"/>
    <n v="651"/>
    <n v="7.7"/>
    <n v="4.3"/>
    <n v="3.9"/>
    <s v="Uber Wallet"/>
  </r>
  <r>
    <d v="2024-05-08T00:00:00"/>
    <s v="May"/>
    <d v="1899-12-30T22:58:27"/>
    <s v="&quot;CNR3614133&quot;"/>
    <s v="Completed"/>
    <s v="&quot;CID1919404&quot;"/>
    <x v="2"/>
    <s v="Pulbangash"/>
    <s v="Akshardham"/>
    <n v="8.1999999999999993"/>
    <n v="37.299999999999997"/>
    <s v="null"/>
    <s v="null"/>
    <s v="null"/>
    <s v="null"/>
    <s v="null"/>
    <s v="null"/>
    <n v="415"/>
    <n v="23.21"/>
    <n v="4.5999999999999996"/>
    <n v="4.5999999999999996"/>
    <s v="Uber Wallet"/>
  </r>
  <r>
    <d v="2024-07-15T00:00:00"/>
    <s v="July"/>
    <d v="1899-12-30T17:14:23"/>
    <s v="&quot;CNR5925227&quot;"/>
    <s v="Cancelled by Driver"/>
    <s v="&quot;CID9346641&quot;"/>
    <x v="4"/>
    <s v="Palam Vihar"/>
    <s v="Gwal Pahari"/>
    <n v="8.5"/>
    <s v="null"/>
    <s v="null"/>
    <s v="null"/>
    <n v="1"/>
    <s v="Personal &amp; Car related issues"/>
    <s v="null"/>
    <s v="null"/>
    <s v="null"/>
    <s v="null"/>
    <s v="null"/>
    <s v="null"/>
    <s v="null"/>
  </r>
  <r>
    <d v="2024-04-26T00:00:00"/>
    <s v="April"/>
    <d v="1899-12-30T14:38:13"/>
    <s v="&quot;CNR2270165&quot;"/>
    <s v="Cancelled by Customer"/>
    <s v="&quot;CID1036906&quot;"/>
    <x v="1"/>
    <s v="Greater Kailash"/>
    <s v="Lok Kalyan Marg"/>
    <n v="11.4"/>
    <s v="null"/>
    <n v="1"/>
    <s v="Driver asked to cancel"/>
    <s v="null"/>
    <s v="null"/>
    <s v="null"/>
    <s v="null"/>
    <s v="null"/>
    <s v="null"/>
    <s v="null"/>
    <s v="null"/>
    <s v="null"/>
  </r>
  <r>
    <d v="2024-07-24T00:00:00"/>
    <s v="July"/>
    <d v="1899-12-30T15:21:21"/>
    <s v="&quot;CNR5568712&quot;"/>
    <s v="Cancelled by Driver"/>
    <s v="&quot;CID1277528&quot;"/>
    <x v="3"/>
    <s v="Saket"/>
    <s v="Ashok Vihar"/>
    <n v="7.2"/>
    <s v="null"/>
    <s v="null"/>
    <s v="null"/>
    <n v="1"/>
    <s v="More than permitted people in there"/>
    <s v="null"/>
    <s v="null"/>
    <s v="null"/>
    <s v="null"/>
    <s v="null"/>
    <s v="null"/>
    <s v="null"/>
  </r>
  <r>
    <d v="2024-01-13T00:00:00"/>
    <s v="January"/>
    <d v="1899-12-30T08:04:49"/>
    <s v="&quot;CNR8002088&quot;"/>
    <s v="Cancelled by Driver"/>
    <s v="&quot;CID7591158&quot;"/>
    <x v="2"/>
    <s v="Shastri Nagar"/>
    <s v="Jasola"/>
    <n v="4.7"/>
    <s v="null"/>
    <s v="null"/>
    <s v="null"/>
    <n v="1"/>
    <s v="The customer was coughing/sick"/>
    <s v="null"/>
    <s v="null"/>
    <s v="null"/>
    <s v="null"/>
    <s v="null"/>
    <s v="null"/>
    <s v="null"/>
  </r>
  <r>
    <d v="2024-06-30T00:00:00"/>
    <s v="June"/>
    <d v="1899-12-30T11:27:31"/>
    <s v="&quot;CNR4151102&quot;"/>
    <s v="Completed"/>
    <s v="&quot;CID4892044&quot;"/>
    <x v="3"/>
    <s v="Khandsa"/>
    <s v="Cyber Hub"/>
    <n v="3.4"/>
    <n v="43.3"/>
    <s v="null"/>
    <s v="null"/>
    <s v="null"/>
    <s v="null"/>
    <s v="null"/>
    <s v="null"/>
    <n v="727"/>
    <n v="29.21"/>
    <n v="4.5999999999999996"/>
    <n v="4.7"/>
    <s v="UPI"/>
  </r>
  <r>
    <d v="2024-08-30T00:00:00"/>
    <s v="August"/>
    <d v="1899-12-30T18:43:24"/>
    <s v="&quot;CNR4083167&quot;"/>
    <s v="Cancelled by Driver"/>
    <s v="&quot;CID7168786&quot;"/>
    <x v="0"/>
    <s v="Chanakyapuri"/>
    <s v="DLF City Court"/>
    <n v="3.4"/>
    <s v="null"/>
    <s v="null"/>
    <s v="null"/>
    <n v="1"/>
    <s v="Customer related issue"/>
    <s v="null"/>
    <s v="null"/>
    <s v="null"/>
    <s v="null"/>
    <s v="null"/>
    <s v="null"/>
    <s v="null"/>
  </r>
  <r>
    <d v="2024-02-15T00:00:00"/>
    <s v="February"/>
    <d v="1899-12-30T07:55:35"/>
    <s v="&quot;CNR4899122&quot;"/>
    <s v="Completed"/>
    <s v="&quot;CID7879061&quot;"/>
    <x v="3"/>
    <s v="Manesar"/>
    <s v="Mansarovar Park"/>
    <n v="13.1"/>
    <n v="15.2"/>
    <s v="null"/>
    <s v="null"/>
    <s v="null"/>
    <s v="null"/>
    <s v="null"/>
    <s v="null"/>
    <n v="302"/>
    <n v="30.45"/>
    <n v="4.2"/>
    <n v="4.2"/>
    <s v="UPI"/>
  </r>
  <r>
    <d v="2024-10-20T00:00:00"/>
    <s v="October"/>
    <d v="1899-12-30T20:40:00"/>
    <s v="&quot;CNR3404014&quot;"/>
    <s v="Cancelled by Customer"/>
    <s v="&quot;CID5570791&quot;"/>
    <x v="2"/>
    <s v="Sarai Kale Khan"/>
    <s v="Raj Nagar Extension"/>
    <n v="7.6"/>
    <s v="null"/>
    <n v="1"/>
    <s v="Driver is not moving towards pickup location"/>
    <s v="null"/>
    <s v="null"/>
    <s v="null"/>
    <s v="null"/>
    <s v="null"/>
    <s v="null"/>
    <s v="null"/>
    <s v="null"/>
    <s v="null"/>
  </r>
  <r>
    <d v="2024-04-26T00:00:00"/>
    <s v="April"/>
    <d v="1899-12-30T18:13:20"/>
    <s v="&quot;CNR4980486&quot;"/>
    <s v="Cancelled by Driver"/>
    <s v="&quot;CID7482953&quot;"/>
    <x v="4"/>
    <s v="Moolchand"/>
    <s v="Chanakyapuri"/>
    <n v="8.6999999999999993"/>
    <s v="null"/>
    <s v="null"/>
    <s v="null"/>
    <n v="1"/>
    <s v="The customer was coughing/sick"/>
    <s v="null"/>
    <s v="null"/>
    <s v="null"/>
    <s v="null"/>
    <s v="null"/>
    <s v="null"/>
    <s v="null"/>
  </r>
  <r>
    <d v="2024-05-18T00:00:00"/>
    <s v="May"/>
    <d v="1899-12-30T21:51:46"/>
    <s v="&quot;CNR3125291&quot;"/>
    <s v="Cancelled by Driver"/>
    <s v="&quot;CID5686688&quot;"/>
    <x v="3"/>
    <s v="IMT Manesar"/>
    <s v="Jor Bagh"/>
    <n v="6.3"/>
    <s v="null"/>
    <s v="null"/>
    <s v="null"/>
    <n v="1"/>
    <s v="The customer was coughing/sick"/>
    <s v="null"/>
    <s v="null"/>
    <s v="null"/>
    <s v="null"/>
    <s v="null"/>
    <s v="null"/>
    <s v="null"/>
  </r>
  <r>
    <d v="2024-02-28T00:00:00"/>
    <s v="February"/>
    <d v="1899-12-30T15:11:55"/>
    <s v="&quot;CNR8788210&quot;"/>
    <s v="Cancelled by Customer"/>
    <s v="&quot;CID5582299&quot;"/>
    <x v="1"/>
    <s v="Ashram"/>
    <s v="New Colony"/>
    <n v="6.5"/>
    <s v="null"/>
    <n v="1"/>
    <s v="Change of plans"/>
    <s v="null"/>
    <s v="null"/>
    <s v="null"/>
    <s v="null"/>
    <s v="null"/>
    <s v="null"/>
    <s v="null"/>
    <s v="null"/>
    <s v="null"/>
  </r>
  <r>
    <d v="2024-11-11T00:00:00"/>
    <s v="November"/>
    <d v="1899-12-30T20:06:27"/>
    <s v="&quot;CNR2199295&quot;"/>
    <s v="Completed"/>
    <s v="&quot;CID4892084&quot;"/>
    <x v="1"/>
    <s v="Madipur"/>
    <s v="Tagore Garden"/>
    <n v="5.4"/>
    <n v="16.8"/>
    <s v="null"/>
    <s v="null"/>
    <s v="null"/>
    <s v="null"/>
    <s v="null"/>
    <s v="null"/>
    <n v="392"/>
    <n v="2.09"/>
    <n v="3.4"/>
    <n v="4.9000000000000004"/>
    <s v="UPI"/>
  </r>
  <r>
    <d v="2024-11-19T00:00:00"/>
    <s v="November"/>
    <d v="1899-12-30T21:18:07"/>
    <s v="&quot;CNR5805639&quot;"/>
    <s v="Cancelled by Driver"/>
    <s v="&quot;CID6316344&quot;"/>
    <x v="3"/>
    <s v="Pragati Maidan"/>
    <s v="Chirag Delhi"/>
    <n v="7.9"/>
    <s v="null"/>
    <s v="null"/>
    <s v="null"/>
    <n v="1"/>
    <s v="Personal &amp; Car related issues"/>
    <s v="null"/>
    <s v="null"/>
    <s v="null"/>
    <s v="null"/>
    <s v="null"/>
    <s v="null"/>
    <s v="null"/>
  </r>
  <r>
    <d v="2024-12-23T00:00:00"/>
    <s v="December"/>
    <d v="1899-12-30T18:19:48"/>
    <s v="&quot;CNR8410773&quot;"/>
    <s v="Cancelled by Customer"/>
    <s v="&quot;CID5525050&quot;"/>
    <x v="2"/>
    <s v="Adarsh Nagar"/>
    <s v="Botanical Garden"/>
    <n v="10.9"/>
    <s v="null"/>
    <n v="1"/>
    <s v="Wrong Address"/>
    <s v="null"/>
    <s v="null"/>
    <s v="null"/>
    <s v="null"/>
    <s v="null"/>
    <s v="null"/>
    <s v="null"/>
    <s v="null"/>
    <s v="null"/>
  </r>
  <r>
    <d v="2024-11-09T00:00:00"/>
    <s v="November"/>
    <d v="1899-12-30T17:57:48"/>
    <s v="&quot;CNR5442189&quot;"/>
    <s v="Completed"/>
    <s v="&quot;CID9403434&quot;"/>
    <x v="5"/>
    <s v="Azadpur"/>
    <s v="Karkarduma"/>
    <n v="2.7"/>
    <n v="42.8"/>
    <s v="null"/>
    <s v="null"/>
    <s v="null"/>
    <s v="null"/>
    <s v="null"/>
    <s v="null"/>
    <n v="1052"/>
    <n v="43.22"/>
    <n v="4.8"/>
    <n v="4.8"/>
    <s v="Cash"/>
  </r>
  <r>
    <d v="2024-10-06T00:00:00"/>
    <s v="October"/>
    <d v="1899-12-30T07:17:19"/>
    <s v="&quot;CNR1278315&quot;"/>
    <s v="Cancelled by Driver"/>
    <s v="&quot;CID8911337&quot;"/>
    <x v="3"/>
    <s v="Shastri Nagar"/>
    <s v="Noida Film City"/>
    <n v="11.6"/>
    <s v="null"/>
    <s v="null"/>
    <s v="null"/>
    <n v="1"/>
    <s v="The customer was coughing/sick"/>
    <s v="null"/>
    <s v="null"/>
    <s v="null"/>
    <s v="null"/>
    <s v="null"/>
    <s v="null"/>
    <s v="null"/>
  </r>
  <r>
    <d v="2024-10-18T00:00:00"/>
    <s v="October"/>
    <d v="1899-12-30T23:11:44"/>
    <s v="&quot;CNR7527478&quot;"/>
    <s v="Completed"/>
    <s v="&quot;CID4894520&quot;"/>
    <x v="2"/>
    <s v="Shivaji Park"/>
    <s v="Tagore Garden"/>
    <n v="13.3"/>
    <n v="35.799999999999997"/>
    <s v="null"/>
    <s v="null"/>
    <s v="null"/>
    <s v="null"/>
    <s v="null"/>
    <s v="null"/>
    <n v="921"/>
    <n v="48.69"/>
    <n v="3.8"/>
    <n v="4.5999999999999996"/>
    <s v="Uber Wallet"/>
  </r>
  <r>
    <d v="2024-04-17T00:00:00"/>
    <s v="April"/>
    <d v="1899-12-30T13:46:36"/>
    <s v="&quot;CNR4725147&quot;"/>
    <s v="Completed"/>
    <s v="&quot;CID7166094&quot;"/>
    <x v="4"/>
    <s v="Mandi House"/>
    <s v="Rohini West"/>
    <n v="3.9"/>
    <n v="25.6"/>
    <s v="null"/>
    <s v="null"/>
    <s v="null"/>
    <s v="null"/>
    <s v="null"/>
    <s v="null"/>
    <n v="189"/>
    <n v="25.96"/>
    <n v="4.5999999999999996"/>
    <n v="5"/>
    <s v="Credit Card"/>
  </r>
  <r>
    <d v="2024-08-20T00:00:00"/>
    <s v="August"/>
    <d v="1899-12-30T16:44:33"/>
    <s v="&quot;CNR5654141&quot;"/>
    <s v="Incomplete"/>
    <s v="&quot;CID9881226&quot;"/>
    <x v="3"/>
    <s v="Indraprastha"/>
    <s v="Jor Bagh"/>
    <n v="7.3"/>
    <n v="22.1"/>
    <s v="null"/>
    <s v="null"/>
    <s v="null"/>
    <s v="null"/>
    <n v="1"/>
    <s v="Customer Demand"/>
    <n v="314"/>
    <n v="18.89"/>
    <s v="null"/>
    <s v="null"/>
    <s v="Debit Card"/>
  </r>
  <r>
    <d v="2024-12-13T00:00:00"/>
    <s v="December"/>
    <d v="1899-12-30T13:48:26"/>
    <s v="&quot;CNR9308880&quot;"/>
    <s v="Completed"/>
    <s v="&quot;CID9048500&quot;"/>
    <x v="5"/>
    <s v="Moti Nagar"/>
    <s v="Bhikaji Cama Place"/>
    <n v="9.6"/>
    <n v="24.7"/>
    <s v="null"/>
    <s v="null"/>
    <s v="null"/>
    <s v="null"/>
    <s v="null"/>
    <s v="null"/>
    <n v="115"/>
    <n v="19.14"/>
    <n v="4.5999999999999996"/>
    <n v="4.8"/>
    <s v="Cash"/>
  </r>
  <r>
    <d v="2024-11-02T00:00:00"/>
    <s v="November"/>
    <d v="1899-12-30T19:17:25"/>
    <s v="&quot;CNR7223634&quot;"/>
    <s v="Completed"/>
    <s v="&quot;CID5611923&quot;"/>
    <x v="4"/>
    <s v="Chanakyapuri"/>
    <s v="Mandi House"/>
    <n v="7.9"/>
    <n v="33.799999999999997"/>
    <s v="null"/>
    <s v="null"/>
    <s v="null"/>
    <s v="null"/>
    <s v="null"/>
    <s v="null"/>
    <n v="670"/>
    <n v="15.33"/>
    <n v="4.2"/>
    <n v="4.2"/>
    <s v="Credit Card"/>
  </r>
  <r>
    <d v="2024-07-11T00:00:00"/>
    <s v="July"/>
    <d v="1899-12-30T14:35:05"/>
    <s v="&quot;CNR8908186&quot;"/>
    <s v="Completed"/>
    <s v="&quot;CID1060467&quot;"/>
    <x v="4"/>
    <s v="Kaushambi"/>
    <s v="Ghitorni Village"/>
    <n v="12.3"/>
    <n v="35.299999999999997"/>
    <s v="null"/>
    <s v="null"/>
    <s v="null"/>
    <s v="null"/>
    <s v="null"/>
    <s v="null"/>
    <n v="751"/>
    <n v="27.13"/>
    <n v="4.5999999999999996"/>
    <n v="4.9000000000000004"/>
    <s v="UPI"/>
  </r>
  <r>
    <d v="2024-10-12T00:00:00"/>
    <s v="October"/>
    <d v="1899-12-30T16:45:00"/>
    <s v="&quot;CNR6098250&quot;"/>
    <s v="Completed"/>
    <s v="&quot;CID2595479&quot;"/>
    <x v="2"/>
    <s v="Tagore Garden"/>
    <s v="Kalkaji"/>
    <n v="11.6"/>
    <n v="15.6"/>
    <s v="null"/>
    <s v="null"/>
    <s v="null"/>
    <s v="null"/>
    <s v="null"/>
    <s v="null"/>
    <n v="517"/>
    <n v="16.32"/>
    <n v="4.3"/>
    <n v="4.5"/>
    <s v="UPI"/>
  </r>
  <r>
    <d v="2024-09-29T00:00:00"/>
    <s v="September"/>
    <d v="1899-12-30T12:37:59"/>
    <s v="&quot;CNR7860349&quot;"/>
    <s v="Completed"/>
    <s v="&quot;CID5161952&quot;"/>
    <x v="5"/>
    <s v="Faridabad Sector 15"/>
    <s v="Janakpuri"/>
    <n v="3.3"/>
    <n v="42.6"/>
    <s v="null"/>
    <s v="null"/>
    <s v="null"/>
    <s v="null"/>
    <s v="null"/>
    <s v="null"/>
    <n v="928"/>
    <n v="18.13"/>
    <n v="5"/>
    <n v="4.5999999999999996"/>
    <s v="Cash"/>
  </r>
  <r>
    <d v="2024-02-29T00:00:00"/>
    <s v="February"/>
    <d v="1899-12-30T12:48:28"/>
    <s v="&quot;CNR7774098&quot;"/>
    <s v="Completed"/>
    <s v="&quot;CID1535567&quot;"/>
    <x v="5"/>
    <s v="Pulbangash"/>
    <s v="Vasant Kunj"/>
    <n v="6.4"/>
    <n v="38.5"/>
    <s v="null"/>
    <s v="null"/>
    <s v="null"/>
    <s v="null"/>
    <s v="null"/>
    <s v="null"/>
    <n v="336"/>
    <n v="27.52"/>
    <n v="4"/>
    <n v="4.2"/>
    <s v="UPI"/>
  </r>
  <r>
    <d v="2024-08-03T00:00:00"/>
    <s v="August"/>
    <d v="1899-12-30T12:27:33"/>
    <s v="&quot;CNR8990210&quot;"/>
    <s v="No Driver Found"/>
    <s v="&quot;CID6785239&quot;"/>
    <x v="2"/>
    <s v="Model Town"/>
    <s v="Rithala"/>
    <s v="null"/>
    <s v="null"/>
    <s v="null"/>
    <s v="null"/>
    <s v="null"/>
    <s v="null"/>
    <s v="null"/>
    <s v="null"/>
    <s v="null"/>
    <s v="null"/>
    <s v="null"/>
    <s v="null"/>
    <s v="null"/>
  </r>
  <r>
    <d v="2024-07-15T00:00:00"/>
    <s v="July"/>
    <d v="1899-12-30T06:30:07"/>
    <s v="&quot;CNR1604843&quot;"/>
    <s v="Completed"/>
    <s v="&quot;CID3650524&quot;"/>
    <x v="1"/>
    <s v="Satguru Ram Singh Marg"/>
    <s v="Sushant Lok"/>
    <n v="15"/>
    <n v="44.5"/>
    <s v="null"/>
    <s v="null"/>
    <s v="null"/>
    <s v="null"/>
    <s v="null"/>
    <s v="null"/>
    <n v="476"/>
    <n v="4.96"/>
    <n v="4.4000000000000004"/>
    <n v="4.4000000000000004"/>
    <s v="Cash"/>
  </r>
  <r>
    <d v="2024-04-09T00:00:00"/>
    <s v="April"/>
    <d v="1899-12-30T17:41:41"/>
    <s v="&quot;CNR5743864&quot;"/>
    <s v="Cancelled by Driver"/>
    <s v="&quot;CID4720271&quot;"/>
    <x v="1"/>
    <s v="INA Market"/>
    <s v="Netaji Subhash Place"/>
    <n v="10.199999999999999"/>
    <s v="null"/>
    <s v="null"/>
    <s v="null"/>
    <n v="1"/>
    <s v="More than permitted people in there"/>
    <s v="null"/>
    <s v="null"/>
    <s v="null"/>
    <s v="null"/>
    <s v="null"/>
    <s v="null"/>
    <s v="null"/>
  </r>
  <r>
    <d v="2024-08-13T00:00:00"/>
    <s v="August"/>
    <d v="1899-12-30T12:49:17"/>
    <s v="&quot;CNR7721257&quot;"/>
    <s v="Completed"/>
    <s v="&quot;CID4783718&quot;"/>
    <x v="4"/>
    <s v="Nirman Vihar"/>
    <s v="Hero Honda Chowk"/>
    <n v="13.9"/>
    <n v="17.899999999999999"/>
    <s v="null"/>
    <s v="null"/>
    <s v="null"/>
    <s v="null"/>
    <s v="null"/>
    <s v="null"/>
    <n v="104"/>
    <n v="12.29"/>
    <n v="3.2"/>
    <n v="4.9000000000000004"/>
    <s v="Cash"/>
  </r>
  <r>
    <d v="2024-08-17T00:00:00"/>
    <s v="August"/>
    <d v="1899-12-30T15:17:40"/>
    <s v="&quot;CNR7360556&quot;"/>
    <s v="Completed"/>
    <s v="&quot;CID6551070&quot;"/>
    <x v="2"/>
    <s v="Chandni Chowk"/>
    <s v="Noida Sector 62"/>
    <n v="10.7"/>
    <n v="43.1"/>
    <s v="null"/>
    <s v="null"/>
    <s v="null"/>
    <s v="null"/>
    <s v="null"/>
    <s v="null"/>
    <n v="579"/>
    <n v="7.29"/>
    <n v="4.5"/>
    <n v="4.5"/>
    <s v="UPI"/>
  </r>
  <r>
    <d v="2024-08-22T00:00:00"/>
    <s v="August"/>
    <d v="1899-12-30T12:15:54"/>
    <s v="&quot;CNR6248078&quot;"/>
    <s v="Completed"/>
    <s v="&quot;CID5434628&quot;"/>
    <x v="5"/>
    <s v="Karol Bagh"/>
    <s v="Chandni Chowk"/>
    <n v="11"/>
    <n v="41.6"/>
    <s v="null"/>
    <s v="null"/>
    <s v="null"/>
    <s v="null"/>
    <s v="null"/>
    <s v="null"/>
    <n v="181"/>
    <n v="44.75"/>
    <n v="4.4000000000000004"/>
    <n v="4.4000000000000004"/>
    <s v="Cash"/>
  </r>
  <r>
    <d v="2024-03-15T00:00:00"/>
    <s v="March"/>
    <d v="1899-12-30T16:38:52"/>
    <s v="&quot;CNR7698052&quot;"/>
    <s v="Completed"/>
    <s v="&quot;CID7071135&quot;"/>
    <x v="1"/>
    <s v="Chandni Chowk"/>
    <s v="IFFCO Chowk"/>
    <n v="4.3"/>
    <n v="23.6"/>
    <s v="null"/>
    <s v="null"/>
    <s v="null"/>
    <s v="null"/>
    <s v="null"/>
    <s v="null"/>
    <n v="1727"/>
    <n v="46.07"/>
    <n v="5"/>
    <n v="4.4000000000000004"/>
    <s v="Credit Card"/>
  </r>
  <r>
    <d v="2024-10-26T00:00:00"/>
    <s v="October"/>
    <d v="1899-12-30T19:44:01"/>
    <s v="&quot;CNR4456848&quot;"/>
    <s v="Cancelled by Driver"/>
    <s v="&quot;CID8988573&quot;"/>
    <x v="3"/>
    <s v="Nirman Vihar"/>
    <s v="Pragati Maidan"/>
    <n v="4.4000000000000004"/>
    <s v="null"/>
    <s v="null"/>
    <s v="null"/>
    <n v="1"/>
    <s v="Customer related issue"/>
    <s v="null"/>
    <s v="null"/>
    <s v="null"/>
    <s v="null"/>
    <s v="null"/>
    <s v="null"/>
    <s v="null"/>
  </r>
  <r>
    <d v="2024-04-07T00:00:00"/>
    <s v="April"/>
    <d v="1899-12-30T22:21:38"/>
    <s v="&quot;CNR5540432&quot;"/>
    <s v="Cancelled by Driver"/>
    <s v="&quot;CID3241367&quot;"/>
    <x v="2"/>
    <s v="Pitampura"/>
    <s v="Botanical Garden"/>
    <n v="11.4"/>
    <s v="null"/>
    <s v="null"/>
    <s v="null"/>
    <n v="1"/>
    <s v="Personal &amp; Car related issues"/>
    <s v="null"/>
    <s v="null"/>
    <s v="null"/>
    <s v="null"/>
    <s v="null"/>
    <s v="null"/>
    <s v="null"/>
  </r>
  <r>
    <d v="2024-01-17T00:00:00"/>
    <s v="January"/>
    <d v="1899-12-30T09:47:34"/>
    <s v="&quot;CNR3418737&quot;"/>
    <s v="Completed"/>
    <s v="&quot;CID4772721&quot;"/>
    <x v="2"/>
    <s v="Moolchand"/>
    <s v="Punjabi Bagh"/>
    <n v="11.6"/>
    <n v="20.399999999999999"/>
    <s v="null"/>
    <s v="null"/>
    <s v="null"/>
    <s v="null"/>
    <s v="null"/>
    <s v="null"/>
    <n v="339"/>
    <n v="22.75"/>
    <n v="4.2"/>
    <n v="5"/>
    <s v="Cash"/>
  </r>
  <r>
    <d v="2024-07-14T00:00:00"/>
    <s v="July"/>
    <d v="1899-12-30T21:40:13"/>
    <s v="&quot;CNR2312629&quot;"/>
    <s v="Completed"/>
    <s v="&quot;CID6034675&quot;"/>
    <x v="2"/>
    <s v="Sonipat"/>
    <s v="Dwarka Sector 21"/>
    <n v="6.7"/>
    <n v="23.6"/>
    <s v="null"/>
    <s v="null"/>
    <s v="null"/>
    <s v="null"/>
    <s v="null"/>
    <s v="null"/>
    <n v="833"/>
    <n v="31.3"/>
    <n v="4.3"/>
    <n v="4.0999999999999996"/>
    <s v="Uber Wallet"/>
  </r>
  <r>
    <d v="2024-01-18T00:00:00"/>
    <s v="January"/>
    <d v="1899-12-30T05:53:26"/>
    <s v="&quot;CNR3442968&quot;"/>
    <s v="Completed"/>
    <s v="&quot;CID3217784&quot;"/>
    <x v="0"/>
    <s v="Khandsa"/>
    <s v="Faridabad Sector 15"/>
    <n v="5.8"/>
    <n v="42.4"/>
    <s v="null"/>
    <s v="null"/>
    <s v="null"/>
    <s v="null"/>
    <s v="null"/>
    <s v="null"/>
    <n v="221"/>
    <n v="11.62"/>
    <n v="4.2"/>
    <n v="4.8"/>
    <s v="UPI"/>
  </r>
  <r>
    <d v="2024-11-08T00:00:00"/>
    <s v="November"/>
    <d v="1899-12-30T07:00:32"/>
    <s v="&quot;CNR5362803&quot;"/>
    <s v="Cancelled by Driver"/>
    <s v="&quot;CID7155427&quot;"/>
    <x v="1"/>
    <s v="Rajouri Garden"/>
    <s v="Rohini"/>
    <n v="11.7"/>
    <s v="null"/>
    <s v="null"/>
    <s v="null"/>
    <n v="1"/>
    <s v="Personal &amp; Car related issues"/>
    <s v="null"/>
    <s v="null"/>
    <s v="null"/>
    <s v="null"/>
    <s v="null"/>
    <s v="null"/>
    <s v="null"/>
  </r>
  <r>
    <d v="2024-04-29T00:00:00"/>
    <s v="April"/>
    <d v="1899-12-30T10:19:52"/>
    <s v="&quot;CNR8068355&quot;"/>
    <s v="Completed"/>
    <s v="&quot;CID2908322&quot;"/>
    <x v="5"/>
    <s v="Shahdara"/>
    <s v="New Delhi Railway Station"/>
    <n v="11.3"/>
    <n v="23"/>
    <s v="null"/>
    <s v="null"/>
    <s v="null"/>
    <s v="null"/>
    <s v="null"/>
    <s v="null"/>
    <n v="368"/>
    <n v="27.19"/>
    <n v="4.2"/>
    <n v="4.3"/>
    <s v="UPI"/>
  </r>
  <r>
    <d v="2024-04-11T00:00:00"/>
    <s v="April"/>
    <d v="1899-12-30T19:06:23"/>
    <s v="&quot;CNR7320481&quot;"/>
    <s v="Completed"/>
    <s v="&quot;CID1745963&quot;"/>
    <x v="1"/>
    <s v="Khandsa"/>
    <s v="Huda City Centre"/>
    <n v="13"/>
    <n v="35.4"/>
    <s v="null"/>
    <s v="null"/>
    <s v="null"/>
    <s v="null"/>
    <s v="null"/>
    <s v="null"/>
    <n v="770"/>
    <n v="10.34"/>
    <n v="4.4000000000000004"/>
    <n v="3.9"/>
    <s v="UPI"/>
  </r>
  <r>
    <d v="2024-04-08T00:00:00"/>
    <s v="April"/>
    <d v="1899-12-30T17:18:39"/>
    <s v="&quot;CNR9625360&quot;"/>
    <s v="Completed"/>
    <s v="&quot;CID7198592&quot;"/>
    <x v="3"/>
    <s v="India Gate"/>
    <s v="Ghitorni Village"/>
    <n v="3.3"/>
    <n v="19.2"/>
    <s v="null"/>
    <s v="null"/>
    <s v="null"/>
    <s v="null"/>
    <s v="null"/>
    <s v="null"/>
    <n v="140"/>
    <n v="5.24"/>
    <n v="4.3"/>
    <n v="4.7"/>
    <s v="UPI"/>
  </r>
  <r>
    <d v="2024-10-24T00:00:00"/>
    <s v="October"/>
    <d v="1899-12-30T13:37:48"/>
    <s v="&quot;CNR7564013&quot;"/>
    <s v="Completed"/>
    <s v="&quot;CID9512652&quot;"/>
    <x v="2"/>
    <s v="Connaught Place"/>
    <s v="Sushant Lok"/>
    <n v="13.9"/>
    <n v="19.8"/>
    <s v="null"/>
    <s v="null"/>
    <s v="null"/>
    <s v="null"/>
    <s v="null"/>
    <s v="null"/>
    <n v="249"/>
    <n v="31.52"/>
    <n v="4.0999999999999996"/>
    <n v="4"/>
    <s v="UPI"/>
  </r>
  <r>
    <d v="2024-07-06T00:00:00"/>
    <s v="July"/>
    <d v="1899-12-30T18:38:19"/>
    <s v="&quot;CNR4088153&quot;"/>
    <s v="Completed"/>
    <s v="&quot;CID4916643&quot;"/>
    <x v="2"/>
    <s v="Ashok Park Main"/>
    <s v="Kashmere Gate ISBT"/>
    <n v="4.5999999999999996"/>
    <n v="40.6"/>
    <s v="null"/>
    <s v="null"/>
    <s v="null"/>
    <s v="null"/>
    <s v="null"/>
    <s v="null"/>
    <n v="163"/>
    <n v="19.440000000000001"/>
    <n v="4.0999999999999996"/>
    <n v="4.3"/>
    <s v="Cash"/>
  </r>
  <r>
    <d v="2024-12-01T00:00:00"/>
    <s v="December"/>
    <d v="1899-12-30T18:58:47"/>
    <s v="&quot;CNR3300635&quot;"/>
    <s v="Completed"/>
    <s v="&quot;CID8726709&quot;"/>
    <x v="2"/>
    <s v="Sushant Lok"/>
    <s v="Botanical Garden"/>
    <n v="6.7"/>
    <n v="31.3"/>
    <s v="null"/>
    <s v="null"/>
    <s v="null"/>
    <s v="null"/>
    <s v="null"/>
    <s v="null"/>
    <n v="1764"/>
    <n v="32.47"/>
    <n v="4.3"/>
    <n v="4.0999999999999996"/>
    <s v="Cash"/>
  </r>
  <r>
    <d v="2024-12-01T00:00:00"/>
    <s v="December"/>
    <d v="1899-12-30T10:25:53"/>
    <s v="&quot;CNR7198703&quot;"/>
    <s v="No Driver Found"/>
    <s v="&quot;CID7566355&quot;"/>
    <x v="0"/>
    <s v="Mansarovar Park"/>
    <s v="Keshav Puram"/>
    <s v="null"/>
    <s v="null"/>
    <s v="null"/>
    <s v="null"/>
    <s v="null"/>
    <s v="null"/>
    <s v="null"/>
    <s v="null"/>
    <s v="null"/>
    <s v="null"/>
    <s v="null"/>
    <s v="null"/>
    <s v="null"/>
  </r>
  <r>
    <d v="2024-09-21T00:00:00"/>
    <s v="September"/>
    <d v="1899-12-30T15:05:38"/>
    <s v="&quot;CNR5366935&quot;"/>
    <s v="Completed"/>
    <s v="&quot;CID9046824&quot;"/>
    <x v="4"/>
    <s v="Lok Kalyan Marg"/>
    <s v="Govindpuri"/>
    <n v="8.1999999999999993"/>
    <n v="21.6"/>
    <s v="null"/>
    <s v="null"/>
    <s v="null"/>
    <s v="null"/>
    <s v="null"/>
    <s v="null"/>
    <n v="354"/>
    <n v="39.56"/>
    <n v="3.3"/>
    <n v="4.3"/>
    <s v="Cash"/>
  </r>
  <r>
    <d v="2024-05-13T00:00:00"/>
    <s v="May"/>
    <d v="1899-12-30T04:00:36"/>
    <s v="&quot;CNR5738309&quot;"/>
    <s v="Cancelled by Driver"/>
    <s v="&quot;CID3264136&quot;"/>
    <x v="3"/>
    <s v="Vatika Chowk"/>
    <s v="Okhla"/>
    <n v="8.8000000000000007"/>
    <s v="null"/>
    <s v="null"/>
    <s v="null"/>
    <n v="1"/>
    <s v="More than permitted people in there"/>
    <s v="null"/>
    <s v="null"/>
    <s v="null"/>
    <s v="null"/>
    <s v="null"/>
    <s v="null"/>
    <s v="null"/>
  </r>
  <r>
    <d v="2024-02-10T00:00:00"/>
    <s v="February"/>
    <d v="1899-12-30T22:25:41"/>
    <s v="&quot;CNR2751689&quot;"/>
    <s v="Cancelled by Driver"/>
    <s v="&quot;CID2451322&quot;"/>
    <x v="1"/>
    <s v="Cyber Hub"/>
    <s v="MG Road"/>
    <n v="6.5"/>
    <s v="null"/>
    <s v="null"/>
    <s v="null"/>
    <n v="1"/>
    <s v="More than permitted people in there"/>
    <s v="null"/>
    <s v="null"/>
    <s v="null"/>
    <s v="null"/>
    <s v="null"/>
    <s v="null"/>
    <s v="null"/>
  </r>
  <r>
    <d v="2024-03-31T00:00:00"/>
    <s v="March"/>
    <d v="1899-12-30T19:15:38"/>
    <s v="&quot;CNR1407518&quot;"/>
    <s v="Completed"/>
    <s v="&quot;CID4174424&quot;"/>
    <x v="4"/>
    <s v="Badarpur"/>
    <s v="Ghitorni Village"/>
    <n v="14.4"/>
    <n v="16"/>
    <s v="null"/>
    <s v="null"/>
    <s v="null"/>
    <s v="null"/>
    <s v="null"/>
    <s v="null"/>
    <n v="124"/>
    <n v="33.54"/>
    <n v="3.7"/>
    <n v="3.7"/>
    <s v="UPI"/>
  </r>
  <r>
    <d v="2024-03-09T00:00:00"/>
    <s v="March"/>
    <d v="1899-12-30T09:34:01"/>
    <s v="&quot;CNR9764222&quot;"/>
    <s v="Completed"/>
    <s v="&quot;CID7115581&quot;"/>
    <x v="1"/>
    <s v="Bhikaji Cama Place"/>
    <s v="ITO"/>
    <n v="14.6"/>
    <n v="25.5"/>
    <s v="null"/>
    <s v="null"/>
    <s v="null"/>
    <s v="null"/>
    <s v="null"/>
    <s v="null"/>
    <n v="537"/>
    <n v="6.69"/>
    <n v="4.7"/>
    <n v="4.5999999999999996"/>
    <s v="UPI"/>
  </r>
  <r>
    <d v="2024-06-22T00:00:00"/>
    <s v="June"/>
    <d v="1899-12-30T20:05:28"/>
    <s v="&quot;CNR8216364&quot;"/>
    <s v="Completed"/>
    <s v="&quot;CID7366872&quot;"/>
    <x v="0"/>
    <s v="Ghitorni"/>
    <s v="Old Gurgaon"/>
    <n v="12.7"/>
    <n v="32.4"/>
    <s v="null"/>
    <s v="null"/>
    <s v="null"/>
    <s v="null"/>
    <s v="null"/>
    <s v="null"/>
    <n v="1316"/>
    <n v="20.149999999999999"/>
    <n v="4.3"/>
    <n v="4.3"/>
    <s v="UPI"/>
  </r>
  <r>
    <d v="2024-07-08T00:00:00"/>
    <s v="July"/>
    <d v="1899-12-30T10:30:09"/>
    <s v="&quot;CNR4859116&quot;"/>
    <s v="Incomplete"/>
    <s v="&quot;CID7339139&quot;"/>
    <x v="4"/>
    <s v="IIT Delhi"/>
    <s v="Vatika Chowk"/>
    <n v="6.3"/>
    <n v="17.3"/>
    <s v="null"/>
    <s v="null"/>
    <s v="null"/>
    <s v="null"/>
    <n v="1"/>
    <s v="Customer Demand"/>
    <n v="328"/>
    <n v="8.4"/>
    <s v="null"/>
    <s v="null"/>
    <s v="UPI"/>
  </r>
  <r>
    <d v="2024-11-12T00:00:00"/>
    <s v="November"/>
    <d v="1899-12-30T19:38:43"/>
    <s v="&quot;CNR5062372&quot;"/>
    <s v="Cancelled by Customer"/>
    <s v="&quot;CID4198911&quot;"/>
    <x v="5"/>
    <s v="Peeragarhi"/>
    <s v="IIT Delhi"/>
    <n v="9.8000000000000007"/>
    <s v="null"/>
    <n v="1"/>
    <s v="AC is not working"/>
    <s v="null"/>
    <s v="null"/>
    <s v="null"/>
    <s v="null"/>
    <s v="null"/>
    <s v="null"/>
    <s v="null"/>
    <s v="null"/>
    <s v="null"/>
  </r>
  <r>
    <d v="2024-02-24T00:00:00"/>
    <s v="February"/>
    <d v="1899-12-30T17:18:51"/>
    <s v="&quot;CNR3842641&quot;"/>
    <s v="Completed"/>
    <s v="&quot;CID1750914&quot;"/>
    <x v="2"/>
    <s v="Jama Masjid"/>
    <s v="IFFCO Chowk"/>
    <n v="14.8"/>
    <n v="23.5"/>
    <s v="null"/>
    <s v="null"/>
    <s v="null"/>
    <s v="null"/>
    <s v="null"/>
    <s v="null"/>
    <n v="733"/>
    <n v="21.07"/>
    <n v="4.3"/>
    <n v="4.5"/>
    <s v="Cash"/>
  </r>
  <r>
    <d v="2024-10-31T00:00:00"/>
    <s v="October"/>
    <d v="1899-12-30T14:46:35"/>
    <s v="&quot;CNR4460316&quot;"/>
    <s v="Cancelled by Driver"/>
    <s v="&quot;CID6444247&quot;"/>
    <x v="1"/>
    <s v="Noida Film City"/>
    <s v="Badshahpur"/>
    <n v="9"/>
    <s v="null"/>
    <s v="null"/>
    <s v="null"/>
    <n v="1"/>
    <s v="The customer was coughing/sick"/>
    <s v="null"/>
    <s v="null"/>
    <s v="null"/>
    <s v="null"/>
    <s v="null"/>
    <s v="null"/>
    <s v="null"/>
  </r>
  <r>
    <d v="2024-06-21T00:00:00"/>
    <s v="June"/>
    <d v="1899-12-30T08:22:00"/>
    <s v="&quot;CNR1323410&quot;"/>
    <s v="Completed"/>
    <s v="&quot;CID4463798&quot;"/>
    <x v="3"/>
    <s v="Vatika Chowk"/>
    <s v="Bahadurgarh"/>
    <n v="4.5"/>
    <n v="34.200000000000003"/>
    <s v="null"/>
    <s v="null"/>
    <s v="null"/>
    <s v="null"/>
    <s v="null"/>
    <s v="null"/>
    <n v="298"/>
    <n v="12.52"/>
    <n v="4.4000000000000004"/>
    <n v="4.5999999999999996"/>
    <s v="Debit Card"/>
  </r>
  <r>
    <d v="2024-06-14T00:00:00"/>
    <s v="June"/>
    <d v="1899-12-30T09:45:28"/>
    <s v="&quot;CNR2250312&quot;"/>
    <s v="Completed"/>
    <s v="&quot;CID3180078&quot;"/>
    <x v="2"/>
    <s v="Rajouri Garden"/>
    <s v="Tughlakabad"/>
    <n v="4.9000000000000004"/>
    <n v="39.200000000000003"/>
    <s v="null"/>
    <s v="null"/>
    <s v="null"/>
    <s v="null"/>
    <s v="null"/>
    <s v="null"/>
    <n v="858"/>
    <n v="43.87"/>
    <n v="3.3"/>
    <n v="4.5"/>
    <s v="UPI"/>
  </r>
  <r>
    <d v="2024-04-24T00:00:00"/>
    <s v="April"/>
    <d v="1899-12-30T17:06:19"/>
    <s v="&quot;CNR4635927&quot;"/>
    <s v="No Driver Found"/>
    <s v="&quot;CID7012211&quot;"/>
    <x v="1"/>
    <s v="Madipur"/>
    <s v="South Extension"/>
    <s v="null"/>
    <s v="null"/>
    <s v="null"/>
    <s v="null"/>
    <s v="null"/>
    <s v="null"/>
    <s v="null"/>
    <s v="null"/>
    <s v="null"/>
    <s v="null"/>
    <s v="null"/>
    <s v="null"/>
    <s v="null"/>
  </r>
  <r>
    <d v="2024-11-11T00:00:00"/>
    <s v="November"/>
    <d v="1899-12-30T16:23:38"/>
    <s v="&quot;CNR9536120&quot;"/>
    <s v="Completed"/>
    <s v="&quot;CID9337094&quot;"/>
    <x v="2"/>
    <s v="Greater Noida"/>
    <s v="Badarpur"/>
    <n v="6.1"/>
    <n v="43.8"/>
    <s v="null"/>
    <s v="null"/>
    <s v="null"/>
    <s v="null"/>
    <s v="null"/>
    <s v="null"/>
    <n v="467"/>
    <n v="32.54"/>
    <n v="4.0999999999999996"/>
    <n v="4.5"/>
    <s v="UPI"/>
  </r>
  <r>
    <d v="2024-02-13T00:00:00"/>
    <s v="February"/>
    <d v="1899-12-30T16:17:42"/>
    <s v="&quot;CNR7195310&quot;"/>
    <s v="Completed"/>
    <s v="&quot;CID6035944&quot;"/>
    <x v="1"/>
    <s v="Indraprastha"/>
    <s v="Welcome"/>
    <n v="7.6"/>
    <n v="19.5"/>
    <s v="null"/>
    <s v="null"/>
    <s v="null"/>
    <s v="null"/>
    <s v="null"/>
    <s v="null"/>
    <n v="823"/>
    <n v="16.850000000000001"/>
    <n v="4.2"/>
    <n v="5"/>
    <s v="Uber Wallet"/>
  </r>
  <r>
    <d v="2024-12-14T00:00:00"/>
    <s v="December"/>
    <d v="1899-12-30T08:28:49"/>
    <s v="&quot;CNR5828425&quot;"/>
    <s v="Completed"/>
    <s v="&quot;CID8430067&quot;"/>
    <x v="3"/>
    <s v="Jahangirpuri"/>
    <s v="Kirti Nagar"/>
    <n v="8.4"/>
    <n v="37.1"/>
    <s v="null"/>
    <s v="null"/>
    <s v="null"/>
    <s v="null"/>
    <s v="null"/>
    <s v="null"/>
    <n v="413"/>
    <n v="30.16"/>
    <n v="3.1"/>
    <n v="4.3"/>
    <s v="UPI"/>
  </r>
  <r>
    <d v="2024-09-05T00:00:00"/>
    <s v="September"/>
    <d v="1899-12-30T13:59:52"/>
    <s v="&quot;CNR5197707&quot;"/>
    <s v="Completed"/>
    <s v="&quot;CID8536713&quot;"/>
    <x v="3"/>
    <s v="Raj Nagar Extension"/>
    <s v="Seelampur"/>
    <n v="9.1999999999999993"/>
    <n v="24.3"/>
    <s v="null"/>
    <s v="null"/>
    <s v="null"/>
    <s v="null"/>
    <s v="null"/>
    <s v="null"/>
    <n v="432"/>
    <n v="46.99"/>
    <n v="4.2"/>
    <n v="4.5999999999999996"/>
    <s v="Cash"/>
  </r>
  <r>
    <d v="2024-09-06T00:00:00"/>
    <s v="September"/>
    <d v="1899-12-30T23:29:34"/>
    <s v="&quot;CNR5254201&quot;"/>
    <s v="Completed"/>
    <s v="&quot;CID5776348&quot;"/>
    <x v="2"/>
    <s v="Jor Bagh"/>
    <s v="Madipur"/>
    <n v="5.3"/>
    <n v="35.799999999999997"/>
    <s v="null"/>
    <s v="null"/>
    <s v="null"/>
    <s v="null"/>
    <s v="null"/>
    <s v="null"/>
    <n v="455"/>
    <n v="30.43"/>
    <n v="3.2"/>
    <n v="4.3"/>
    <s v="UPI"/>
  </r>
  <r>
    <d v="2024-07-21T00:00:00"/>
    <s v="July"/>
    <d v="1899-12-30T18:19:54"/>
    <s v="&quot;CNR8163591&quot;"/>
    <s v="Cancelled by Customer"/>
    <s v="&quot;CID2960805&quot;"/>
    <x v="1"/>
    <s v="Lok Kalyan Marg"/>
    <s v="New Colony"/>
    <n v="9.1"/>
    <s v="null"/>
    <n v="1"/>
    <s v="Driver is not moving towards pickup location"/>
    <s v="null"/>
    <s v="null"/>
    <s v="null"/>
    <s v="null"/>
    <s v="null"/>
    <s v="null"/>
    <s v="null"/>
    <s v="null"/>
    <s v="null"/>
  </r>
  <r>
    <d v="2024-07-22T00:00:00"/>
    <s v="July"/>
    <d v="1899-12-30T10:40:26"/>
    <s v="&quot;CNR1176861&quot;"/>
    <s v="Cancelled by Driver"/>
    <s v="&quot;CID5753303&quot;"/>
    <x v="2"/>
    <s v="GTB Nagar"/>
    <s v="Rohini West"/>
    <n v="5.4"/>
    <s v="null"/>
    <s v="null"/>
    <s v="null"/>
    <n v="1"/>
    <s v="Personal &amp; Car related issues"/>
    <s v="null"/>
    <s v="null"/>
    <s v="null"/>
    <s v="null"/>
    <s v="null"/>
    <s v="null"/>
    <s v="null"/>
  </r>
  <r>
    <d v="2024-09-15T00:00:00"/>
    <s v="September"/>
    <d v="1899-12-30T06:07:23"/>
    <s v="&quot;CNR5785463&quot;"/>
    <s v="Completed"/>
    <s v="&quot;CID8295105&quot;"/>
    <x v="4"/>
    <s v="South Extension"/>
    <s v="Faridabad Sector 15"/>
    <n v="4.8"/>
    <n v="38.6"/>
    <s v="null"/>
    <s v="null"/>
    <s v="null"/>
    <s v="null"/>
    <s v="null"/>
    <s v="null"/>
    <n v="450"/>
    <n v="42.68"/>
    <n v="4.2"/>
    <n v="4"/>
    <s v="UPI"/>
  </r>
  <r>
    <d v="2024-10-21T00:00:00"/>
    <s v="October"/>
    <d v="1899-12-30T11:46:44"/>
    <s v="&quot;CNR6919794&quot;"/>
    <s v="Completed"/>
    <s v="&quot;CID6774748&quot;"/>
    <x v="2"/>
    <s v="Bahadurgarh"/>
    <s v="Manesar"/>
    <n v="12.2"/>
    <n v="34"/>
    <s v="null"/>
    <s v="null"/>
    <s v="null"/>
    <s v="null"/>
    <s v="null"/>
    <s v="null"/>
    <n v="770"/>
    <n v="20.76"/>
    <n v="4"/>
    <n v="4.2"/>
    <s v="UPI"/>
  </r>
  <r>
    <d v="2024-08-01T00:00:00"/>
    <s v="August"/>
    <d v="1899-12-30T06:12:54"/>
    <s v="&quot;CNR9843847&quot;"/>
    <s v="Completed"/>
    <s v="&quot;CID6799716&quot;"/>
    <x v="1"/>
    <s v="Ramesh Nagar"/>
    <s v="Jasola"/>
    <n v="9.8000000000000007"/>
    <n v="43.5"/>
    <s v="null"/>
    <s v="null"/>
    <s v="null"/>
    <s v="null"/>
    <s v="null"/>
    <s v="null"/>
    <n v="875"/>
    <n v="6.58"/>
    <n v="4.7"/>
    <n v="4.3"/>
    <s v="UPI"/>
  </r>
  <r>
    <d v="2024-06-06T00:00:00"/>
    <s v="June"/>
    <d v="1899-12-30T19:38:20"/>
    <s v="&quot;CNR4392706&quot;"/>
    <s v="Completed"/>
    <s v="&quot;CID6689563&quot;"/>
    <x v="2"/>
    <s v="Sadar Bazar Gurgaon"/>
    <s v="Green Park"/>
    <n v="14"/>
    <n v="17.7"/>
    <s v="null"/>
    <s v="null"/>
    <s v="null"/>
    <s v="null"/>
    <s v="null"/>
    <s v="null"/>
    <n v="141"/>
    <n v="16.41"/>
    <n v="4.3"/>
    <n v="5"/>
    <s v="Cash"/>
  </r>
  <r>
    <d v="2024-02-15T00:00:00"/>
    <s v="February"/>
    <d v="1899-12-30T20:49:04"/>
    <s v="&quot;CNR9228185&quot;"/>
    <s v="Completed"/>
    <s v="&quot;CID7967244&quot;"/>
    <x v="3"/>
    <s v="Sadar Bazar Gurgaon"/>
    <s v="Paschim Vihar"/>
    <n v="6.1"/>
    <n v="23.2"/>
    <s v="null"/>
    <s v="null"/>
    <s v="null"/>
    <s v="null"/>
    <s v="null"/>
    <s v="null"/>
    <n v="212"/>
    <n v="10.89"/>
    <n v="4.4000000000000004"/>
    <n v="4.7"/>
    <s v="Cash"/>
  </r>
  <r>
    <d v="2024-08-12T00:00:00"/>
    <s v="August"/>
    <d v="1899-12-30T11:16:17"/>
    <s v="&quot;CNR5605609&quot;"/>
    <s v="Cancelled by Driver"/>
    <s v="&quot;CID4841601&quot;"/>
    <x v="5"/>
    <s v="DLF Phase 3"/>
    <s v="Raj Nagar Extension"/>
    <n v="11.5"/>
    <s v="null"/>
    <s v="null"/>
    <s v="null"/>
    <n v="1"/>
    <s v="Personal &amp; Car related issues"/>
    <s v="null"/>
    <s v="null"/>
    <s v="null"/>
    <s v="null"/>
    <s v="null"/>
    <s v="null"/>
    <s v="null"/>
  </r>
  <r>
    <d v="2024-06-18T00:00:00"/>
    <s v="June"/>
    <d v="1899-12-30T17:07:14"/>
    <s v="&quot;CNR6160275&quot;"/>
    <s v="Completed"/>
    <s v="&quot;CID5501411&quot;"/>
    <x v="6"/>
    <s v="Ashram"/>
    <s v="Noida Sector 62"/>
    <n v="8.9"/>
    <n v="19.2"/>
    <s v="null"/>
    <s v="null"/>
    <s v="null"/>
    <s v="null"/>
    <s v="null"/>
    <s v="null"/>
    <n v="630"/>
    <n v="49.26"/>
    <n v="4.0999999999999996"/>
    <n v="4"/>
    <s v="Cash"/>
  </r>
  <r>
    <d v="2024-01-08T00:00:00"/>
    <s v="January"/>
    <d v="1899-12-30T16:54:05"/>
    <s v="&quot;CNR2204332&quot;"/>
    <s v="Completed"/>
    <s v="&quot;CID8779024&quot;"/>
    <x v="3"/>
    <s v="Golf Course Road"/>
    <s v="Vaishali"/>
    <n v="6.5"/>
    <n v="32.799999999999997"/>
    <s v="null"/>
    <s v="null"/>
    <s v="null"/>
    <s v="null"/>
    <s v="null"/>
    <s v="null"/>
    <n v="263"/>
    <n v="46.6"/>
    <n v="4.5999999999999996"/>
    <n v="4.3"/>
    <s v="Cash"/>
  </r>
  <r>
    <d v="2024-06-03T00:00:00"/>
    <s v="June"/>
    <d v="1899-12-30T05:36:39"/>
    <s v="&quot;CNR7064469&quot;"/>
    <s v="Completed"/>
    <s v="&quot;CID1757129&quot;"/>
    <x v="1"/>
    <s v="Rohini West"/>
    <s v="Qutub Minar"/>
    <n v="12.2"/>
    <n v="36.1"/>
    <s v="null"/>
    <s v="null"/>
    <s v="null"/>
    <s v="null"/>
    <s v="null"/>
    <s v="null"/>
    <n v="807"/>
    <n v="16.760000000000002"/>
    <n v="3"/>
    <n v="4.5999999999999996"/>
    <s v="Uber Wallet"/>
  </r>
  <r>
    <d v="2024-10-02T00:00:00"/>
    <s v="October"/>
    <d v="1899-12-30T09:51:54"/>
    <s v="&quot;CNR8106259&quot;"/>
    <s v="Completed"/>
    <s v="&quot;CID3123435&quot;"/>
    <x v="3"/>
    <s v="Vidhan Sabha"/>
    <s v="Shastri Nagar"/>
    <n v="4.3"/>
    <n v="19.8"/>
    <s v="null"/>
    <s v="null"/>
    <s v="null"/>
    <s v="null"/>
    <s v="null"/>
    <s v="null"/>
    <n v="418"/>
    <n v="45.71"/>
    <n v="4.7"/>
    <n v="4.7"/>
    <s v="UPI"/>
  </r>
  <r>
    <d v="2024-09-04T00:00:00"/>
    <s v="September"/>
    <d v="1899-12-30T16:32:43"/>
    <s v="&quot;CNR6657363&quot;"/>
    <s v="Completed"/>
    <s v="&quot;CID8258687&quot;"/>
    <x v="2"/>
    <s v="Sadar Bazar Gurgaon"/>
    <s v="Greater Noida"/>
    <n v="11.1"/>
    <n v="16.5"/>
    <s v="null"/>
    <s v="null"/>
    <s v="null"/>
    <s v="null"/>
    <s v="null"/>
    <s v="null"/>
    <n v="268"/>
    <n v="8.34"/>
    <n v="3.4"/>
    <n v="4.3"/>
    <s v="Cash"/>
  </r>
  <r>
    <d v="2024-07-11T00:00:00"/>
    <s v="July"/>
    <d v="1899-12-30T19:30:09"/>
    <s v="&quot;CNR5009960&quot;"/>
    <s v="Cancelled by Driver"/>
    <s v="&quot;CID4647984&quot;"/>
    <x v="5"/>
    <s v="Green Park"/>
    <s v="Sohna Road"/>
    <n v="6"/>
    <s v="null"/>
    <s v="null"/>
    <s v="null"/>
    <n v="1"/>
    <s v="The customer was coughing/sick"/>
    <s v="null"/>
    <s v="null"/>
    <s v="null"/>
    <s v="null"/>
    <s v="null"/>
    <s v="null"/>
    <s v="null"/>
  </r>
  <r>
    <d v="2024-02-18T00:00:00"/>
    <s v="February"/>
    <d v="1899-12-30T17:50:09"/>
    <s v="&quot;CNR5012798&quot;"/>
    <s v="No Driver Found"/>
    <s v="&quot;CID6112870&quot;"/>
    <x v="4"/>
    <s v="Kalkaji"/>
    <s v="Nehru Place"/>
    <s v="null"/>
    <s v="null"/>
    <s v="null"/>
    <s v="null"/>
    <s v="null"/>
    <s v="null"/>
    <s v="null"/>
    <s v="null"/>
    <s v="null"/>
    <s v="null"/>
    <s v="null"/>
    <s v="null"/>
    <s v="null"/>
  </r>
  <r>
    <d v="2024-08-08T00:00:00"/>
    <s v="August"/>
    <d v="1899-12-30T21:15:02"/>
    <s v="&quot;CNR1557346&quot;"/>
    <s v="Incomplete"/>
    <s v="&quot;CID3922737&quot;"/>
    <x v="2"/>
    <s v="Indraprastha"/>
    <s v="Gurgaon Sector 56"/>
    <n v="8.9"/>
    <n v="21.2"/>
    <s v="null"/>
    <s v="null"/>
    <s v="null"/>
    <s v="null"/>
    <n v="1"/>
    <s v="Other Issue"/>
    <n v="953"/>
    <n v="4.5999999999999996"/>
    <s v="null"/>
    <s v="null"/>
    <s v="UPI"/>
  </r>
  <r>
    <d v="2024-08-28T00:00:00"/>
    <s v="August"/>
    <d v="1899-12-30T08:20:00"/>
    <s v="&quot;CNR5966048&quot;"/>
    <s v="Completed"/>
    <s v="&quot;CID1071287&quot;"/>
    <x v="6"/>
    <s v="Pulbangash"/>
    <s v="Greater Noida"/>
    <n v="10.6"/>
    <n v="41.9"/>
    <s v="null"/>
    <s v="null"/>
    <s v="null"/>
    <s v="null"/>
    <s v="null"/>
    <s v="null"/>
    <n v="773"/>
    <n v="48.84"/>
    <n v="3.9"/>
    <n v="4.8"/>
    <s v="Uber Wallet"/>
  </r>
  <r>
    <d v="2024-10-02T00:00:00"/>
    <s v="October"/>
    <d v="1899-12-30T16:55:54"/>
    <s v="&quot;CNR3253442&quot;"/>
    <s v="Cancelled by Driver"/>
    <s v="&quot;CID8239451&quot;"/>
    <x v="4"/>
    <s v="Shivaji Park"/>
    <s v="Greater Kailash"/>
    <n v="11.6"/>
    <s v="null"/>
    <s v="null"/>
    <s v="null"/>
    <n v="1"/>
    <s v="Personal &amp; Car related issues"/>
    <s v="null"/>
    <s v="null"/>
    <s v="null"/>
    <s v="null"/>
    <s v="null"/>
    <s v="null"/>
    <s v="null"/>
  </r>
  <r>
    <d v="2024-01-29T00:00:00"/>
    <s v="January"/>
    <d v="1899-12-30T15:01:11"/>
    <s v="&quot;CNR4963206&quot;"/>
    <s v="Completed"/>
    <s v="&quot;CID9374785&quot;"/>
    <x v="1"/>
    <s v="Greater Noida"/>
    <s v="New Colony"/>
    <n v="9.1"/>
    <n v="29"/>
    <s v="null"/>
    <s v="null"/>
    <s v="null"/>
    <s v="null"/>
    <s v="null"/>
    <s v="null"/>
    <n v="137"/>
    <n v="34.83"/>
    <n v="4.7"/>
    <n v="4.4000000000000004"/>
    <s v="UPI"/>
  </r>
  <r>
    <d v="2024-11-07T00:00:00"/>
    <s v="November"/>
    <d v="1899-12-30T19:45:06"/>
    <s v="&quot;CNR4067782&quot;"/>
    <s v="Completed"/>
    <s v="&quot;CID6180494&quot;"/>
    <x v="2"/>
    <s v="Kirti Nagar"/>
    <s v="Sushant Lok"/>
    <n v="9.9"/>
    <n v="41.1"/>
    <s v="null"/>
    <s v="null"/>
    <s v="null"/>
    <s v="null"/>
    <s v="null"/>
    <s v="null"/>
    <n v="215"/>
    <n v="27.67"/>
    <n v="4.3"/>
    <n v="4.3"/>
    <s v="Debit Card"/>
  </r>
  <r>
    <d v="2024-03-22T00:00:00"/>
    <s v="March"/>
    <d v="1899-12-30T19:14:56"/>
    <s v="&quot;CNR9310811&quot;"/>
    <s v="Completed"/>
    <s v="&quot;CID9760512&quot;"/>
    <x v="3"/>
    <s v="Indirapuram"/>
    <s v="Vatika Chowk"/>
    <n v="11"/>
    <n v="37.5"/>
    <s v="null"/>
    <s v="null"/>
    <s v="null"/>
    <s v="null"/>
    <s v="null"/>
    <s v="null"/>
    <n v="113"/>
    <n v="21.68"/>
    <n v="4.3"/>
    <n v="3.7"/>
    <s v="UPI"/>
  </r>
  <r>
    <d v="2024-08-04T00:00:00"/>
    <s v="August"/>
    <d v="1899-12-30T11:31:48"/>
    <s v="&quot;CNR5984068&quot;"/>
    <s v="Cancelled by Customer"/>
    <s v="&quot;CID4463716&quot;"/>
    <x v="5"/>
    <s v="Paharganj"/>
    <s v="Vishwavidyalaya"/>
    <n v="12.7"/>
    <s v="null"/>
    <n v="1"/>
    <s v="AC is not working"/>
    <s v="null"/>
    <s v="null"/>
    <s v="null"/>
    <s v="null"/>
    <s v="null"/>
    <s v="null"/>
    <s v="null"/>
    <s v="null"/>
    <s v="null"/>
  </r>
  <r>
    <d v="2024-09-13T00:00:00"/>
    <s v="September"/>
    <d v="1899-12-30T12:04:56"/>
    <s v="&quot;CNR2440013&quot;"/>
    <s v="Completed"/>
    <s v="&quot;CID5614936&quot;"/>
    <x v="2"/>
    <s v="Mundka"/>
    <s v="Noida Sector 62"/>
    <n v="7.2"/>
    <n v="18.3"/>
    <s v="null"/>
    <s v="null"/>
    <s v="null"/>
    <s v="null"/>
    <s v="null"/>
    <s v="null"/>
    <n v="343"/>
    <n v="5.27"/>
    <n v="4.4000000000000004"/>
    <n v="4.8"/>
    <s v="Uber Wallet"/>
  </r>
  <r>
    <d v="2024-05-25T00:00:00"/>
    <s v="May"/>
    <d v="1899-12-30T16:59:49"/>
    <s v="&quot;CNR1014047&quot;"/>
    <s v="Completed"/>
    <s v="&quot;CID5187884&quot;"/>
    <x v="5"/>
    <s v="Peeragarhi"/>
    <s v="Patel Chowk"/>
    <n v="2.7"/>
    <n v="26.3"/>
    <s v="null"/>
    <s v="null"/>
    <s v="null"/>
    <s v="null"/>
    <s v="null"/>
    <s v="null"/>
    <n v="477"/>
    <n v="2.65"/>
    <n v="4.3"/>
    <n v="4.4000000000000004"/>
    <s v="UPI"/>
  </r>
  <r>
    <d v="2024-09-21T00:00:00"/>
    <s v="September"/>
    <d v="1899-12-30T14:07:00"/>
    <s v="&quot;CNR4429410&quot;"/>
    <s v="No Driver Found"/>
    <s v="&quot;CID2136964&quot;"/>
    <x v="1"/>
    <s v="Tughlakabad"/>
    <s v="IGNOU Road"/>
    <s v="null"/>
    <s v="null"/>
    <s v="null"/>
    <s v="null"/>
    <s v="null"/>
    <s v="null"/>
    <s v="null"/>
    <s v="null"/>
    <s v="null"/>
    <s v="null"/>
    <s v="null"/>
    <s v="null"/>
    <s v="null"/>
  </r>
  <r>
    <d v="2024-05-09T00:00:00"/>
    <s v="May"/>
    <d v="1899-12-30T15:36:47"/>
    <s v="&quot;CNR7340675&quot;"/>
    <s v="Completed"/>
    <s v="&quot;CID9775644&quot;"/>
    <x v="0"/>
    <s v="Shivaji Park"/>
    <s v="Azadpur"/>
    <n v="14.1"/>
    <n v="29"/>
    <s v="null"/>
    <s v="null"/>
    <s v="null"/>
    <s v="null"/>
    <s v="null"/>
    <s v="null"/>
    <n v="523"/>
    <n v="15.33"/>
    <n v="4.5"/>
    <n v="4.5"/>
    <s v="Cash"/>
  </r>
  <r>
    <d v="2024-11-26T00:00:00"/>
    <s v="November"/>
    <d v="1899-12-30T23:51:33"/>
    <s v="&quot;CNR4839889&quot;"/>
    <s v="Completed"/>
    <s v="&quot;CID2622337&quot;"/>
    <x v="4"/>
    <s v="Udyog Bhawan"/>
    <s v="Raj Nagar Extension"/>
    <n v="9.6"/>
    <n v="17.100000000000001"/>
    <s v="null"/>
    <s v="null"/>
    <s v="null"/>
    <s v="null"/>
    <s v="null"/>
    <s v="null"/>
    <n v="601"/>
    <n v="48.96"/>
    <n v="4.2"/>
    <n v="4.2"/>
    <s v="UPI"/>
  </r>
  <r>
    <d v="2024-03-08T00:00:00"/>
    <s v="March"/>
    <d v="1899-12-30T21:05:15"/>
    <s v="&quot;CNR4201157&quot;"/>
    <s v="Incomplete"/>
    <s v="&quot;CID9760707&quot;"/>
    <x v="2"/>
    <s v="Kaushambi"/>
    <s v="Pitampura"/>
    <n v="3.6"/>
    <n v="21.9"/>
    <s v="null"/>
    <s v="null"/>
    <s v="null"/>
    <s v="null"/>
    <n v="1"/>
    <s v="Vehicle Breakdown"/>
    <n v="698"/>
    <n v="5.1100000000000003"/>
    <s v="null"/>
    <s v="null"/>
    <s v="Debit Card"/>
  </r>
  <r>
    <d v="2024-03-18T00:00:00"/>
    <s v="March"/>
    <d v="1899-12-30T12:12:23"/>
    <s v="&quot;CNR2269173&quot;"/>
    <s v="Completed"/>
    <s v="&quot;CID3033035&quot;"/>
    <x v="4"/>
    <s v="Samaypur Badli"/>
    <s v="Paschim Vihar"/>
    <n v="4.5999999999999996"/>
    <n v="22.7"/>
    <s v="null"/>
    <s v="null"/>
    <s v="null"/>
    <s v="null"/>
    <s v="null"/>
    <s v="null"/>
    <n v="2145"/>
    <n v="35.76"/>
    <n v="4.3"/>
    <n v="4.5"/>
    <s v="Debit Card"/>
  </r>
  <r>
    <d v="2024-05-08T00:00:00"/>
    <s v="May"/>
    <d v="1899-12-30T19:02:56"/>
    <s v="&quot;CNR3506770&quot;"/>
    <s v="Completed"/>
    <s v="&quot;CID1564724&quot;"/>
    <x v="4"/>
    <s v="Green Park"/>
    <s v="Jama Masjid"/>
    <n v="7.7"/>
    <n v="44.2"/>
    <s v="null"/>
    <s v="null"/>
    <s v="null"/>
    <s v="null"/>
    <s v="null"/>
    <s v="null"/>
    <n v="313"/>
    <n v="36.19"/>
    <n v="4.5999999999999996"/>
    <n v="4.3"/>
    <s v="UPI"/>
  </r>
  <r>
    <d v="2024-05-07T00:00:00"/>
    <s v="May"/>
    <d v="1899-12-30T06:31:59"/>
    <s v="&quot;CNR6855175&quot;"/>
    <s v="Cancelled by Driver"/>
    <s v="&quot;CID2378462&quot;"/>
    <x v="5"/>
    <s v="RK Puram"/>
    <s v="ITO"/>
    <n v="10.9"/>
    <s v="null"/>
    <s v="null"/>
    <s v="null"/>
    <n v="1"/>
    <s v="More than permitted people in there"/>
    <s v="null"/>
    <s v="null"/>
    <s v="null"/>
    <s v="null"/>
    <s v="null"/>
    <s v="null"/>
    <s v="null"/>
  </r>
  <r>
    <d v="2024-08-29T00:00:00"/>
    <s v="August"/>
    <d v="1899-12-30T08:29:40"/>
    <s v="&quot;CNR8859781&quot;"/>
    <s v="Completed"/>
    <s v="&quot;CID5490176&quot;"/>
    <x v="3"/>
    <s v="Central Secretariat"/>
    <s v="India Gate"/>
    <n v="12.2"/>
    <n v="19.5"/>
    <s v="null"/>
    <s v="null"/>
    <s v="null"/>
    <s v="null"/>
    <s v="null"/>
    <s v="null"/>
    <n v="480"/>
    <n v="18.149999999999999"/>
    <n v="4.4000000000000004"/>
    <n v="4.5"/>
    <s v="UPI"/>
  </r>
  <r>
    <d v="2024-09-06T00:00:00"/>
    <s v="September"/>
    <d v="1899-12-30T22:18:29"/>
    <s v="&quot;CNR2961611&quot;"/>
    <s v="Completed"/>
    <s v="&quot;CID3190517&quot;"/>
    <x v="3"/>
    <s v="Pragati Maidan"/>
    <s v="RK Puram"/>
    <n v="12.7"/>
    <n v="23"/>
    <s v="null"/>
    <s v="null"/>
    <s v="null"/>
    <s v="null"/>
    <s v="null"/>
    <s v="null"/>
    <n v="953"/>
    <n v="18.579999999999998"/>
    <n v="3.8"/>
    <n v="4.4000000000000004"/>
    <s v="Debit Card"/>
  </r>
  <r>
    <d v="2024-12-05T00:00:00"/>
    <s v="December"/>
    <d v="1899-12-30T08:32:00"/>
    <s v="&quot;CNR5009691&quot;"/>
    <s v="Cancelled by Customer"/>
    <s v="&quot;CID2286725&quot;"/>
    <x v="4"/>
    <s v="Khandsa"/>
    <s v="Paharganj"/>
    <n v="13"/>
    <s v="null"/>
    <n v="1"/>
    <s v="Wrong Address"/>
    <s v="null"/>
    <s v="null"/>
    <s v="null"/>
    <s v="null"/>
    <s v="null"/>
    <s v="null"/>
    <s v="null"/>
    <s v="null"/>
    <s v="null"/>
  </r>
  <r>
    <d v="2024-03-21T00:00:00"/>
    <s v="March"/>
    <d v="1899-12-30T21:00:28"/>
    <s v="&quot;CNR6785751&quot;"/>
    <s v="Completed"/>
    <s v="&quot;CID9577024&quot;"/>
    <x v="1"/>
    <s v="Central Secretariat"/>
    <s v="Lok Kalyan Marg"/>
    <n v="11.9"/>
    <n v="18.899999999999999"/>
    <s v="null"/>
    <s v="null"/>
    <s v="null"/>
    <s v="null"/>
    <s v="null"/>
    <s v="null"/>
    <n v="440"/>
    <n v="43.05"/>
    <n v="3.7"/>
    <n v="4.8"/>
    <s v="Cash"/>
  </r>
  <r>
    <d v="2024-06-26T00:00:00"/>
    <s v="June"/>
    <d v="1899-12-30T19:59:10"/>
    <s v="&quot;CNR6145087&quot;"/>
    <s v="Completed"/>
    <s v="&quot;CID7713985&quot;"/>
    <x v="2"/>
    <s v="Raj Nagar Extension"/>
    <s v="Saket"/>
    <n v="14.9"/>
    <n v="24.8"/>
    <s v="null"/>
    <s v="null"/>
    <s v="null"/>
    <s v="null"/>
    <s v="null"/>
    <s v="null"/>
    <n v="62"/>
    <n v="42.69"/>
    <n v="3.8"/>
    <n v="4.3"/>
    <s v="Cash"/>
  </r>
  <r>
    <d v="2024-11-25T00:00:00"/>
    <s v="November"/>
    <d v="1899-12-30T13:18:26"/>
    <s v="&quot;CNR7704384&quot;"/>
    <s v="Cancelled by Driver"/>
    <s v="&quot;CID2670324&quot;"/>
    <x v="2"/>
    <s v="Rajiv Nagar"/>
    <s v="Model Town"/>
    <n v="6.3"/>
    <s v="null"/>
    <s v="null"/>
    <s v="null"/>
    <n v="1"/>
    <s v="Personal &amp; Car related issues"/>
    <s v="null"/>
    <s v="null"/>
    <s v="null"/>
    <s v="null"/>
    <s v="null"/>
    <s v="null"/>
    <s v="null"/>
  </r>
  <r>
    <d v="2024-03-19T00:00:00"/>
    <s v="March"/>
    <d v="1899-12-30T12:49:16"/>
    <s v="&quot;CNR5943425&quot;"/>
    <s v="Completed"/>
    <s v="&quot;CID6866756&quot;"/>
    <x v="2"/>
    <s v="Shivaji Park"/>
    <s v="Rohini"/>
    <n v="8.6"/>
    <n v="29.3"/>
    <s v="null"/>
    <s v="null"/>
    <s v="null"/>
    <s v="null"/>
    <s v="null"/>
    <s v="null"/>
    <n v="244"/>
    <n v="48.98"/>
    <n v="4.0999999999999996"/>
    <n v="3.9"/>
    <s v="UPI"/>
  </r>
  <r>
    <d v="2024-06-07T00:00:00"/>
    <s v="June"/>
    <d v="1899-12-30T08:47:58"/>
    <s v="&quot;CNR5469894&quot;"/>
    <s v="Completed"/>
    <s v="&quot;CID9066685&quot;"/>
    <x v="0"/>
    <s v="Kadarpur"/>
    <s v="Ghaziabad"/>
    <n v="7.1"/>
    <n v="36.799999999999997"/>
    <s v="null"/>
    <s v="null"/>
    <s v="null"/>
    <s v="null"/>
    <s v="null"/>
    <s v="null"/>
    <n v="375"/>
    <n v="37.9"/>
    <n v="4.3"/>
    <n v="4.5999999999999996"/>
    <s v="Cash"/>
  </r>
  <r>
    <d v="2024-03-06T00:00:00"/>
    <s v="March"/>
    <d v="1899-12-30T22:50:56"/>
    <s v="&quot;CNR1130715&quot;"/>
    <s v="Completed"/>
    <s v="&quot;CID1461556&quot;"/>
    <x v="5"/>
    <s v="Rohini East"/>
    <s v="Ashram"/>
    <n v="4.3"/>
    <n v="17.7"/>
    <s v="null"/>
    <s v="null"/>
    <s v="null"/>
    <s v="null"/>
    <s v="null"/>
    <s v="null"/>
    <n v="499"/>
    <n v="49.3"/>
    <n v="3.4"/>
    <n v="4.9000000000000004"/>
    <s v="UPI"/>
  </r>
  <r>
    <d v="2024-01-28T00:00:00"/>
    <s v="January"/>
    <d v="1899-12-30T15:15:23"/>
    <s v="&quot;CNR1152211&quot;"/>
    <s v="Cancelled by Customer"/>
    <s v="&quot;CID5831862&quot;"/>
    <x v="5"/>
    <s v="Hauz Rani"/>
    <s v="Kirti Nagar"/>
    <n v="7.7"/>
    <s v="null"/>
    <n v="1"/>
    <s v="Wrong Address"/>
    <s v="null"/>
    <s v="null"/>
    <s v="null"/>
    <s v="null"/>
    <s v="null"/>
    <s v="null"/>
    <s v="null"/>
    <s v="null"/>
    <s v="null"/>
  </r>
  <r>
    <d v="2024-06-26T00:00:00"/>
    <s v="June"/>
    <d v="1899-12-30T07:08:32"/>
    <s v="&quot;CNR8242907&quot;"/>
    <s v="Completed"/>
    <s v="&quot;CID7973188&quot;"/>
    <x v="3"/>
    <s v="Model Town"/>
    <s v="Jahangirpuri"/>
    <n v="8.8000000000000007"/>
    <n v="15.9"/>
    <s v="null"/>
    <s v="null"/>
    <s v="null"/>
    <s v="null"/>
    <s v="null"/>
    <s v="null"/>
    <n v="296"/>
    <n v="18.489999999999998"/>
    <n v="4.3"/>
    <n v="4.9000000000000004"/>
    <s v="UPI"/>
  </r>
  <r>
    <d v="2024-09-29T00:00:00"/>
    <s v="September"/>
    <d v="1899-12-30T17:14:55"/>
    <s v="&quot;CNR1519687&quot;"/>
    <s v="Cancelled by Customer"/>
    <s v="&quot;CID5319443&quot;"/>
    <x v="3"/>
    <s v="Vishwavidyalaya"/>
    <s v="Tagore Garden"/>
    <n v="20"/>
    <s v="null"/>
    <n v="1"/>
    <s v="Change of plans"/>
    <s v="null"/>
    <s v="null"/>
    <s v="null"/>
    <s v="null"/>
    <s v="null"/>
    <s v="null"/>
    <s v="null"/>
    <s v="null"/>
    <s v="null"/>
  </r>
  <r>
    <d v="2024-06-27T00:00:00"/>
    <s v="June"/>
    <d v="1899-12-30T08:12:15"/>
    <s v="&quot;CNR2478211&quot;"/>
    <s v="Completed"/>
    <s v="&quot;CID2555454&quot;"/>
    <x v="2"/>
    <s v="Maidan Garhi"/>
    <s v="Golf Course Road"/>
    <n v="3.9"/>
    <n v="19.899999999999999"/>
    <s v="null"/>
    <s v="null"/>
    <s v="null"/>
    <s v="null"/>
    <s v="null"/>
    <s v="null"/>
    <n v="167"/>
    <n v="33.22"/>
    <n v="3.1"/>
    <n v="3.6"/>
    <s v="Credit Card"/>
  </r>
  <r>
    <d v="2024-06-30T00:00:00"/>
    <s v="June"/>
    <d v="1899-12-30T14:13:38"/>
    <s v="&quot;CNR7336649&quot;"/>
    <s v="Cancelled by Driver"/>
    <s v="&quot;CID6486485&quot;"/>
    <x v="2"/>
    <s v="Huda City Centre"/>
    <s v="IIT Delhi"/>
    <n v="10.4"/>
    <s v="null"/>
    <s v="null"/>
    <s v="null"/>
    <n v="1"/>
    <s v="Personal &amp; Car related issues"/>
    <s v="null"/>
    <s v="null"/>
    <s v="null"/>
    <s v="null"/>
    <s v="null"/>
    <s v="null"/>
    <s v="null"/>
  </r>
  <r>
    <d v="2024-07-08T00:00:00"/>
    <s v="July"/>
    <d v="1899-12-30T23:04:08"/>
    <s v="&quot;CNR2566387&quot;"/>
    <s v="Cancelled by Driver"/>
    <s v="&quot;CID1160147&quot;"/>
    <x v="2"/>
    <s v="Sarojini Nagar"/>
    <s v="Govindpuri"/>
    <n v="6.9"/>
    <s v="null"/>
    <s v="null"/>
    <s v="null"/>
    <n v="1"/>
    <s v="Personal &amp; Car related issues"/>
    <s v="null"/>
    <s v="null"/>
    <s v="null"/>
    <s v="null"/>
    <s v="null"/>
    <s v="null"/>
    <s v="null"/>
  </r>
  <r>
    <d v="2024-10-31T00:00:00"/>
    <s v="October"/>
    <d v="1899-12-30T18:01:32"/>
    <s v="&quot;CNR6303514&quot;"/>
    <s v="Cancelled by Driver"/>
    <s v="&quot;CID7192109&quot;"/>
    <x v="6"/>
    <s v="Azadpur"/>
    <s v="Saket"/>
    <n v="11.6"/>
    <s v="null"/>
    <s v="null"/>
    <s v="null"/>
    <n v="1"/>
    <s v="More than permitted people in there"/>
    <s v="null"/>
    <s v="null"/>
    <s v="null"/>
    <s v="null"/>
    <s v="null"/>
    <s v="null"/>
    <s v="null"/>
  </r>
  <r>
    <d v="2024-01-14T00:00:00"/>
    <s v="January"/>
    <d v="1899-12-30T10:49:23"/>
    <s v="&quot;CNR9153217&quot;"/>
    <s v="Completed"/>
    <s v="&quot;CID4641211&quot;"/>
    <x v="2"/>
    <s v="Dilshad Garden"/>
    <s v="Rajiv Nagar"/>
    <n v="13.7"/>
    <n v="19.7"/>
    <s v="null"/>
    <s v="null"/>
    <s v="null"/>
    <s v="null"/>
    <s v="null"/>
    <s v="null"/>
    <n v="824"/>
    <n v="2.38"/>
    <n v="4"/>
    <n v="4.7"/>
    <s v="UPI"/>
  </r>
  <r>
    <d v="2024-05-05T00:00:00"/>
    <s v="May"/>
    <d v="1899-12-30T11:48:26"/>
    <s v="&quot;CNR2958687&quot;"/>
    <s v="Completed"/>
    <s v="&quot;CID1519444&quot;"/>
    <x v="2"/>
    <s v="INA Market"/>
    <s v="Civil Lines Gurgaon"/>
    <n v="4.9000000000000004"/>
    <n v="37.1"/>
    <s v="null"/>
    <s v="null"/>
    <s v="null"/>
    <s v="null"/>
    <s v="null"/>
    <s v="null"/>
    <n v="407"/>
    <n v="34.200000000000003"/>
    <n v="4.7"/>
    <n v="4.4000000000000004"/>
    <s v="Cash"/>
  </r>
  <r>
    <d v="2024-03-15T00:00:00"/>
    <s v="March"/>
    <d v="1899-12-30T05:14:49"/>
    <s v="&quot;CNR9244093&quot;"/>
    <s v="Completed"/>
    <s v="&quot;CID2684363&quot;"/>
    <x v="1"/>
    <s v="RK Puram"/>
    <s v="Delhi Gate"/>
    <n v="7.6"/>
    <n v="19.8"/>
    <s v="null"/>
    <s v="null"/>
    <s v="null"/>
    <s v="null"/>
    <s v="null"/>
    <s v="null"/>
    <n v="752"/>
    <n v="3.59"/>
    <n v="3.1"/>
    <n v="4.2"/>
    <s v="Uber Wallet"/>
  </r>
  <r>
    <d v="2024-11-28T00:00:00"/>
    <s v="November"/>
    <d v="1899-12-30T19:13:11"/>
    <s v="&quot;CNR4505512&quot;"/>
    <s v="Completed"/>
    <s v="&quot;CID9972042&quot;"/>
    <x v="1"/>
    <s v="Azadpur"/>
    <s v="Karol Bagh"/>
    <n v="9.6999999999999993"/>
    <n v="41.9"/>
    <s v="null"/>
    <s v="null"/>
    <s v="null"/>
    <s v="null"/>
    <s v="null"/>
    <s v="null"/>
    <n v="354"/>
    <n v="30.56"/>
    <n v="4.5"/>
    <n v="4.5999999999999996"/>
    <s v="UPI"/>
  </r>
  <r>
    <d v="2024-07-09T00:00:00"/>
    <s v="July"/>
    <d v="1899-12-30T17:50:12"/>
    <s v="&quot;CNR2952471&quot;"/>
    <s v="Completed"/>
    <s v="&quot;CID7453414&quot;"/>
    <x v="1"/>
    <s v="Sikanderpur"/>
    <s v="Ashok Park Main"/>
    <n v="14.3"/>
    <n v="24.4"/>
    <s v="null"/>
    <s v="null"/>
    <s v="null"/>
    <s v="null"/>
    <s v="null"/>
    <s v="null"/>
    <n v="164"/>
    <n v="13.69"/>
    <n v="3.6"/>
    <n v="4.9000000000000004"/>
    <s v="UPI"/>
  </r>
  <r>
    <d v="2024-01-26T00:00:00"/>
    <s v="January"/>
    <d v="1899-12-30T08:33:15"/>
    <s v="&quot;CNR6598077&quot;"/>
    <s v="Completed"/>
    <s v="&quot;CID6258739&quot;"/>
    <x v="4"/>
    <s v="Kherki Daula Toll"/>
    <s v="Mansarovar Park"/>
    <n v="11.5"/>
    <n v="16.600000000000001"/>
    <s v="null"/>
    <s v="null"/>
    <s v="null"/>
    <s v="null"/>
    <s v="null"/>
    <s v="null"/>
    <n v="392"/>
    <n v="45.56"/>
    <n v="4.0999999999999996"/>
    <n v="4.5999999999999996"/>
    <s v="UPI"/>
  </r>
  <r>
    <d v="2024-08-31T00:00:00"/>
    <s v="August"/>
    <d v="1899-12-30T09:13:21"/>
    <s v="&quot;CNR9384775&quot;"/>
    <s v="Cancelled by Driver"/>
    <s v="&quot;CID3283799&quot;"/>
    <x v="5"/>
    <s v="Gurgaon Sector 29"/>
    <s v="Mayur Vihar"/>
    <n v="7.9"/>
    <s v="null"/>
    <s v="null"/>
    <s v="null"/>
    <n v="1"/>
    <s v="More than permitted people in there"/>
    <s v="null"/>
    <s v="null"/>
    <s v="null"/>
    <s v="null"/>
    <s v="null"/>
    <s v="null"/>
    <s v="null"/>
  </r>
  <r>
    <d v="2024-01-07T00:00:00"/>
    <s v="January"/>
    <d v="1899-12-30T13:40:36"/>
    <s v="&quot;CNR8339893&quot;"/>
    <s v="Completed"/>
    <s v="&quot;CID4931264&quot;"/>
    <x v="4"/>
    <s v="MG Road"/>
    <s v="Vatika Chowk"/>
    <n v="9.3000000000000007"/>
    <n v="28.7"/>
    <s v="null"/>
    <s v="null"/>
    <s v="null"/>
    <s v="null"/>
    <s v="null"/>
    <s v="null"/>
    <n v="389"/>
    <n v="42.16"/>
    <n v="4.5"/>
    <n v="4.3"/>
    <s v="Credit Card"/>
  </r>
  <r>
    <d v="2024-06-20T00:00:00"/>
    <s v="June"/>
    <d v="1899-12-30T19:24:53"/>
    <s v="&quot;CNR8642454&quot;"/>
    <s v="Completed"/>
    <s v="&quot;CID5873082&quot;"/>
    <x v="2"/>
    <s v="Subhash Nagar"/>
    <s v="Shivaji Park"/>
    <n v="5.4"/>
    <n v="33.1"/>
    <s v="null"/>
    <s v="null"/>
    <s v="null"/>
    <s v="null"/>
    <s v="null"/>
    <s v="null"/>
    <n v="474"/>
    <n v="38.28"/>
    <n v="4.5999999999999996"/>
    <n v="3.5"/>
    <s v="UPI"/>
  </r>
  <r>
    <d v="2024-01-27T00:00:00"/>
    <s v="January"/>
    <d v="1899-12-30T15:47:38"/>
    <s v="&quot;CNR4994271&quot;"/>
    <s v="Cancelled by Driver"/>
    <s v="&quot;CID7526547&quot;"/>
    <x v="2"/>
    <s v="Vasant Kunj"/>
    <s v="Central Secretariat"/>
    <n v="11.9"/>
    <s v="null"/>
    <s v="null"/>
    <s v="null"/>
    <n v="1"/>
    <s v="More than permitted people in there"/>
    <s v="null"/>
    <s v="null"/>
    <s v="null"/>
    <s v="null"/>
    <s v="null"/>
    <s v="null"/>
    <s v="null"/>
  </r>
  <r>
    <d v="2024-12-30T00:00:00"/>
    <s v="December"/>
    <d v="1899-12-30T10:07:55"/>
    <s v="&quot;CNR1394951&quot;"/>
    <s v="Completed"/>
    <s v="&quot;CID3357025&quot;"/>
    <x v="4"/>
    <s v="New Delhi Railway Station"/>
    <s v="IMT Manesar"/>
    <n v="7.8"/>
    <n v="43.2"/>
    <s v="null"/>
    <s v="null"/>
    <s v="null"/>
    <s v="null"/>
    <s v="null"/>
    <s v="null"/>
    <n v="199"/>
    <n v="31.51"/>
    <n v="4.7"/>
    <n v="5"/>
    <s v="UPI"/>
  </r>
  <r>
    <d v="2024-07-05T00:00:00"/>
    <s v="July"/>
    <d v="1899-12-30T16:39:18"/>
    <s v="&quot;CNR1407529&quot;"/>
    <s v="No Driver Found"/>
    <s v="&quot;CID6340251&quot;"/>
    <x v="2"/>
    <s v="Kashmere Gate"/>
    <s v="Panipat"/>
    <s v="null"/>
    <s v="null"/>
    <s v="null"/>
    <s v="null"/>
    <s v="null"/>
    <s v="null"/>
    <s v="null"/>
    <s v="null"/>
    <s v="null"/>
    <s v="null"/>
    <s v="null"/>
    <s v="null"/>
    <s v="null"/>
  </r>
  <r>
    <d v="2024-11-16T00:00:00"/>
    <s v="November"/>
    <d v="1899-12-30T01:13:00"/>
    <s v="&quot;CNR4753901&quot;"/>
    <s v="Completed"/>
    <s v="&quot;CID5097394&quot;"/>
    <x v="2"/>
    <s v="Delhi Gate"/>
    <s v="Preet Vihar"/>
    <n v="14.9"/>
    <n v="16.899999999999999"/>
    <s v="null"/>
    <s v="null"/>
    <s v="null"/>
    <s v="null"/>
    <s v="null"/>
    <s v="null"/>
    <n v="1428"/>
    <n v="42.45"/>
    <n v="4.4000000000000004"/>
    <n v="4.2"/>
    <s v="Uber Wallet"/>
  </r>
  <r>
    <d v="2024-10-28T00:00:00"/>
    <s v="October"/>
    <d v="1899-12-30T19:32:23"/>
    <s v="&quot;CNR9691213&quot;"/>
    <s v="Completed"/>
    <s v="&quot;CID3621515&quot;"/>
    <x v="0"/>
    <s v="Patel Chowk"/>
    <s v="Jor Bagh"/>
    <n v="8.8000000000000007"/>
    <n v="26.8"/>
    <s v="null"/>
    <s v="null"/>
    <s v="null"/>
    <s v="null"/>
    <s v="null"/>
    <s v="null"/>
    <n v="85"/>
    <n v="16.059999999999999"/>
    <n v="3.9"/>
    <n v="4.5999999999999996"/>
    <s v="Cash"/>
  </r>
  <r>
    <d v="2024-09-09T00:00:00"/>
    <s v="September"/>
    <d v="1899-12-30T07:04:20"/>
    <s v="&quot;CNR8384151&quot;"/>
    <s v="No Driver Found"/>
    <s v="&quot;CID1220681&quot;"/>
    <x v="1"/>
    <s v="Old Gurgaon"/>
    <s v="Ghitorni Village"/>
    <s v="null"/>
    <s v="null"/>
    <s v="null"/>
    <s v="null"/>
    <s v="null"/>
    <s v="null"/>
    <s v="null"/>
    <s v="null"/>
    <s v="null"/>
    <s v="null"/>
    <s v="null"/>
    <s v="null"/>
    <s v="null"/>
  </r>
  <r>
    <d v="2024-02-11T00:00:00"/>
    <s v="February"/>
    <d v="1899-12-30T14:59:55"/>
    <s v="&quot;CNR3021480&quot;"/>
    <s v="Completed"/>
    <s v="&quot;CID4650265&quot;"/>
    <x v="4"/>
    <s v="Sarojini Nagar"/>
    <s v="Rajiv Nagar"/>
    <n v="9.5"/>
    <n v="22.5"/>
    <s v="null"/>
    <s v="null"/>
    <s v="null"/>
    <s v="null"/>
    <s v="null"/>
    <s v="null"/>
    <n v="550"/>
    <n v="38.24"/>
    <n v="4.5"/>
    <n v="4.5"/>
    <s v="UPI"/>
  </r>
  <r>
    <d v="2024-03-01T00:00:00"/>
    <s v="March"/>
    <d v="1899-12-30T15:54:57"/>
    <s v="&quot;CNR5099092&quot;"/>
    <s v="Completed"/>
    <s v="&quot;CID6408750&quot;"/>
    <x v="2"/>
    <s v="Ashok Park Main"/>
    <s v="Noida Extension"/>
    <n v="12.2"/>
    <n v="20.5"/>
    <s v="null"/>
    <s v="null"/>
    <s v="null"/>
    <s v="null"/>
    <s v="null"/>
    <s v="null"/>
    <n v="988"/>
    <n v="22.13"/>
    <n v="4.2"/>
    <n v="4.5999999999999996"/>
    <s v="UPI"/>
  </r>
  <r>
    <d v="2024-04-17T00:00:00"/>
    <s v="April"/>
    <d v="1899-12-30T18:01:19"/>
    <s v="&quot;CNR9417908&quot;"/>
    <s v="No Driver Found"/>
    <s v="&quot;CID1765887&quot;"/>
    <x v="1"/>
    <s v="Narsinghpur"/>
    <s v="Indirapuram"/>
    <s v="null"/>
    <s v="null"/>
    <s v="null"/>
    <s v="null"/>
    <s v="null"/>
    <s v="null"/>
    <s v="null"/>
    <s v="null"/>
    <s v="null"/>
    <s v="null"/>
    <s v="null"/>
    <s v="null"/>
    <s v="null"/>
  </r>
  <r>
    <d v="2024-05-23T00:00:00"/>
    <s v="May"/>
    <d v="1899-12-30T12:07:41"/>
    <s v="&quot;CNR5725380&quot;"/>
    <s v="Completed"/>
    <s v="&quot;CID7776460&quot;"/>
    <x v="5"/>
    <s v="Mansarovar Park"/>
    <s v="Faridabad Sector 15"/>
    <n v="3.3"/>
    <n v="32.1"/>
    <s v="null"/>
    <s v="null"/>
    <s v="null"/>
    <s v="null"/>
    <s v="null"/>
    <s v="null"/>
    <n v="112"/>
    <n v="20.079999999999998"/>
    <n v="3.3"/>
    <n v="4.9000000000000004"/>
    <s v="Cash"/>
  </r>
  <r>
    <d v="2024-10-06T00:00:00"/>
    <s v="October"/>
    <d v="1899-12-30T19:21:11"/>
    <s v="&quot;CNR9210257&quot;"/>
    <s v="Cancelled by Driver"/>
    <s v="&quot;CID8880509&quot;"/>
    <x v="4"/>
    <s v="Rithala"/>
    <s v="Faridabad Sector 15"/>
    <n v="4.7"/>
    <s v="null"/>
    <s v="null"/>
    <s v="null"/>
    <n v="1"/>
    <s v="The customer was coughing/sick"/>
    <s v="null"/>
    <s v="null"/>
    <s v="null"/>
    <s v="null"/>
    <s v="null"/>
    <s v="null"/>
    <s v="null"/>
  </r>
  <r>
    <d v="2024-02-28T00:00:00"/>
    <s v="February"/>
    <d v="1899-12-30T22:19:35"/>
    <s v="&quot;CNR9628662&quot;"/>
    <s v="Completed"/>
    <s v="&quot;CID5384137&quot;"/>
    <x v="4"/>
    <s v="Peeragarhi"/>
    <s v="Laxmi Nagar"/>
    <n v="13.5"/>
    <n v="29.7"/>
    <s v="null"/>
    <s v="null"/>
    <s v="null"/>
    <s v="null"/>
    <s v="null"/>
    <s v="null"/>
    <n v="81"/>
    <n v="45.98"/>
    <n v="3.5"/>
    <n v="3.8"/>
    <s v="UPI"/>
  </r>
  <r>
    <d v="2024-07-17T00:00:00"/>
    <s v="July"/>
    <d v="1899-12-30T18:22:12"/>
    <s v="&quot;CNR4861079&quot;"/>
    <s v="Completed"/>
    <s v="&quot;CID8412868&quot;"/>
    <x v="5"/>
    <s v="Manesar"/>
    <s v="ITO"/>
    <n v="3.7"/>
    <n v="42.8"/>
    <s v="null"/>
    <s v="null"/>
    <s v="null"/>
    <s v="null"/>
    <s v="null"/>
    <s v="null"/>
    <n v="262"/>
    <n v="10.94"/>
    <n v="4.2"/>
    <n v="4.2"/>
    <s v="UPI"/>
  </r>
  <r>
    <d v="2024-08-29T00:00:00"/>
    <s v="August"/>
    <d v="1899-12-30T20:28:56"/>
    <s v="&quot;CNR6840765&quot;"/>
    <s v="Completed"/>
    <s v="&quot;CID6985236&quot;"/>
    <x v="2"/>
    <s v="Moti Nagar"/>
    <s v="Punjabi Bagh"/>
    <n v="10.4"/>
    <n v="31"/>
    <s v="null"/>
    <s v="null"/>
    <s v="null"/>
    <s v="null"/>
    <s v="null"/>
    <s v="null"/>
    <n v="259"/>
    <n v="49.84"/>
    <n v="3.8"/>
    <n v="4.3"/>
    <s v="Uber Wallet"/>
  </r>
  <r>
    <d v="2024-06-02T00:00:00"/>
    <s v="June"/>
    <d v="1899-12-30T14:13:53"/>
    <s v="&quot;CNR7149289&quot;"/>
    <s v="Completed"/>
    <s v="&quot;CID2607906&quot;"/>
    <x v="3"/>
    <s v="New Delhi Railway Station"/>
    <s v="Rohini West"/>
    <n v="8.8000000000000007"/>
    <n v="33.1"/>
    <s v="null"/>
    <s v="null"/>
    <s v="null"/>
    <s v="null"/>
    <s v="null"/>
    <s v="null"/>
    <n v="1350"/>
    <n v="24.97"/>
    <n v="4.7"/>
    <n v="3.1"/>
    <s v="Cash"/>
  </r>
  <r>
    <d v="2024-12-16T00:00:00"/>
    <s v="December"/>
    <d v="1899-12-30T21:22:34"/>
    <s v="&quot;CNR5646656&quot;"/>
    <s v="Completed"/>
    <s v="&quot;CID7110646&quot;"/>
    <x v="3"/>
    <s v="Pitampura"/>
    <s v="Kashmere Gate"/>
    <n v="14.3"/>
    <n v="23.9"/>
    <s v="null"/>
    <s v="null"/>
    <s v="null"/>
    <s v="null"/>
    <s v="null"/>
    <s v="null"/>
    <n v="302"/>
    <n v="32.94"/>
    <n v="4.5999999999999996"/>
    <n v="4.7"/>
    <s v="Cash"/>
  </r>
  <r>
    <d v="2024-07-23T00:00:00"/>
    <s v="July"/>
    <d v="1899-12-30T06:55:05"/>
    <s v="&quot;CNR9029118&quot;"/>
    <s v="Completed"/>
    <s v="&quot;CID1178335&quot;"/>
    <x v="1"/>
    <s v="New Delhi Railway Station"/>
    <s v="Arjangarh"/>
    <n v="6.2"/>
    <n v="23.1"/>
    <s v="null"/>
    <s v="null"/>
    <s v="null"/>
    <s v="null"/>
    <s v="null"/>
    <s v="null"/>
    <n v="414"/>
    <n v="22.9"/>
    <n v="4.8"/>
    <n v="4.8"/>
    <s v="UPI"/>
  </r>
  <r>
    <d v="2024-05-13T00:00:00"/>
    <s v="May"/>
    <d v="1899-12-30T18:48:35"/>
    <s v="&quot;CNR1382273&quot;"/>
    <s v="Completed"/>
    <s v="&quot;CID4784516&quot;"/>
    <x v="1"/>
    <s v="Tughlakabad"/>
    <s v="Chandni Chowk"/>
    <n v="2.9"/>
    <n v="25.1"/>
    <s v="null"/>
    <s v="null"/>
    <s v="null"/>
    <s v="null"/>
    <s v="null"/>
    <s v="null"/>
    <n v="135"/>
    <n v="29.53"/>
    <n v="4.2"/>
    <n v="4.3"/>
    <s v="Cash"/>
  </r>
  <r>
    <d v="2024-11-18T00:00:00"/>
    <s v="November"/>
    <d v="1899-12-30T04:29:44"/>
    <s v="&quot;CNR6853176&quot;"/>
    <s v="Completed"/>
    <s v="&quot;CID9879542&quot;"/>
    <x v="2"/>
    <s v="Ghitorni"/>
    <s v="Ashok Park Main"/>
    <n v="12.3"/>
    <n v="21.4"/>
    <s v="null"/>
    <s v="null"/>
    <s v="null"/>
    <s v="null"/>
    <s v="null"/>
    <s v="null"/>
    <n v="212"/>
    <n v="32.840000000000003"/>
    <n v="4.0999999999999996"/>
    <n v="4.7"/>
    <s v="Credit Card"/>
  </r>
  <r>
    <d v="2024-09-21T00:00:00"/>
    <s v="September"/>
    <d v="1899-12-30T06:00:16"/>
    <s v="&quot;CNR4173313&quot;"/>
    <s v="Completed"/>
    <s v="&quot;CID3059204&quot;"/>
    <x v="2"/>
    <s v="Kalkaji"/>
    <s v="Model Town"/>
    <n v="13.2"/>
    <n v="32.6"/>
    <s v="null"/>
    <s v="null"/>
    <s v="null"/>
    <s v="null"/>
    <s v="null"/>
    <s v="null"/>
    <n v="865"/>
    <n v="3.77"/>
    <n v="4.0999999999999996"/>
    <n v="4.4000000000000004"/>
    <s v="UPI"/>
  </r>
  <r>
    <d v="2024-05-07T00:00:00"/>
    <s v="May"/>
    <d v="1899-12-30T22:34:50"/>
    <s v="&quot;CNR6569520&quot;"/>
    <s v="Completed"/>
    <s v="&quot;CID8847335&quot;"/>
    <x v="3"/>
    <s v="Huda City Centre"/>
    <s v="Shahdara"/>
    <n v="2.6"/>
    <n v="36.9"/>
    <s v="null"/>
    <s v="null"/>
    <s v="null"/>
    <s v="null"/>
    <s v="null"/>
    <s v="null"/>
    <n v="255"/>
    <n v="24.12"/>
    <n v="4.2"/>
    <n v="4.4000000000000004"/>
    <s v="UPI"/>
  </r>
  <r>
    <d v="2024-04-16T00:00:00"/>
    <s v="April"/>
    <d v="1899-12-30T11:16:28"/>
    <s v="&quot;CNR4180467&quot;"/>
    <s v="Completed"/>
    <s v="&quot;CID9145538&quot;"/>
    <x v="5"/>
    <s v="IMT Manesar"/>
    <s v="Kashmere Gate ISBT"/>
    <n v="5.6"/>
    <n v="32.6"/>
    <s v="null"/>
    <s v="null"/>
    <s v="null"/>
    <s v="null"/>
    <s v="null"/>
    <s v="null"/>
    <n v="273"/>
    <n v="38.01"/>
    <n v="4.0999999999999996"/>
    <n v="4.2"/>
    <s v="Credit Card"/>
  </r>
  <r>
    <d v="2024-11-10T00:00:00"/>
    <s v="November"/>
    <d v="1899-12-30T17:33:35"/>
    <s v="&quot;CNR2790295&quot;"/>
    <s v="Incomplete"/>
    <s v="&quot;CID1412150&quot;"/>
    <x v="2"/>
    <s v="Bhikaji Cama Place"/>
    <s v="RK Puram"/>
    <n v="4.5999999999999996"/>
    <n v="17.2"/>
    <s v="null"/>
    <s v="null"/>
    <s v="null"/>
    <s v="null"/>
    <n v="1"/>
    <s v="Vehicle Breakdown"/>
    <n v="545"/>
    <n v="1.67"/>
    <s v="null"/>
    <s v="null"/>
    <s v="UPI"/>
  </r>
  <r>
    <d v="2024-11-19T00:00:00"/>
    <s v="November"/>
    <d v="1899-12-30T07:28:25"/>
    <s v="&quot;CNR7051731&quot;"/>
    <s v="Completed"/>
    <s v="&quot;CID4562056&quot;"/>
    <x v="3"/>
    <s v="Jor Bagh"/>
    <s v="India Gate"/>
    <n v="4.5999999999999996"/>
    <n v="27.3"/>
    <s v="null"/>
    <s v="null"/>
    <s v="null"/>
    <s v="null"/>
    <s v="null"/>
    <s v="null"/>
    <n v="477"/>
    <n v="14.39"/>
    <n v="4.3"/>
    <n v="3.6"/>
    <s v="Credit Card"/>
  </r>
  <r>
    <d v="2024-10-11T00:00:00"/>
    <s v="October"/>
    <d v="1899-12-30T10:59:30"/>
    <s v="&quot;CNR7941158&quot;"/>
    <s v="Completed"/>
    <s v="&quot;CID5590862&quot;"/>
    <x v="2"/>
    <s v="IGI Airport"/>
    <s v="Sarai Kale Khan"/>
    <n v="14.1"/>
    <n v="33.9"/>
    <s v="null"/>
    <s v="null"/>
    <s v="null"/>
    <s v="null"/>
    <s v="null"/>
    <s v="null"/>
    <n v="197"/>
    <n v="7.33"/>
    <n v="4"/>
    <n v="4.5999999999999996"/>
    <s v="UPI"/>
  </r>
  <r>
    <d v="2024-02-24T00:00:00"/>
    <s v="February"/>
    <d v="1899-12-30T22:18:11"/>
    <s v="&quot;CNR6060166&quot;"/>
    <s v="Completed"/>
    <s v="&quot;CID4821084&quot;"/>
    <x v="5"/>
    <s v="Green Park"/>
    <s v="Kadarpur"/>
    <n v="12.8"/>
    <n v="23.7"/>
    <s v="null"/>
    <s v="null"/>
    <s v="null"/>
    <s v="null"/>
    <s v="null"/>
    <s v="null"/>
    <n v="366"/>
    <n v="38.630000000000003"/>
    <n v="4.3"/>
    <n v="4.0999999999999996"/>
    <s v="Credit Card"/>
  </r>
  <r>
    <d v="2024-08-18T00:00:00"/>
    <s v="August"/>
    <d v="1899-12-30T17:40:11"/>
    <s v="&quot;CNR3654081&quot;"/>
    <s v="Completed"/>
    <s v="&quot;CID2244993&quot;"/>
    <x v="5"/>
    <s v="Green Park"/>
    <s v="Khan Market"/>
    <n v="2.1"/>
    <n v="19.7"/>
    <s v="null"/>
    <s v="null"/>
    <s v="null"/>
    <s v="null"/>
    <s v="null"/>
    <s v="null"/>
    <n v="1595"/>
    <n v="42.13"/>
    <n v="4.4000000000000004"/>
    <n v="4.4000000000000004"/>
    <s v="UPI"/>
  </r>
  <r>
    <d v="2024-08-13T00:00:00"/>
    <s v="August"/>
    <d v="1899-12-30T07:49:28"/>
    <s v="&quot;CNR5873302&quot;"/>
    <s v="Completed"/>
    <s v="&quot;CID9655995&quot;"/>
    <x v="1"/>
    <s v="Ashram"/>
    <s v="Ambience Mall"/>
    <n v="6.9"/>
    <n v="16.600000000000001"/>
    <s v="null"/>
    <s v="null"/>
    <s v="null"/>
    <s v="null"/>
    <s v="null"/>
    <s v="null"/>
    <n v="391"/>
    <n v="24.16"/>
    <n v="3.8"/>
    <n v="4.3"/>
    <s v="Credit Card"/>
  </r>
  <r>
    <d v="2024-07-01T00:00:00"/>
    <s v="July"/>
    <d v="1899-12-30T17:17:59"/>
    <s v="&quot;CNR2376738&quot;"/>
    <s v="Completed"/>
    <s v="&quot;CID3235147&quot;"/>
    <x v="1"/>
    <s v="Kherki Daula Toll"/>
    <s v="DLF Phase 3"/>
    <n v="2.6"/>
    <n v="27.9"/>
    <s v="null"/>
    <s v="null"/>
    <s v="null"/>
    <s v="null"/>
    <s v="null"/>
    <s v="null"/>
    <n v="313"/>
    <n v="33.08"/>
    <n v="4.7"/>
    <n v="4.2"/>
    <s v="UPI"/>
  </r>
  <r>
    <d v="2024-05-01T00:00:00"/>
    <s v="May"/>
    <d v="1899-12-30T22:36:04"/>
    <s v="&quot;CNR9602212&quot;"/>
    <s v="Completed"/>
    <s v="&quot;CID5828701&quot;"/>
    <x v="4"/>
    <s v="Khandsa"/>
    <s v="Lok Kalyan Marg"/>
    <n v="12.6"/>
    <n v="28.1"/>
    <s v="null"/>
    <s v="null"/>
    <s v="null"/>
    <s v="null"/>
    <s v="null"/>
    <s v="null"/>
    <n v="402"/>
    <n v="45.13"/>
    <n v="4.3"/>
    <n v="5"/>
    <s v="UPI"/>
  </r>
  <r>
    <d v="2024-05-27T00:00:00"/>
    <s v="May"/>
    <d v="1899-12-30T22:28:41"/>
    <s v="&quot;CNR6592194&quot;"/>
    <s v="Completed"/>
    <s v="&quot;CID5470490&quot;"/>
    <x v="1"/>
    <s v="Chhatarpur"/>
    <s v="Ardee City"/>
    <n v="4"/>
    <n v="30.1"/>
    <s v="null"/>
    <s v="null"/>
    <s v="null"/>
    <s v="null"/>
    <s v="null"/>
    <s v="null"/>
    <n v="62"/>
    <n v="14.15"/>
    <n v="4.7"/>
    <n v="4.3"/>
    <s v="Cash"/>
  </r>
  <r>
    <d v="2024-12-05T00:00:00"/>
    <s v="December"/>
    <d v="1899-12-30T18:34:10"/>
    <s v="&quot;CNR7634326&quot;"/>
    <s v="Cancelled by Customer"/>
    <s v="&quot;CID9472411&quot;"/>
    <x v="4"/>
    <s v="Mehrauli"/>
    <s v="AIIMS"/>
    <n v="9.9"/>
    <s v="null"/>
    <n v="1"/>
    <s v="Driver is not moving towards pickup location"/>
    <s v="null"/>
    <s v="null"/>
    <s v="null"/>
    <s v="null"/>
    <s v="null"/>
    <s v="null"/>
    <s v="null"/>
    <s v="null"/>
    <s v="null"/>
  </r>
  <r>
    <d v="2024-12-04T00:00:00"/>
    <s v="December"/>
    <d v="1899-12-30T17:15:22"/>
    <s v="&quot;CNR2442969&quot;"/>
    <s v="Completed"/>
    <s v="&quot;CID6529917&quot;"/>
    <x v="2"/>
    <s v="Ghaziabad"/>
    <s v="Sarojini Nagar"/>
    <n v="13.7"/>
    <n v="37.200000000000003"/>
    <s v="null"/>
    <s v="null"/>
    <s v="null"/>
    <s v="null"/>
    <s v="null"/>
    <s v="null"/>
    <n v="602"/>
    <n v="9.9"/>
    <n v="4.9000000000000004"/>
    <n v="3.7"/>
    <s v="UPI"/>
  </r>
  <r>
    <d v="2024-02-11T00:00:00"/>
    <s v="February"/>
    <d v="1899-12-30T21:11:22"/>
    <s v="&quot;CNR2445755&quot;"/>
    <s v="Incomplete"/>
    <s v="&quot;CID9195579&quot;"/>
    <x v="2"/>
    <s v="Manesar"/>
    <s v="AIIMS"/>
    <n v="10"/>
    <n v="28.9"/>
    <s v="null"/>
    <s v="null"/>
    <s v="null"/>
    <s v="null"/>
    <n v="1"/>
    <s v="Customer Demand"/>
    <n v="545"/>
    <n v="6.09"/>
    <s v="null"/>
    <s v="null"/>
    <s v="UPI"/>
  </r>
  <r>
    <d v="2024-05-31T00:00:00"/>
    <s v="May"/>
    <d v="1899-12-30T14:34:29"/>
    <s v="&quot;CNR2715860&quot;"/>
    <s v="Completed"/>
    <s v="&quot;CID6891894&quot;"/>
    <x v="5"/>
    <s v="IMT Manesar"/>
    <s v="Rajiv Chowk"/>
    <n v="13.4"/>
    <n v="27.8"/>
    <s v="null"/>
    <s v="null"/>
    <s v="null"/>
    <s v="null"/>
    <s v="null"/>
    <s v="null"/>
    <n v="560"/>
    <n v="25.68"/>
    <n v="4.3"/>
    <n v="4.5"/>
    <s v="Cash"/>
  </r>
  <r>
    <d v="2024-03-31T00:00:00"/>
    <s v="March"/>
    <d v="1899-12-30T21:13:34"/>
    <s v="&quot;CNR1203467&quot;"/>
    <s v="Incomplete"/>
    <s v="&quot;CID6344325&quot;"/>
    <x v="2"/>
    <s v="Subhash Nagar"/>
    <s v="Greater Noida"/>
    <n v="3.2"/>
    <n v="16.5"/>
    <s v="null"/>
    <s v="null"/>
    <s v="null"/>
    <s v="null"/>
    <n v="1"/>
    <s v="Vehicle Breakdown"/>
    <n v="1383"/>
    <n v="5.41"/>
    <s v="null"/>
    <s v="null"/>
    <s v="UPI"/>
  </r>
  <r>
    <d v="2024-09-15T00:00:00"/>
    <s v="September"/>
    <d v="1899-12-30T09:57:51"/>
    <s v="&quot;CNR2694709&quot;"/>
    <s v="Completed"/>
    <s v="&quot;CID5054240&quot;"/>
    <x v="4"/>
    <s v="Shivaji Park"/>
    <s v="Vishwavidyalaya"/>
    <n v="10.1"/>
    <n v="39.299999999999997"/>
    <s v="null"/>
    <s v="null"/>
    <s v="null"/>
    <s v="null"/>
    <s v="null"/>
    <s v="null"/>
    <n v="439"/>
    <n v="44.05"/>
    <n v="4.5999999999999996"/>
    <n v="4.5999999999999996"/>
    <s v="Cash"/>
  </r>
  <r>
    <d v="2024-03-14T00:00:00"/>
    <s v="March"/>
    <d v="1899-12-30T10:45:22"/>
    <s v="&quot;CNR7417664&quot;"/>
    <s v="No Driver Found"/>
    <s v="&quot;CID2502556&quot;"/>
    <x v="4"/>
    <s v="AIIMS"/>
    <s v="Paharganj"/>
    <s v="null"/>
    <s v="null"/>
    <s v="null"/>
    <s v="null"/>
    <s v="null"/>
    <s v="null"/>
    <s v="null"/>
    <s v="null"/>
    <s v="null"/>
    <s v="null"/>
    <s v="null"/>
    <s v="null"/>
    <s v="null"/>
  </r>
  <r>
    <d v="2024-11-22T00:00:00"/>
    <s v="November"/>
    <d v="1899-12-30T20:54:30"/>
    <s v="&quot;CNR8464596&quot;"/>
    <s v="Completed"/>
    <s v="&quot;CID3292156&quot;"/>
    <x v="4"/>
    <s v="Pragati Maidan"/>
    <s v="Punjabi Bagh"/>
    <n v="10.7"/>
    <n v="32"/>
    <s v="null"/>
    <s v="null"/>
    <s v="null"/>
    <s v="null"/>
    <s v="null"/>
    <s v="null"/>
    <n v="83"/>
    <n v="16.64"/>
    <n v="4.2"/>
    <n v="4.0999999999999996"/>
    <s v="Uber Wallet"/>
  </r>
  <r>
    <d v="2024-09-30T00:00:00"/>
    <s v="September"/>
    <d v="1899-12-30T10:53:55"/>
    <s v="&quot;CNR3139965&quot;"/>
    <s v="Incomplete"/>
    <s v="&quot;CID4038754&quot;"/>
    <x v="4"/>
    <s v="Dwarka Sector 21"/>
    <s v="Akshardham"/>
    <n v="5.5"/>
    <n v="13.2"/>
    <s v="null"/>
    <s v="null"/>
    <s v="null"/>
    <s v="null"/>
    <n v="1"/>
    <s v="Customer Demand"/>
    <n v="745"/>
    <n v="9.56"/>
    <s v="null"/>
    <s v="null"/>
    <s v="Cash"/>
  </r>
  <r>
    <d v="2024-11-16T00:00:00"/>
    <s v="November"/>
    <d v="1899-12-30T20:20:27"/>
    <s v="&quot;CNR2915357&quot;"/>
    <s v="Completed"/>
    <s v="&quot;CID2023665&quot;"/>
    <x v="3"/>
    <s v="Manesar"/>
    <s v="Madipur"/>
    <n v="6.3"/>
    <n v="19.5"/>
    <s v="null"/>
    <s v="null"/>
    <s v="null"/>
    <s v="null"/>
    <s v="null"/>
    <s v="null"/>
    <n v="171"/>
    <n v="32.47"/>
    <n v="4.9000000000000004"/>
    <n v="3.4"/>
    <s v="Credit Card"/>
  </r>
  <r>
    <d v="2024-12-22T00:00:00"/>
    <s v="December"/>
    <d v="1899-12-30T17:07:56"/>
    <s v="&quot;CNR9066364&quot;"/>
    <s v="No Driver Found"/>
    <s v="&quot;CID8737089&quot;"/>
    <x v="2"/>
    <s v="IGNOU Road"/>
    <s v="Botanical Garden"/>
    <s v="null"/>
    <s v="null"/>
    <s v="null"/>
    <s v="null"/>
    <s v="null"/>
    <s v="null"/>
    <s v="null"/>
    <s v="null"/>
    <s v="null"/>
    <s v="null"/>
    <s v="null"/>
    <s v="null"/>
    <s v="null"/>
  </r>
  <r>
    <d v="2024-10-19T00:00:00"/>
    <s v="October"/>
    <d v="1899-12-30T16:56:38"/>
    <s v="&quot;CNR5895057&quot;"/>
    <s v="Completed"/>
    <s v="&quot;CID2439467&quot;"/>
    <x v="6"/>
    <s v="Ghitorni"/>
    <s v="Saidulajab"/>
    <n v="6.5"/>
    <n v="16.8"/>
    <s v="null"/>
    <s v="null"/>
    <s v="null"/>
    <s v="null"/>
    <s v="null"/>
    <s v="null"/>
    <n v="401"/>
    <n v="22.96"/>
    <n v="3.8"/>
    <n v="4.5"/>
    <s v="Uber Wallet"/>
  </r>
  <r>
    <d v="2024-07-01T00:00:00"/>
    <s v="July"/>
    <d v="1899-12-30T04:48:26"/>
    <s v="&quot;CNR2540295&quot;"/>
    <s v="Cancelled by Driver"/>
    <s v="&quot;CID9167744&quot;"/>
    <x v="2"/>
    <s v="Noida Sector 18"/>
    <s v="Kherki Daula Toll"/>
    <n v="8.3000000000000007"/>
    <s v="null"/>
    <s v="null"/>
    <s v="null"/>
    <n v="1"/>
    <s v="More than permitted people in there"/>
    <s v="null"/>
    <s v="null"/>
    <s v="null"/>
    <s v="null"/>
    <s v="null"/>
    <s v="null"/>
    <s v="null"/>
  </r>
  <r>
    <d v="2024-09-07T00:00:00"/>
    <s v="September"/>
    <d v="1899-12-30T08:12:58"/>
    <s v="&quot;CNR6162893&quot;"/>
    <s v="Completed"/>
    <s v="&quot;CID9150546&quot;"/>
    <x v="3"/>
    <s v="Moti Nagar"/>
    <s v="Nehru Place"/>
    <n v="5.2"/>
    <n v="43.9"/>
    <s v="null"/>
    <s v="null"/>
    <s v="null"/>
    <s v="null"/>
    <s v="null"/>
    <s v="null"/>
    <n v="1320"/>
    <n v="39.700000000000003"/>
    <n v="4.9000000000000004"/>
    <n v="4.9000000000000004"/>
    <s v="Debit Card"/>
  </r>
  <r>
    <d v="2024-11-08T00:00:00"/>
    <s v="November"/>
    <d v="1899-12-30T09:17:03"/>
    <s v="&quot;CNR6566275&quot;"/>
    <s v="Completed"/>
    <s v="&quot;CID2823911&quot;"/>
    <x v="1"/>
    <s v="Civil Lines Gurgaon"/>
    <s v="Kirti Nagar"/>
    <n v="14"/>
    <n v="24.3"/>
    <s v="null"/>
    <s v="null"/>
    <s v="null"/>
    <s v="null"/>
    <s v="null"/>
    <s v="null"/>
    <n v="1614"/>
    <n v="34.5"/>
    <n v="4.3"/>
    <n v="4.3"/>
    <s v="Debit Card"/>
  </r>
  <r>
    <d v="2024-11-29T00:00:00"/>
    <s v="November"/>
    <d v="1899-12-30T18:35:30"/>
    <s v="&quot;CNR2559267&quot;"/>
    <s v="Completed"/>
    <s v="&quot;CID6233700&quot;"/>
    <x v="1"/>
    <s v="South Extension"/>
    <s v="Chirag Delhi"/>
    <n v="10.6"/>
    <n v="26.8"/>
    <s v="null"/>
    <s v="null"/>
    <s v="null"/>
    <s v="null"/>
    <s v="null"/>
    <s v="null"/>
    <n v="879"/>
    <n v="22.24"/>
    <n v="4.8"/>
    <n v="4.3"/>
    <s v="Cash"/>
  </r>
  <r>
    <d v="2024-07-27T00:00:00"/>
    <s v="July"/>
    <d v="1899-12-30T15:18:54"/>
    <s v="&quot;CNR4332459&quot;"/>
    <s v="Completed"/>
    <s v="&quot;CID1542415&quot;"/>
    <x v="5"/>
    <s v="Karol Bagh"/>
    <s v="Adarsh Nagar"/>
    <n v="5.4"/>
    <n v="19"/>
    <s v="null"/>
    <s v="null"/>
    <s v="null"/>
    <s v="null"/>
    <s v="null"/>
    <s v="null"/>
    <n v="218"/>
    <n v="23.13"/>
    <n v="4.8"/>
    <n v="4.5"/>
    <s v="Cash"/>
  </r>
  <r>
    <d v="2024-04-27T00:00:00"/>
    <s v="April"/>
    <d v="1899-12-30T18:26:46"/>
    <s v="&quot;CNR3914491&quot;"/>
    <s v="Completed"/>
    <s v="&quot;CID1731276&quot;"/>
    <x v="4"/>
    <s v="Jhilmil"/>
    <s v="Keshav Puram"/>
    <n v="4.5999999999999996"/>
    <n v="39.5"/>
    <s v="null"/>
    <s v="null"/>
    <s v="null"/>
    <s v="null"/>
    <s v="null"/>
    <s v="null"/>
    <n v="165"/>
    <n v="39.31"/>
    <n v="4.3"/>
    <n v="4.7"/>
    <s v="Cash"/>
  </r>
  <r>
    <d v="2024-03-10T00:00:00"/>
    <s v="March"/>
    <d v="1899-12-30T19:50:28"/>
    <s v="&quot;CNR8735322&quot;"/>
    <s v="Completed"/>
    <s v="&quot;CID6677999&quot;"/>
    <x v="2"/>
    <s v="Kirti Nagar"/>
    <s v="MG Road"/>
    <n v="12.5"/>
    <n v="23.2"/>
    <s v="null"/>
    <s v="null"/>
    <s v="null"/>
    <s v="null"/>
    <s v="null"/>
    <s v="null"/>
    <n v="221"/>
    <n v="49.17"/>
    <n v="3.7"/>
    <n v="4.3"/>
    <s v="Cash"/>
  </r>
  <r>
    <d v="2024-03-26T00:00:00"/>
    <s v="March"/>
    <d v="1899-12-30T01:16:43"/>
    <s v="&quot;CNR7157762&quot;"/>
    <s v="Completed"/>
    <s v="&quot;CID8627938&quot;"/>
    <x v="2"/>
    <s v="Kalkaji"/>
    <s v="Ghitorni Village"/>
    <n v="5.4"/>
    <n v="19"/>
    <s v="null"/>
    <s v="null"/>
    <s v="null"/>
    <s v="null"/>
    <s v="null"/>
    <s v="null"/>
    <n v="474"/>
    <n v="46.22"/>
    <n v="4.2"/>
    <n v="4.5999999999999996"/>
    <s v="Credit Card"/>
  </r>
  <r>
    <d v="2024-07-05T00:00:00"/>
    <s v="July"/>
    <d v="1899-12-30T23:04:44"/>
    <s v="&quot;CNR1620017&quot;"/>
    <s v="Cancelled by Driver"/>
    <s v="&quot;CID4868040&quot;"/>
    <x v="2"/>
    <s v="Shivaji Park"/>
    <s v="Jahangirpuri"/>
    <n v="8.8000000000000007"/>
    <s v="null"/>
    <s v="null"/>
    <s v="null"/>
    <n v="1"/>
    <s v="The customer was coughing/sick"/>
    <s v="null"/>
    <s v="null"/>
    <s v="null"/>
    <s v="null"/>
    <s v="null"/>
    <s v="null"/>
    <s v="null"/>
  </r>
  <r>
    <d v="2024-03-05T00:00:00"/>
    <s v="March"/>
    <d v="1899-12-30T13:57:05"/>
    <s v="&quot;CNR9189398&quot;"/>
    <s v="Completed"/>
    <s v="&quot;CID5623131&quot;"/>
    <x v="4"/>
    <s v="Anand Vihar ISBT"/>
    <s v="Greater Kailash"/>
    <n v="2.6"/>
    <n v="23.4"/>
    <s v="null"/>
    <s v="null"/>
    <s v="null"/>
    <s v="null"/>
    <s v="null"/>
    <s v="null"/>
    <n v="820"/>
    <n v="22.06"/>
    <n v="4"/>
    <n v="4.4000000000000004"/>
    <s v="UPI"/>
  </r>
  <r>
    <d v="2024-11-09T00:00:00"/>
    <s v="November"/>
    <d v="1899-12-30T16:11:43"/>
    <s v="&quot;CNR9306152&quot;"/>
    <s v="No Driver Found"/>
    <s v="&quot;CID9461842&quot;"/>
    <x v="3"/>
    <s v="Dilshad Garden"/>
    <s v="Civil Lines Gurgaon"/>
    <s v="null"/>
    <s v="null"/>
    <s v="null"/>
    <s v="null"/>
    <s v="null"/>
    <s v="null"/>
    <s v="null"/>
    <s v="null"/>
    <s v="null"/>
    <s v="null"/>
    <s v="null"/>
    <s v="null"/>
    <s v="null"/>
  </r>
  <r>
    <d v="2024-12-03T00:00:00"/>
    <s v="December"/>
    <d v="1899-12-30T17:30:46"/>
    <s v="&quot;CNR4146504&quot;"/>
    <s v="Cancelled by Driver"/>
    <s v="&quot;CID3064978&quot;"/>
    <x v="2"/>
    <s v="Manesar"/>
    <s v="Kashmere Gate ISBT"/>
    <n v="8.9"/>
    <s v="null"/>
    <s v="null"/>
    <s v="null"/>
    <n v="1"/>
    <s v="Customer related issue"/>
    <s v="null"/>
    <s v="null"/>
    <s v="null"/>
    <s v="null"/>
    <s v="null"/>
    <s v="null"/>
    <s v="null"/>
  </r>
  <r>
    <d v="2024-10-25T00:00:00"/>
    <s v="October"/>
    <d v="1899-12-30T12:33:15"/>
    <s v="&quot;CNR4778731&quot;"/>
    <s v="Completed"/>
    <s v="&quot;CID7610889&quot;"/>
    <x v="4"/>
    <s v="Huda City Centre"/>
    <s v="Jama Masjid"/>
    <n v="7.5"/>
    <n v="40"/>
    <s v="null"/>
    <s v="null"/>
    <s v="null"/>
    <s v="null"/>
    <s v="null"/>
    <s v="null"/>
    <n v="358"/>
    <n v="23.98"/>
    <n v="4.3"/>
    <n v="5"/>
    <s v="Cash"/>
  </r>
  <r>
    <d v="2024-01-21T00:00:00"/>
    <s v="January"/>
    <d v="1899-12-30T00:56:01"/>
    <s v="&quot;CNR2738265&quot;"/>
    <s v="Cancelled by Driver"/>
    <s v="&quot;CID9926474&quot;"/>
    <x v="4"/>
    <s v="Nehru Place"/>
    <s v="Delhi Gate"/>
    <n v="3.8"/>
    <s v="null"/>
    <s v="null"/>
    <s v="null"/>
    <n v="1"/>
    <s v="More than permitted people in there"/>
    <s v="null"/>
    <s v="null"/>
    <s v="null"/>
    <s v="null"/>
    <s v="null"/>
    <s v="null"/>
    <s v="null"/>
  </r>
  <r>
    <d v="2024-09-27T00:00:00"/>
    <s v="September"/>
    <d v="1899-12-30T03:08:38"/>
    <s v="&quot;CNR6987972&quot;"/>
    <s v="Completed"/>
    <s v="&quot;CID6481982&quot;"/>
    <x v="3"/>
    <s v="Samaypur Badli"/>
    <s v="Cyber Hub"/>
    <n v="4"/>
    <n v="36.4"/>
    <s v="null"/>
    <s v="null"/>
    <s v="null"/>
    <s v="null"/>
    <s v="null"/>
    <s v="null"/>
    <n v="489"/>
    <n v="45.72"/>
    <n v="4.7"/>
    <n v="4.9000000000000004"/>
    <s v="UPI"/>
  </r>
  <r>
    <d v="2024-08-18T00:00:00"/>
    <s v="August"/>
    <d v="1899-12-30T22:06:38"/>
    <s v="&quot;CNR8436777&quot;"/>
    <s v="Incomplete"/>
    <s v="&quot;CID7175114&quot;"/>
    <x v="5"/>
    <s v="Jor Bagh"/>
    <s v="Shastri Nagar"/>
    <n v="5.0999999999999996"/>
    <n v="19.899999999999999"/>
    <s v="null"/>
    <s v="null"/>
    <s v="null"/>
    <s v="null"/>
    <n v="1"/>
    <s v="Other Issue"/>
    <n v="367"/>
    <n v="5.57"/>
    <s v="null"/>
    <s v="null"/>
    <s v="UPI"/>
  </r>
  <r>
    <d v="2024-03-24T00:00:00"/>
    <s v="March"/>
    <d v="1899-12-30T08:03:46"/>
    <s v="&quot;CNR3219966&quot;"/>
    <s v="Incomplete"/>
    <s v="&quot;CID1752407&quot;"/>
    <x v="5"/>
    <s v="Keshav Puram"/>
    <s v="Kashmere Gate"/>
    <n v="8"/>
    <n v="16.899999999999999"/>
    <s v="null"/>
    <s v="null"/>
    <s v="null"/>
    <s v="null"/>
    <n v="1"/>
    <s v="Other Issue"/>
    <n v="1682"/>
    <n v="7.6"/>
    <s v="null"/>
    <s v="null"/>
    <s v="Debit Card"/>
  </r>
  <r>
    <d v="2024-10-31T00:00:00"/>
    <s v="October"/>
    <d v="1899-12-30T23:36:51"/>
    <s v="&quot;CNR5313160&quot;"/>
    <s v="No Driver Found"/>
    <s v="&quot;CID9145519&quot;"/>
    <x v="5"/>
    <s v="Subhash Chowk"/>
    <s v="Basai Dhankot"/>
    <s v="null"/>
    <s v="null"/>
    <s v="null"/>
    <s v="null"/>
    <s v="null"/>
    <s v="null"/>
    <s v="null"/>
    <s v="null"/>
    <s v="null"/>
    <s v="null"/>
    <s v="null"/>
    <s v="null"/>
    <s v="null"/>
  </r>
  <r>
    <d v="2024-09-02T00:00:00"/>
    <s v="September"/>
    <d v="1899-12-30T14:34:44"/>
    <s v="&quot;CNR4346750&quot;"/>
    <s v="Completed"/>
    <s v="&quot;CID8170921&quot;"/>
    <x v="3"/>
    <s v="Gurgaon Sector 29"/>
    <s v="Indraprastha"/>
    <n v="4.3"/>
    <n v="43.5"/>
    <s v="null"/>
    <s v="null"/>
    <s v="null"/>
    <s v="null"/>
    <s v="null"/>
    <s v="null"/>
    <n v="55"/>
    <n v="3.02"/>
    <n v="4.5999999999999996"/>
    <n v="4.8"/>
    <s v="Uber Wallet"/>
  </r>
  <r>
    <d v="2024-02-04T00:00:00"/>
    <s v="February"/>
    <d v="1899-12-30T16:02:17"/>
    <s v="&quot;CNR7596432&quot;"/>
    <s v="Cancelled by Customer"/>
    <s v="&quot;CID7432968&quot;"/>
    <x v="5"/>
    <s v="Vaishali"/>
    <s v="Tis Hazari"/>
    <n v="17.600000000000001"/>
    <s v="null"/>
    <n v="1"/>
    <s v="Wrong Address"/>
    <s v="null"/>
    <s v="null"/>
    <s v="null"/>
    <s v="null"/>
    <s v="null"/>
    <s v="null"/>
    <s v="null"/>
    <s v="null"/>
    <s v="null"/>
  </r>
  <r>
    <d v="2024-02-20T00:00:00"/>
    <s v="February"/>
    <d v="1899-12-30T13:48:43"/>
    <s v="&quot;CNR7297791&quot;"/>
    <s v="Cancelled by Driver"/>
    <s v="&quot;CID7281986&quot;"/>
    <x v="3"/>
    <s v="Saket"/>
    <s v="Model Town"/>
    <n v="3.9"/>
    <s v="null"/>
    <s v="null"/>
    <s v="null"/>
    <n v="1"/>
    <s v="The customer was coughing/sick"/>
    <s v="null"/>
    <s v="null"/>
    <s v="null"/>
    <s v="null"/>
    <s v="null"/>
    <s v="null"/>
    <s v="null"/>
  </r>
  <r>
    <d v="2024-03-03T00:00:00"/>
    <s v="March"/>
    <d v="1899-12-30T00:25:56"/>
    <s v="&quot;CNR9425600&quot;"/>
    <s v="Completed"/>
    <s v="&quot;CID5989176&quot;"/>
    <x v="1"/>
    <s v="New Delhi Railway Station"/>
    <s v="Hauz Khas"/>
    <n v="4.8"/>
    <n v="29.3"/>
    <s v="null"/>
    <s v="null"/>
    <s v="null"/>
    <s v="null"/>
    <s v="null"/>
    <s v="null"/>
    <n v="395"/>
    <n v="14.95"/>
    <n v="4.5"/>
    <n v="4.2"/>
    <s v="UPI"/>
  </r>
  <r>
    <d v="2024-05-16T00:00:00"/>
    <s v="May"/>
    <d v="1899-12-30T19:35:11"/>
    <s v="&quot;CNR3823257&quot;"/>
    <s v="Completed"/>
    <s v="&quot;CID1508646&quot;"/>
    <x v="2"/>
    <s v="Preet Vihar"/>
    <s v="Kanhaiya Nagar"/>
    <n v="6.4"/>
    <n v="21.2"/>
    <s v="null"/>
    <s v="null"/>
    <s v="null"/>
    <s v="null"/>
    <s v="null"/>
    <s v="null"/>
    <n v="69"/>
    <n v="7.76"/>
    <n v="4.4000000000000004"/>
    <n v="4.7"/>
    <s v="Cash"/>
  </r>
  <r>
    <d v="2024-09-14T00:00:00"/>
    <s v="September"/>
    <d v="1899-12-30T15:45:33"/>
    <s v="&quot;CNR8967861&quot;"/>
    <s v="Cancelled by Customer"/>
    <s v="&quot;CID3540282&quot;"/>
    <x v="3"/>
    <s v="Sohna Road"/>
    <s v="Nehru Place"/>
    <n v="10.6"/>
    <s v="null"/>
    <n v="1"/>
    <s v="Driver is not moving towards pickup location"/>
    <s v="null"/>
    <s v="null"/>
    <s v="null"/>
    <s v="null"/>
    <s v="null"/>
    <s v="null"/>
    <s v="null"/>
    <s v="null"/>
    <s v="null"/>
  </r>
  <r>
    <d v="2024-11-28T00:00:00"/>
    <s v="November"/>
    <d v="1899-12-30T06:30:58"/>
    <s v="&quot;CNR4252538&quot;"/>
    <s v="Completed"/>
    <s v="&quot;CID8409955&quot;"/>
    <x v="1"/>
    <s v="Maidan Garhi"/>
    <s v="Paharganj"/>
    <n v="14.6"/>
    <n v="33.1"/>
    <s v="null"/>
    <s v="null"/>
    <s v="null"/>
    <s v="null"/>
    <s v="null"/>
    <s v="null"/>
    <n v="265"/>
    <n v="7.95"/>
    <n v="4.5"/>
    <n v="4.7"/>
    <s v="Cash"/>
  </r>
  <r>
    <d v="2024-10-26T00:00:00"/>
    <s v="October"/>
    <d v="1899-12-30T16:14:28"/>
    <s v="&quot;CNR1211238&quot;"/>
    <s v="Cancelled by Driver"/>
    <s v="&quot;CID5244516&quot;"/>
    <x v="1"/>
    <s v="Mundka"/>
    <s v="GTB Nagar"/>
    <n v="7.6"/>
    <s v="null"/>
    <s v="null"/>
    <s v="null"/>
    <n v="1"/>
    <s v="Customer related issue"/>
    <s v="null"/>
    <s v="null"/>
    <s v="null"/>
    <s v="null"/>
    <s v="null"/>
    <s v="null"/>
    <s v="null"/>
  </r>
  <r>
    <d v="2024-04-28T00:00:00"/>
    <s v="April"/>
    <d v="1899-12-30T18:26:16"/>
    <s v="&quot;CNR8958442&quot;"/>
    <s v="Completed"/>
    <s v="&quot;CID6015541&quot;"/>
    <x v="4"/>
    <s v="Bhikaji Cama Place"/>
    <s v="Khandsa"/>
    <n v="3"/>
    <n v="43.9"/>
    <s v="null"/>
    <s v="null"/>
    <s v="null"/>
    <s v="null"/>
    <s v="null"/>
    <s v="null"/>
    <n v="302"/>
    <n v="44.57"/>
    <n v="4.7"/>
    <n v="4.5999999999999996"/>
    <s v="UPI"/>
  </r>
  <r>
    <d v="2024-10-07T00:00:00"/>
    <s v="October"/>
    <d v="1899-12-30T19:13:35"/>
    <s v="&quot;CNR2025421&quot;"/>
    <s v="Completed"/>
    <s v="&quot;CID1492057&quot;"/>
    <x v="1"/>
    <s v="ITO"/>
    <s v="Badshahpur"/>
    <n v="14.3"/>
    <n v="23.9"/>
    <s v="null"/>
    <s v="null"/>
    <s v="null"/>
    <s v="null"/>
    <s v="null"/>
    <s v="null"/>
    <n v="464"/>
    <n v="10.81"/>
    <n v="4.0999999999999996"/>
    <n v="4.4000000000000004"/>
    <s v="UPI"/>
  </r>
  <r>
    <d v="2024-10-23T00:00:00"/>
    <s v="October"/>
    <d v="1899-12-30T05:48:39"/>
    <s v="&quot;CNR1840812&quot;"/>
    <s v="Incomplete"/>
    <s v="&quot;CID2497733&quot;"/>
    <x v="5"/>
    <s v="Khandsa"/>
    <s v="Shahdara"/>
    <n v="9.1999999999999993"/>
    <n v="24.3"/>
    <s v="null"/>
    <s v="null"/>
    <s v="null"/>
    <s v="null"/>
    <n v="1"/>
    <s v="Other Issue"/>
    <n v="545"/>
    <n v="8.39"/>
    <s v="null"/>
    <s v="null"/>
    <s v="Credit Card"/>
  </r>
  <r>
    <d v="2024-06-12T00:00:00"/>
    <s v="June"/>
    <d v="1899-12-30T18:19:54"/>
    <s v="&quot;CNR8182182&quot;"/>
    <s v="Completed"/>
    <s v="&quot;CID4994675&quot;"/>
    <x v="4"/>
    <s v="INA Market"/>
    <s v="Rithala"/>
    <n v="2.7"/>
    <n v="30.7"/>
    <s v="null"/>
    <s v="null"/>
    <s v="null"/>
    <s v="null"/>
    <s v="null"/>
    <s v="null"/>
    <n v="224"/>
    <n v="24.44"/>
    <n v="4.2"/>
    <n v="4.2"/>
    <s v="Cash"/>
  </r>
  <r>
    <d v="2024-01-09T00:00:00"/>
    <s v="January"/>
    <d v="1899-12-30T14:29:56"/>
    <s v="&quot;CNR9939552&quot;"/>
    <s v="Completed"/>
    <s v="&quot;CID2876086&quot;"/>
    <x v="2"/>
    <s v="MG Road"/>
    <s v="Shahdara"/>
    <n v="9.1"/>
    <n v="41.4"/>
    <s v="null"/>
    <s v="null"/>
    <s v="null"/>
    <s v="null"/>
    <s v="null"/>
    <s v="null"/>
    <n v="237"/>
    <n v="23.63"/>
    <n v="4.3"/>
    <n v="4.9000000000000004"/>
    <s v="UPI"/>
  </r>
  <r>
    <d v="2024-08-10T00:00:00"/>
    <s v="August"/>
    <d v="1899-12-30T14:02:17"/>
    <s v="&quot;CNR6613512&quot;"/>
    <s v="Completed"/>
    <s v="&quot;CID1661297&quot;"/>
    <x v="2"/>
    <s v="Gurgaon Railway Station"/>
    <s v="Mundka"/>
    <n v="10.7"/>
    <n v="36.700000000000003"/>
    <s v="null"/>
    <s v="null"/>
    <s v="null"/>
    <s v="null"/>
    <s v="null"/>
    <s v="null"/>
    <n v="699"/>
    <n v="48.74"/>
    <n v="4.3"/>
    <n v="4.4000000000000004"/>
    <s v="UPI"/>
  </r>
  <r>
    <d v="2024-10-11T00:00:00"/>
    <s v="October"/>
    <d v="1899-12-30T17:27:56"/>
    <s v="&quot;CNR4613739&quot;"/>
    <s v="Completed"/>
    <s v="&quot;CID9468231&quot;"/>
    <x v="3"/>
    <s v="Akshardham"/>
    <s v="Nirman Vihar"/>
    <n v="8.1999999999999993"/>
    <n v="21.8"/>
    <s v="null"/>
    <s v="null"/>
    <s v="null"/>
    <s v="null"/>
    <s v="null"/>
    <s v="null"/>
    <n v="158"/>
    <n v="26.74"/>
    <n v="3.2"/>
    <n v="5"/>
    <s v="Uber Wallet"/>
  </r>
  <r>
    <d v="2024-05-17T00:00:00"/>
    <s v="May"/>
    <d v="1899-12-30T21:13:55"/>
    <s v="&quot;CNR8974635&quot;"/>
    <s v="Cancelled by Customer"/>
    <s v="&quot;CID8044093&quot;"/>
    <x v="3"/>
    <s v="Madipur"/>
    <s v="Tilak Nagar"/>
    <n v="14.1"/>
    <s v="null"/>
    <n v="1"/>
    <s v="Change of plans"/>
    <s v="null"/>
    <s v="null"/>
    <s v="null"/>
    <s v="null"/>
    <s v="null"/>
    <s v="null"/>
    <s v="null"/>
    <s v="null"/>
    <s v="null"/>
  </r>
  <r>
    <d v="2024-09-23T00:00:00"/>
    <s v="September"/>
    <d v="1899-12-30T13:38:27"/>
    <s v="&quot;CNR8549497&quot;"/>
    <s v="Cancelled by Driver"/>
    <s v="&quot;CID3887828&quot;"/>
    <x v="3"/>
    <s v="Shahdara"/>
    <s v="Rajiv Nagar"/>
    <n v="5.8"/>
    <s v="null"/>
    <s v="null"/>
    <s v="null"/>
    <n v="1"/>
    <s v="More than permitted people in there"/>
    <s v="null"/>
    <s v="null"/>
    <s v="null"/>
    <s v="null"/>
    <s v="null"/>
    <s v="null"/>
    <s v="null"/>
  </r>
  <r>
    <d v="2024-12-13T00:00:00"/>
    <s v="December"/>
    <d v="1899-12-30T19:17:58"/>
    <s v="&quot;CNR9728645&quot;"/>
    <s v="Completed"/>
    <s v="&quot;CID9950053&quot;"/>
    <x v="2"/>
    <s v="Delhi Gate"/>
    <s v="Chirag Delhi"/>
    <n v="7.3"/>
    <n v="36.5"/>
    <s v="null"/>
    <s v="null"/>
    <s v="null"/>
    <s v="null"/>
    <s v="null"/>
    <s v="null"/>
    <n v="202"/>
    <n v="37.39"/>
    <n v="3.7"/>
    <n v="4.2"/>
    <s v="UPI"/>
  </r>
  <r>
    <d v="2024-05-15T00:00:00"/>
    <s v="May"/>
    <d v="1899-12-30T20:19:22"/>
    <s v="&quot;CNR5387110&quot;"/>
    <s v="Cancelled by Customer"/>
    <s v="&quot;CID6918354&quot;"/>
    <x v="5"/>
    <s v="Anand Vihar ISBT"/>
    <s v="IGI Airport"/>
    <n v="15.7"/>
    <s v="null"/>
    <n v="1"/>
    <s v="AC is not working"/>
    <s v="null"/>
    <s v="null"/>
    <s v="null"/>
    <s v="null"/>
    <s v="null"/>
    <s v="null"/>
    <s v="null"/>
    <s v="null"/>
    <s v="null"/>
  </r>
  <r>
    <d v="2024-01-16T00:00:00"/>
    <s v="January"/>
    <d v="1899-12-30T16:48:56"/>
    <s v="&quot;CNR9784011&quot;"/>
    <s v="No Driver Found"/>
    <s v="&quot;CID5022682&quot;"/>
    <x v="1"/>
    <s v="Shivaji Park"/>
    <s v="Bhikaji Cama Place"/>
    <s v="null"/>
    <s v="null"/>
    <s v="null"/>
    <s v="null"/>
    <s v="null"/>
    <s v="null"/>
    <s v="null"/>
    <s v="null"/>
    <s v="null"/>
    <s v="null"/>
    <s v="null"/>
    <s v="null"/>
    <s v="null"/>
  </r>
  <r>
    <d v="2024-05-24T00:00:00"/>
    <s v="May"/>
    <d v="1899-12-30T09:41:12"/>
    <s v="&quot;CNR8547679&quot;"/>
    <s v="Completed"/>
    <s v="&quot;CID3104034&quot;"/>
    <x v="5"/>
    <s v="Preet Vihar"/>
    <s v="Chirag Delhi"/>
    <n v="9.3000000000000007"/>
    <n v="17.3"/>
    <s v="null"/>
    <s v="null"/>
    <s v="null"/>
    <s v="null"/>
    <s v="null"/>
    <s v="null"/>
    <n v="798"/>
    <n v="13.98"/>
    <n v="4.7"/>
    <n v="4.4000000000000004"/>
    <s v="UPI"/>
  </r>
  <r>
    <d v="2024-02-15T00:00:00"/>
    <s v="February"/>
    <d v="1899-12-30T02:16:29"/>
    <s v="&quot;CNR8180065&quot;"/>
    <s v="Completed"/>
    <s v="&quot;CID4649453&quot;"/>
    <x v="2"/>
    <s v="Patel Chowk"/>
    <s v="Golf Course Road"/>
    <n v="9.5"/>
    <n v="41.6"/>
    <s v="null"/>
    <s v="null"/>
    <s v="null"/>
    <s v="null"/>
    <s v="null"/>
    <s v="null"/>
    <n v="264"/>
    <n v="34.07"/>
    <n v="3.9"/>
    <n v="3.1"/>
    <s v="Debit Card"/>
  </r>
  <r>
    <d v="2024-11-05T00:00:00"/>
    <s v="November"/>
    <d v="1899-12-30T10:46:08"/>
    <s v="&quot;CNR1113690&quot;"/>
    <s v="Completed"/>
    <s v="&quot;CID8230386&quot;"/>
    <x v="1"/>
    <s v="Janakpuri"/>
    <s v="Lal Quila"/>
    <n v="10.9"/>
    <n v="18.8"/>
    <s v="null"/>
    <s v="null"/>
    <s v="null"/>
    <s v="null"/>
    <s v="null"/>
    <s v="null"/>
    <n v="324"/>
    <n v="43.53"/>
    <n v="4.4000000000000004"/>
    <n v="4.7"/>
    <s v="UPI"/>
  </r>
  <r>
    <d v="2024-01-27T00:00:00"/>
    <s v="January"/>
    <d v="1899-12-30T21:40:16"/>
    <s v="&quot;CNR4980155&quot;"/>
    <s v="Completed"/>
    <s v="&quot;CID4601365&quot;"/>
    <x v="5"/>
    <s v="Preet Vihar"/>
    <s v="IIT Delhi"/>
    <n v="10.9"/>
    <n v="43.5"/>
    <s v="null"/>
    <s v="null"/>
    <s v="null"/>
    <s v="null"/>
    <s v="null"/>
    <s v="null"/>
    <n v="500"/>
    <n v="36.770000000000003"/>
    <n v="4.2"/>
    <n v="4.5999999999999996"/>
    <s v="UPI"/>
  </r>
  <r>
    <d v="2024-08-24T00:00:00"/>
    <s v="August"/>
    <d v="1899-12-30T20:04:40"/>
    <s v="&quot;CNR6932352&quot;"/>
    <s v="Completed"/>
    <s v="&quot;CID6010357&quot;"/>
    <x v="4"/>
    <s v="Panchsheel Park"/>
    <s v="Sohna Road"/>
    <n v="9.4"/>
    <n v="44.9"/>
    <s v="null"/>
    <s v="null"/>
    <s v="null"/>
    <s v="null"/>
    <s v="null"/>
    <s v="null"/>
    <n v="440"/>
    <n v="28.46"/>
    <n v="4.3"/>
    <n v="3.6"/>
    <s v="UPI"/>
  </r>
  <r>
    <d v="2024-05-13T00:00:00"/>
    <s v="May"/>
    <d v="1899-12-30T19:09:21"/>
    <s v="&quot;CNR2960807&quot;"/>
    <s v="Cancelled by Driver"/>
    <s v="&quot;CID7147857&quot;"/>
    <x v="1"/>
    <s v="Raj Nagar Extension"/>
    <s v="Tilak Nagar"/>
    <n v="5.5"/>
    <s v="null"/>
    <s v="null"/>
    <s v="null"/>
    <n v="1"/>
    <s v="The customer was coughing/sick"/>
    <s v="null"/>
    <s v="null"/>
    <s v="null"/>
    <s v="null"/>
    <s v="null"/>
    <s v="null"/>
    <s v="null"/>
  </r>
  <r>
    <d v="2024-11-18T00:00:00"/>
    <s v="November"/>
    <d v="1899-12-30T15:18:28"/>
    <s v="&quot;CNR3206791&quot;"/>
    <s v="Completed"/>
    <s v="&quot;CID7154060&quot;"/>
    <x v="2"/>
    <s v="Tagore Garden"/>
    <s v="Ardee City"/>
    <n v="12.1"/>
    <n v="37.700000000000003"/>
    <s v="null"/>
    <s v="null"/>
    <s v="null"/>
    <s v="null"/>
    <s v="null"/>
    <s v="null"/>
    <n v="460"/>
    <n v="33.840000000000003"/>
    <n v="4.0999999999999996"/>
    <n v="4.5"/>
    <s v="UPI"/>
  </r>
  <r>
    <d v="2024-09-17T00:00:00"/>
    <s v="September"/>
    <d v="1899-12-30T18:10:56"/>
    <s v="&quot;CNR1699886&quot;"/>
    <s v="No Driver Found"/>
    <s v="&quot;CID5132568&quot;"/>
    <x v="1"/>
    <s v="Old Gurgaon"/>
    <s v="Noida Film City"/>
    <s v="null"/>
    <s v="null"/>
    <s v="null"/>
    <s v="null"/>
    <s v="null"/>
    <s v="null"/>
    <s v="null"/>
    <s v="null"/>
    <s v="null"/>
    <s v="null"/>
    <s v="null"/>
    <s v="null"/>
    <s v="null"/>
  </r>
  <r>
    <d v="2024-05-25T00:00:00"/>
    <s v="May"/>
    <d v="1899-12-30T14:58:13"/>
    <s v="&quot;CNR6763949&quot;"/>
    <s v="Incomplete"/>
    <s v="&quot;CID3481963&quot;"/>
    <x v="3"/>
    <s v="IGI Airport"/>
    <s v="Greater Noida"/>
    <n v="9.5"/>
    <n v="29.2"/>
    <s v="null"/>
    <s v="null"/>
    <s v="null"/>
    <s v="null"/>
    <n v="1"/>
    <s v="Vehicle Breakdown"/>
    <n v="374"/>
    <n v="11.17"/>
    <s v="null"/>
    <s v="null"/>
    <s v="Credit Card"/>
  </r>
  <r>
    <d v="2024-03-08T00:00:00"/>
    <s v="March"/>
    <d v="1899-12-30T08:49:43"/>
    <s v="&quot;CNR4575541&quot;"/>
    <s v="Cancelled by Driver"/>
    <s v="&quot;CID8855641&quot;"/>
    <x v="1"/>
    <s v="Indraprastha"/>
    <s v="Ashram"/>
    <n v="10.5"/>
    <s v="null"/>
    <s v="null"/>
    <s v="null"/>
    <n v="1"/>
    <s v="Customer related issue"/>
    <s v="null"/>
    <s v="null"/>
    <s v="null"/>
    <s v="null"/>
    <s v="null"/>
    <s v="null"/>
    <s v="null"/>
  </r>
  <r>
    <d v="2024-07-25T00:00:00"/>
    <s v="July"/>
    <d v="1899-12-30T08:55:47"/>
    <s v="&quot;CNR7353983&quot;"/>
    <s v="Completed"/>
    <s v="&quot;CID2934266&quot;"/>
    <x v="4"/>
    <s v="Jor Bagh"/>
    <s v="Noida Sector 18"/>
    <n v="12.3"/>
    <n v="37.9"/>
    <s v="null"/>
    <s v="null"/>
    <s v="null"/>
    <s v="null"/>
    <s v="null"/>
    <s v="null"/>
    <n v="1940"/>
    <n v="27.6"/>
    <n v="4.0999999999999996"/>
    <n v="4.3"/>
    <s v="Cash"/>
  </r>
  <r>
    <d v="2024-06-15T00:00:00"/>
    <s v="June"/>
    <d v="1899-12-30T22:56:43"/>
    <s v="&quot;CNR2551232&quot;"/>
    <s v="Completed"/>
    <s v="&quot;CID4921473&quot;"/>
    <x v="2"/>
    <s v="Jahangirpuri"/>
    <s v="Old Gurgaon"/>
    <n v="2.6"/>
    <n v="35.299999999999997"/>
    <s v="null"/>
    <s v="null"/>
    <s v="null"/>
    <s v="null"/>
    <s v="null"/>
    <s v="null"/>
    <n v="1216"/>
    <n v="44.04"/>
    <n v="4.3"/>
    <n v="3.3"/>
    <s v="UPI"/>
  </r>
  <r>
    <d v="2024-02-13T00:00:00"/>
    <s v="February"/>
    <d v="1899-12-30T10:43:05"/>
    <s v="&quot;CNR4355189&quot;"/>
    <s v="Completed"/>
    <s v="&quot;CID3667293&quot;"/>
    <x v="5"/>
    <s v="Lok Kalyan Marg"/>
    <s v="Sarojini Nagar"/>
    <n v="10.3"/>
    <n v="33.299999999999997"/>
    <s v="null"/>
    <s v="null"/>
    <s v="null"/>
    <s v="null"/>
    <s v="null"/>
    <s v="null"/>
    <n v="187"/>
    <n v="40.04"/>
    <n v="4.3"/>
    <n v="4.2"/>
    <s v="UPI"/>
  </r>
  <r>
    <d v="2024-10-20T00:00:00"/>
    <s v="October"/>
    <d v="1899-12-30T21:43:40"/>
    <s v="&quot;CNR6074821&quot;"/>
    <s v="Completed"/>
    <s v="&quot;CID3220681&quot;"/>
    <x v="2"/>
    <s v="Lajpat Nagar"/>
    <s v="Pataudi Chowk"/>
    <n v="6.4"/>
    <n v="17.2"/>
    <s v="null"/>
    <s v="null"/>
    <s v="null"/>
    <s v="null"/>
    <s v="null"/>
    <s v="null"/>
    <n v="478"/>
    <n v="48.62"/>
    <n v="4.2"/>
    <n v="3.2"/>
    <s v="UPI"/>
  </r>
  <r>
    <d v="2024-12-30T00:00:00"/>
    <s v="December"/>
    <d v="1899-12-30T19:59:22"/>
    <s v="&quot;CNR7321457&quot;"/>
    <s v="Completed"/>
    <s v="&quot;CID2601371&quot;"/>
    <x v="5"/>
    <s v="Yamuna Bank"/>
    <s v="Madipur"/>
    <n v="3.2"/>
    <n v="34.4"/>
    <s v="null"/>
    <s v="null"/>
    <s v="null"/>
    <s v="null"/>
    <s v="null"/>
    <s v="null"/>
    <n v="791"/>
    <n v="6.07"/>
    <n v="4.0999999999999996"/>
    <n v="4"/>
    <s v="Credit Card"/>
  </r>
  <r>
    <d v="2024-02-25T00:00:00"/>
    <s v="February"/>
    <d v="1899-12-30T06:23:53"/>
    <s v="&quot;CNR8268251&quot;"/>
    <s v="Completed"/>
    <s v="&quot;CID6015431&quot;"/>
    <x v="1"/>
    <s v="INA Market"/>
    <s v="Paharganj"/>
    <n v="12"/>
    <n v="44.2"/>
    <s v="null"/>
    <s v="null"/>
    <s v="null"/>
    <s v="null"/>
    <s v="null"/>
    <s v="null"/>
    <n v="636"/>
    <n v="15.26"/>
    <n v="4.3"/>
    <n v="4.5999999999999996"/>
    <s v="UPI"/>
  </r>
  <r>
    <d v="2024-03-04T00:00:00"/>
    <s v="March"/>
    <d v="1899-12-30T05:45:21"/>
    <s v="&quot;CNR2007488&quot;"/>
    <s v="Completed"/>
    <s v="&quot;CID5503761&quot;"/>
    <x v="0"/>
    <s v="Connaught Place"/>
    <s v="Nirman Vihar"/>
    <n v="2.1"/>
    <n v="17.3"/>
    <s v="null"/>
    <s v="null"/>
    <s v="null"/>
    <s v="null"/>
    <s v="null"/>
    <s v="null"/>
    <n v="499"/>
    <n v="36.76"/>
    <n v="4.5999999999999996"/>
    <n v="4.2"/>
    <s v="UPI"/>
  </r>
  <r>
    <d v="2024-02-06T00:00:00"/>
    <s v="February"/>
    <d v="1899-12-30T16:40:53"/>
    <s v="&quot;CNR2608343&quot;"/>
    <s v="Cancelled by Driver"/>
    <s v="&quot;CID5304970&quot;"/>
    <x v="5"/>
    <s v="Meerut"/>
    <s v="Gurgaon Sector 56"/>
    <n v="4.9000000000000004"/>
    <s v="null"/>
    <s v="null"/>
    <s v="null"/>
    <n v="1"/>
    <s v="The customer was coughing/sick"/>
    <s v="null"/>
    <s v="null"/>
    <s v="null"/>
    <s v="null"/>
    <s v="null"/>
    <s v="null"/>
    <s v="null"/>
  </r>
  <r>
    <d v="2024-01-09T00:00:00"/>
    <s v="January"/>
    <d v="1899-12-30T11:30:12"/>
    <s v="&quot;CNR6412163&quot;"/>
    <s v="Cancelled by Driver"/>
    <s v="&quot;CID3199156&quot;"/>
    <x v="4"/>
    <s v="IIT Delhi"/>
    <s v="INA Market"/>
    <n v="5.3"/>
    <s v="null"/>
    <s v="null"/>
    <s v="null"/>
    <n v="1"/>
    <s v="Personal &amp; Car related issues"/>
    <s v="null"/>
    <s v="null"/>
    <s v="null"/>
    <s v="null"/>
    <s v="null"/>
    <s v="null"/>
    <s v="null"/>
  </r>
  <r>
    <d v="2024-02-03T00:00:00"/>
    <s v="February"/>
    <d v="1899-12-30T02:53:22"/>
    <s v="&quot;CNR4316002&quot;"/>
    <s v="Completed"/>
    <s v="&quot;CID1378252&quot;"/>
    <x v="3"/>
    <s v="Hero Honda Chowk"/>
    <s v="Welcome"/>
    <n v="10.9"/>
    <n v="37.700000000000003"/>
    <s v="null"/>
    <s v="null"/>
    <s v="null"/>
    <s v="null"/>
    <s v="null"/>
    <s v="null"/>
    <n v="1350"/>
    <n v="11.48"/>
    <n v="4.5"/>
    <n v="4.9000000000000004"/>
    <s v="Uber Wallet"/>
  </r>
  <r>
    <d v="2024-10-30T00:00:00"/>
    <s v="October"/>
    <d v="1899-12-30T16:48:05"/>
    <s v="&quot;CNR1102112&quot;"/>
    <s v="Completed"/>
    <s v="&quot;CID4474837&quot;"/>
    <x v="0"/>
    <s v="Vinobapuri"/>
    <s v="Dwarka Mor"/>
    <n v="2.9"/>
    <n v="31.8"/>
    <s v="null"/>
    <s v="null"/>
    <s v="null"/>
    <s v="null"/>
    <s v="null"/>
    <s v="null"/>
    <n v="461"/>
    <n v="12.59"/>
    <n v="4.4000000000000004"/>
    <n v="4.7"/>
    <s v="UPI"/>
  </r>
  <r>
    <d v="2024-01-12T00:00:00"/>
    <s v="January"/>
    <d v="1899-12-30T13:59:54"/>
    <s v="&quot;CNR6818363&quot;"/>
    <s v="Completed"/>
    <s v="&quot;CID8095753&quot;"/>
    <x v="5"/>
    <s v="Cyber Hub"/>
    <s v="Rajiv Chowk"/>
    <n v="7.9"/>
    <n v="44.7"/>
    <s v="null"/>
    <s v="null"/>
    <s v="null"/>
    <s v="null"/>
    <s v="null"/>
    <s v="null"/>
    <n v="170"/>
    <n v="31.74"/>
    <n v="4.4000000000000004"/>
    <n v="4.5"/>
    <s v="Credit Card"/>
  </r>
  <r>
    <d v="2024-02-21T00:00:00"/>
    <s v="February"/>
    <d v="1899-12-30T22:50:23"/>
    <s v="&quot;CNR9343046&quot;"/>
    <s v="Cancelled by Driver"/>
    <s v="&quot;CID5372136&quot;"/>
    <x v="5"/>
    <s v="Hauz Rani"/>
    <s v="Mehrauli"/>
    <n v="7.2"/>
    <s v="null"/>
    <s v="null"/>
    <s v="null"/>
    <n v="1"/>
    <s v="Personal &amp; Car related issues"/>
    <s v="null"/>
    <s v="null"/>
    <s v="null"/>
    <s v="null"/>
    <s v="null"/>
    <s v="null"/>
    <s v="null"/>
  </r>
  <r>
    <d v="2024-08-04T00:00:00"/>
    <s v="August"/>
    <d v="1899-12-30T17:36:04"/>
    <s v="&quot;CNR2528612&quot;"/>
    <s v="Cancelled by Driver"/>
    <s v="&quot;CID7944156&quot;"/>
    <x v="2"/>
    <s v="Rohini West"/>
    <s v="Jor Bagh"/>
    <n v="7"/>
    <s v="null"/>
    <s v="null"/>
    <s v="null"/>
    <n v="1"/>
    <s v="Personal &amp; Car related issues"/>
    <s v="null"/>
    <s v="null"/>
    <s v="null"/>
    <s v="null"/>
    <s v="null"/>
    <s v="null"/>
    <s v="null"/>
  </r>
  <r>
    <d v="2024-07-13T00:00:00"/>
    <s v="July"/>
    <d v="1899-12-30T16:04:21"/>
    <s v="&quot;CNR6237606&quot;"/>
    <s v="No Driver Found"/>
    <s v="&quot;CID5288041&quot;"/>
    <x v="1"/>
    <s v="Sikanderpur"/>
    <s v="Vaishali"/>
    <s v="null"/>
    <s v="null"/>
    <s v="null"/>
    <s v="null"/>
    <s v="null"/>
    <s v="null"/>
    <s v="null"/>
    <s v="null"/>
    <s v="null"/>
    <s v="null"/>
    <s v="null"/>
    <s v="null"/>
    <s v="null"/>
  </r>
  <r>
    <d v="2024-04-27T00:00:00"/>
    <s v="April"/>
    <d v="1899-12-30T22:54:00"/>
    <s v="&quot;CNR4223072&quot;"/>
    <s v="Completed"/>
    <s v="&quot;CID3839108&quot;"/>
    <x v="1"/>
    <s v="Noida Extension"/>
    <s v="Okhla"/>
    <n v="10.8"/>
    <n v="37.799999999999997"/>
    <s v="null"/>
    <s v="null"/>
    <s v="null"/>
    <s v="null"/>
    <s v="null"/>
    <s v="null"/>
    <n v="558"/>
    <n v="38.700000000000003"/>
    <n v="4.2"/>
    <n v="4.9000000000000004"/>
    <s v="UPI"/>
  </r>
  <r>
    <d v="2024-02-04T00:00:00"/>
    <s v="February"/>
    <d v="1899-12-30T07:40:35"/>
    <s v="&quot;CNR3468589&quot;"/>
    <s v="Completed"/>
    <s v="&quot;CID8662732&quot;"/>
    <x v="2"/>
    <s v="Madipur"/>
    <s v="Noida Film City"/>
    <n v="12.1"/>
    <n v="32.4"/>
    <s v="null"/>
    <s v="null"/>
    <s v="null"/>
    <s v="null"/>
    <s v="null"/>
    <s v="null"/>
    <n v="288"/>
    <n v="4.38"/>
    <n v="4.2"/>
    <n v="3.7"/>
    <s v="UPI"/>
  </r>
  <r>
    <d v="2024-03-18T00:00:00"/>
    <s v="March"/>
    <d v="1899-12-30T10:56:23"/>
    <s v="&quot;CNR1334676&quot;"/>
    <s v="Cancelled by Customer"/>
    <s v="&quot;CID6137231&quot;"/>
    <x v="4"/>
    <s v="Govindpuri"/>
    <s v="Uttam Nagar"/>
    <n v="10"/>
    <s v="null"/>
    <n v="1"/>
    <s v="Driver is not moving towards pickup location"/>
    <s v="null"/>
    <s v="null"/>
    <s v="null"/>
    <s v="null"/>
    <s v="null"/>
    <s v="null"/>
    <s v="null"/>
    <s v="null"/>
    <s v="null"/>
  </r>
  <r>
    <d v="2024-06-01T00:00:00"/>
    <s v="June"/>
    <d v="1899-12-30T16:08:37"/>
    <s v="&quot;CNR8286595&quot;"/>
    <s v="Cancelled by Driver"/>
    <s v="&quot;CID3688360&quot;"/>
    <x v="1"/>
    <s v="Rohini West"/>
    <s v="AIIMS"/>
    <n v="9"/>
    <s v="null"/>
    <s v="null"/>
    <s v="null"/>
    <n v="1"/>
    <s v="Personal &amp; Car related issues"/>
    <s v="null"/>
    <s v="null"/>
    <s v="null"/>
    <s v="null"/>
    <s v="null"/>
    <s v="null"/>
    <s v="null"/>
  </r>
  <r>
    <d v="2024-06-17T00:00:00"/>
    <s v="June"/>
    <d v="1899-12-30T07:31:28"/>
    <s v="&quot;CNR9470390&quot;"/>
    <s v="Completed"/>
    <s v="&quot;CID4005123&quot;"/>
    <x v="4"/>
    <s v="Dwarka Mor"/>
    <s v="Yamuna Bank"/>
    <n v="9.4"/>
    <n v="29.5"/>
    <s v="null"/>
    <s v="null"/>
    <s v="null"/>
    <s v="null"/>
    <s v="null"/>
    <s v="null"/>
    <n v="133"/>
    <n v="29.31"/>
    <n v="4.4000000000000004"/>
    <n v="4.8"/>
    <s v="Credit Card"/>
  </r>
  <r>
    <d v="2024-04-22T00:00:00"/>
    <s v="April"/>
    <d v="1899-12-30T06:39:21"/>
    <s v="&quot;CNR1837756&quot;"/>
    <s v="Completed"/>
    <s v="&quot;CID1952359&quot;"/>
    <x v="3"/>
    <s v="Patel Chowk"/>
    <s v="AIIMS"/>
    <n v="12.5"/>
    <n v="28.5"/>
    <s v="null"/>
    <s v="null"/>
    <s v="null"/>
    <s v="null"/>
    <s v="null"/>
    <s v="null"/>
    <n v="123"/>
    <n v="2.35"/>
    <n v="3.9"/>
    <n v="4.5999999999999996"/>
    <s v="Cash"/>
  </r>
  <r>
    <d v="2024-06-10T00:00:00"/>
    <s v="June"/>
    <d v="1899-12-30T06:45:04"/>
    <s v="&quot;CNR9140671&quot;"/>
    <s v="No Driver Found"/>
    <s v="&quot;CID3961912&quot;"/>
    <x v="1"/>
    <s v="IFFCO Chowk"/>
    <s v="Paharganj"/>
    <s v="null"/>
    <s v="null"/>
    <s v="null"/>
    <s v="null"/>
    <s v="null"/>
    <s v="null"/>
    <s v="null"/>
    <s v="null"/>
    <s v="null"/>
    <s v="null"/>
    <s v="null"/>
    <s v="null"/>
    <s v="null"/>
  </r>
  <r>
    <d v="2024-04-30T00:00:00"/>
    <s v="April"/>
    <d v="1899-12-30T15:01:07"/>
    <s v="&quot;CNR1525767&quot;"/>
    <s v="Completed"/>
    <s v="&quot;CID4267626&quot;"/>
    <x v="2"/>
    <s v="Keshav Puram"/>
    <s v="Madipur"/>
    <n v="3.3"/>
    <n v="30.3"/>
    <s v="null"/>
    <s v="null"/>
    <s v="null"/>
    <s v="null"/>
    <s v="null"/>
    <s v="null"/>
    <n v="629"/>
    <n v="41.18"/>
    <n v="4.2"/>
    <n v="4.2"/>
    <s v="Uber Wallet"/>
  </r>
  <r>
    <d v="2024-11-08T00:00:00"/>
    <s v="November"/>
    <d v="1899-12-30T20:51:43"/>
    <s v="&quot;CNR2997075&quot;"/>
    <s v="Completed"/>
    <s v="&quot;CID4383879&quot;"/>
    <x v="3"/>
    <s v="Green Park"/>
    <s v="Hauz Khas"/>
    <n v="12.7"/>
    <n v="40.700000000000003"/>
    <s v="null"/>
    <s v="null"/>
    <s v="null"/>
    <s v="null"/>
    <s v="null"/>
    <s v="null"/>
    <n v="201"/>
    <n v="49.37"/>
    <n v="4.5"/>
    <n v="4.0999999999999996"/>
    <s v="Cash"/>
  </r>
  <r>
    <d v="2024-03-30T00:00:00"/>
    <s v="March"/>
    <d v="1899-12-30T13:24:41"/>
    <s v="&quot;CNR1197334&quot;"/>
    <s v="Completed"/>
    <s v="&quot;CID4811646&quot;"/>
    <x v="3"/>
    <s v="Welcome"/>
    <s v="Sarai Kale Khan"/>
    <n v="3.8"/>
    <n v="29.7"/>
    <s v="null"/>
    <s v="null"/>
    <s v="null"/>
    <s v="null"/>
    <s v="null"/>
    <s v="null"/>
    <n v="419"/>
    <n v="38.83"/>
    <n v="3.8"/>
    <n v="4.3"/>
    <s v="Cash"/>
  </r>
  <r>
    <d v="2024-03-23T00:00:00"/>
    <s v="March"/>
    <d v="1899-12-30T05:30:31"/>
    <s v="&quot;CNR7693001&quot;"/>
    <s v="Completed"/>
    <s v="&quot;CID3162922&quot;"/>
    <x v="1"/>
    <s v="Ashram"/>
    <s v="Manesar"/>
    <n v="6.7"/>
    <n v="32.9"/>
    <s v="null"/>
    <s v="null"/>
    <s v="null"/>
    <s v="null"/>
    <s v="null"/>
    <s v="null"/>
    <n v="759"/>
    <n v="7.37"/>
    <n v="4.5999999999999996"/>
    <n v="4.2"/>
    <s v="Debit Card"/>
  </r>
  <r>
    <d v="2024-11-30T00:00:00"/>
    <s v="November"/>
    <d v="1899-12-30T14:51:12"/>
    <s v="&quot;CNR1253094&quot;"/>
    <s v="Completed"/>
    <s v="&quot;CID5987358&quot;"/>
    <x v="2"/>
    <s v="Mansarovar Park"/>
    <s v="Narsinghpur"/>
    <n v="14.7"/>
    <n v="29.5"/>
    <s v="null"/>
    <s v="null"/>
    <s v="null"/>
    <s v="null"/>
    <s v="null"/>
    <s v="null"/>
    <n v="399"/>
    <n v="48.69"/>
    <n v="4.2"/>
    <n v="4.7"/>
    <s v="Credit Card"/>
  </r>
  <r>
    <d v="2024-04-15T00:00:00"/>
    <s v="April"/>
    <d v="1899-12-30T09:02:15"/>
    <s v="&quot;CNR8396447&quot;"/>
    <s v="Completed"/>
    <s v="&quot;CID7092427&quot;"/>
    <x v="5"/>
    <s v="Noida Sector 62"/>
    <s v="Rohini West"/>
    <n v="6.5"/>
    <n v="42.3"/>
    <s v="null"/>
    <s v="null"/>
    <s v="null"/>
    <s v="null"/>
    <s v="null"/>
    <s v="null"/>
    <n v="276"/>
    <n v="18.510000000000002"/>
    <n v="4.5999999999999996"/>
    <n v="4.3"/>
    <s v="UPI"/>
  </r>
  <r>
    <d v="2024-07-14T00:00:00"/>
    <s v="July"/>
    <d v="1899-12-30T11:44:39"/>
    <s v="&quot;CNR5564154&quot;"/>
    <s v="Completed"/>
    <s v="&quot;CID1161874&quot;"/>
    <x v="4"/>
    <s v="RK Puram"/>
    <s v="IIT Delhi"/>
    <n v="3.3"/>
    <n v="25.7"/>
    <s v="null"/>
    <s v="null"/>
    <s v="null"/>
    <s v="null"/>
    <s v="null"/>
    <s v="null"/>
    <n v="1354"/>
    <n v="36.020000000000003"/>
    <n v="3.8"/>
    <n v="3.6"/>
    <s v="Cash"/>
  </r>
  <r>
    <d v="2024-10-25T00:00:00"/>
    <s v="October"/>
    <d v="1899-12-30T09:07:20"/>
    <s v="&quot;CNR9257342&quot;"/>
    <s v="Completed"/>
    <s v="&quot;CID3040152&quot;"/>
    <x v="4"/>
    <s v="Greater Kailash"/>
    <s v="Vaishali"/>
    <n v="13.3"/>
    <n v="16"/>
    <s v="null"/>
    <s v="null"/>
    <s v="null"/>
    <s v="null"/>
    <s v="null"/>
    <s v="null"/>
    <n v="529"/>
    <n v="7.92"/>
    <n v="3.2"/>
    <n v="4.0999999999999996"/>
    <s v="Debit Card"/>
  </r>
  <r>
    <d v="2024-01-19T00:00:00"/>
    <s v="January"/>
    <d v="1899-12-30T20:47:33"/>
    <s v="&quot;CNR1402875&quot;"/>
    <s v="Cancelled by Customer"/>
    <s v="&quot;CID6416624&quot;"/>
    <x v="2"/>
    <s v="IMT Manesar"/>
    <s v="Narsinghpur"/>
    <n v="7"/>
    <s v="null"/>
    <n v="1"/>
    <s v="Driver is not moving towards pickup location"/>
    <s v="null"/>
    <s v="null"/>
    <s v="null"/>
    <s v="null"/>
    <s v="null"/>
    <s v="null"/>
    <s v="null"/>
    <s v="null"/>
    <s v="null"/>
  </r>
  <r>
    <d v="2024-09-29T00:00:00"/>
    <s v="September"/>
    <d v="1899-12-30T14:56:35"/>
    <s v="&quot;CNR2843953&quot;"/>
    <s v="Cancelled by Driver"/>
    <s v="&quot;CID1482677&quot;"/>
    <x v="6"/>
    <s v="Shastri Park"/>
    <s v="Punjabi Bagh"/>
    <n v="3.5"/>
    <s v="null"/>
    <s v="null"/>
    <s v="null"/>
    <n v="1"/>
    <s v="More than permitted people in there"/>
    <s v="null"/>
    <s v="null"/>
    <s v="null"/>
    <s v="null"/>
    <s v="null"/>
    <s v="null"/>
    <s v="null"/>
  </r>
  <r>
    <d v="2024-09-17T00:00:00"/>
    <s v="September"/>
    <d v="1899-12-30T19:22:01"/>
    <s v="&quot;CNR7222740&quot;"/>
    <s v="Completed"/>
    <s v="&quot;CID7203480&quot;"/>
    <x v="2"/>
    <s v="Samaypur Badli"/>
    <s v="Narsinghpur"/>
    <n v="12.1"/>
    <n v="16.399999999999999"/>
    <s v="null"/>
    <s v="null"/>
    <s v="null"/>
    <s v="null"/>
    <s v="null"/>
    <s v="null"/>
    <n v="306"/>
    <n v="20.57"/>
    <n v="3.7"/>
    <n v="4.5999999999999996"/>
    <s v="UPI"/>
  </r>
  <r>
    <d v="2024-09-09T00:00:00"/>
    <s v="September"/>
    <d v="1899-12-30T14:25:25"/>
    <s v="&quot;CNR9899113&quot;"/>
    <s v="Completed"/>
    <s v="&quot;CID8801951&quot;"/>
    <x v="0"/>
    <s v="Barakhamba Road"/>
    <s v="Ghitorni Village"/>
    <n v="7.1"/>
    <n v="38.200000000000003"/>
    <s v="null"/>
    <s v="null"/>
    <s v="null"/>
    <s v="null"/>
    <s v="null"/>
    <s v="null"/>
    <n v="535"/>
    <n v="49.73"/>
    <n v="4.5"/>
    <n v="4.9000000000000004"/>
    <s v="Cash"/>
  </r>
  <r>
    <d v="2024-04-13T00:00:00"/>
    <s v="April"/>
    <d v="1899-12-30T15:30:19"/>
    <s v="&quot;CNR6812400&quot;"/>
    <s v="Completed"/>
    <s v="&quot;CID4486632&quot;"/>
    <x v="2"/>
    <s v="Cyber Hub"/>
    <s v="Sonipat"/>
    <n v="2.2000000000000002"/>
    <n v="30.5"/>
    <s v="null"/>
    <s v="null"/>
    <s v="null"/>
    <s v="null"/>
    <s v="null"/>
    <s v="null"/>
    <n v="200"/>
    <n v="26.7"/>
    <n v="3.9"/>
    <n v="4.8"/>
    <s v="Cash"/>
  </r>
  <r>
    <d v="2024-12-16T00:00:00"/>
    <s v="December"/>
    <d v="1899-12-30T19:47:38"/>
    <s v="&quot;CNR4150977&quot;"/>
    <s v="Completed"/>
    <s v="&quot;CID2327849&quot;"/>
    <x v="5"/>
    <s v="Anand Vihar ISBT"/>
    <s v="Shastri Park"/>
    <n v="10.7"/>
    <n v="17.100000000000001"/>
    <s v="null"/>
    <s v="null"/>
    <s v="null"/>
    <s v="null"/>
    <s v="null"/>
    <s v="null"/>
    <n v="362"/>
    <n v="38.89"/>
    <n v="4.4000000000000004"/>
    <n v="4.8"/>
    <s v="Credit Card"/>
  </r>
  <r>
    <d v="2024-07-24T00:00:00"/>
    <s v="July"/>
    <d v="1899-12-30T22:15:19"/>
    <s v="&quot;CNR3734242&quot;"/>
    <s v="Completed"/>
    <s v="&quot;CID3756393&quot;"/>
    <x v="2"/>
    <s v="Gwal Pahari"/>
    <s v="Vaishali"/>
    <n v="8.6"/>
    <n v="23"/>
    <s v="null"/>
    <s v="null"/>
    <s v="null"/>
    <s v="null"/>
    <s v="null"/>
    <s v="null"/>
    <n v="337"/>
    <n v="30.05"/>
    <n v="4.5999999999999996"/>
    <n v="4.8"/>
    <s v="Cash"/>
  </r>
  <r>
    <d v="2024-01-18T00:00:00"/>
    <s v="January"/>
    <d v="1899-12-30T10:56:13"/>
    <s v="&quot;CNR1225583&quot;"/>
    <s v="Completed"/>
    <s v="&quot;CID5214580&quot;"/>
    <x v="4"/>
    <s v="Indraprastha"/>
    <s v="Shastri Park"/>
    <n v="5.6"/>
    <n v="41.7"/>
    <s v="null"/>
    <s v="null"/>
    <s v="null"/>
    <s v="null"/>
    <s v="null"/>
    <s v="null"/>
    <n v="558"/>
    <n v="26.69"/>
    <n v="4.0999999999999996"/>
    <n v="4.3"/>
    <s v="Cash"/>
  </r>
  <r>
    <d v="2024-07-05T00:00:00"/>
    <s v="July"/>
    <d v="1899-12-30T17:21:56"/>
    <s v="&quot;CNR5229368&quot;"/>
    <s v="Completed"/>
    <s v="&quot;CID2357762&quot;"/>
    <x v="4"/>
    <s v="Barakhamba Road"/>
    <s v="Malviya Nagar"/>
    <n v="2.9"/>
    <n v="16.2"/>
    <s v="null"/>
    <s v="null"/>
    <s v="null"/>
    <s v="null"/>
    <s v="null"/>
    <s v="null"/>
    <n v="800"/>
    <n v="48.89"/>
    <n v="4.2"/>
    <n v="4.5"/>
    <s v="UPI"/>
  </r>
  <r>
    <d v="2024-10-27T00:00:00"/>
    <s v="October"/>
    <d v="1899-12-30T21:37:32"/>
    <s v="&quot;CNR1514107&quot;"/>
    <s v="Completed"/>
    <s v="&quot;CID5502329&quot;"/>
    <x v="1"/>
    <s v="Khan Market"/>
    <s v="Ardee City"/>
    <n v="11.3"/>
    <n v="24.1"/>
    <s v="null"/>
    <s v="null"/>
    <s v="null"/>
    <s v="null"/>
    <s v="null"/>
    <s v="null"/>
    <n v="654"/>
    <n v="49.07"/>
    <n v="4.9000000000000004"/>
    <n v="3.9"/>
    <s v="UPI"/>
  </r>
  <r>
    <d v="2024-08-16T00:00:00"/>
    <s v="August"/>
    <d v="1899-12-30T18:24:09"/>
    <s v="&quot;CNR5802013&quot;"/>
    <s v="Completed"/>
    <s v="&quot;CID4814890&quot;"/>
    <x v="4"/>
    <s v="Kadarpur"/>
    <s v="Patel Chowk"/>
    <n v="13"/>
    <n v="23.3"/>
    <s v="null"/>
    <s v="null"/>
    <s v="null"/>
    <s v="null"/>
    <s v="null"/>
    <s v="null"/>
    <n v="171"/>
    <n v="16.41"/>
    <n v="4.2"/>
    <n v="4"/>
    <s v="UPI"/>
  </r>
  <r>
    <d v="2024-03-21T00:00:00"/>
    <s v="March"/>
    <d v="1899-12-30T20:42:54"/>
    <s v="&quot;CNR9109548&quot;"/>
    <s v="Completed"/>
    <s v="&quot;CID9473312&quot;"/>
    <x v="0"/>
    <s v="Hauz Rani"/>
    <s v="Vidhan Sabha"/>
    <n v="7.1"/>
    <n v="25.4"/>
    <s v="null"/>
    <s v="null"/>
    <s v="null"/>
    <s v="null"/>
    <s v="null"/>
    <s v="null"/>
    <n v="471"/>
    <n v="49.85"/>
    <n v="4.8"/>
    <n v="4.5"/>
    <s v="UPI"/>
  </r>
  <r>
    <d v="2024-09-21T00:00:00"/>
    <s v="September"/>
    <d v="1899-12-30T23:03:35"/>
    <s v="&quot;CNR2660023&quot;"/>
    <s v="No Driver Found"/>
    <s v="&quot;CID8266020&quot;"/>
    <x v="2"/>
    <s v="Saket"/>
    <s v="Vasant Kunj"/>
    <s v="null"/>
    <s v="null"/>
    <s v="null"/>
    <s v="null"/>
    <s v="null"/>
    <s v="null"/>
    <s v="null"/>
    <s v="null"/>
    <s v="null"/>
    <s v="null"/>
    <s v="null"/>
    <s v="null"/>
    <s v="null"/>
  </r>
  <r>
    <d v="2024-04-14T00:00:00"/>
    <s v="April"/>
    <d v="1899-12-30T09:19:28"/>
    <s v="&quot;CNR5332569&quot;"/>
    <s v="Cancelled by Driver"/>
    <s v="&quot;CID7862170&quot;"/>
    <x v="2"/>
    <s v="Jor Bagh"/>
    <s v="Basai Dhankot"/>
    <n v="8.8000000000000007"/>
    <s v="null"/>
    <s v="null"/>
    <s v="null"/>
    <n v="1"/>
    <s v="Customer related issue"/>
    <s v="null"/>
    <s v="null"/>
    <s v="null"/>
    <s v="null"/>
    <s v="null"/>
    <s v="null"/>
    <s v="null"/>
  </r>
  <r>
    <d v="2024-11-26T00:00:00"/>
    <s v="November"/>
    <d v="1899-12-30T21:00:15"/>
    <s v="&quot;CNR6582244&quot;"/>
    <s v="Completed"/>
    <s v="&quot;CID1946537&quot;"/>
    <x v="3"/>
    <s v="Samaypur Badli"/>
    <s v="Maidan Garhi"/>
    <n v="7.7"/>
    <n v="41"/>
    <s v="null"/>
    <s v="null"/>
    <s v="null"/>
    <s v="null"/>
    <s v="null"/>
    <s v="null"/>
    <n v="326"/>
    <n v="36.43"/>
    <n v="3.9"/>
    <n v="3.7"/>
    <s v="UPI"/>
  </r>
  <r>
    <d v="2024-07-05T00:00:00"/>
    <s v="July"/>
    <d v="1899-12-30T14:47:52"/>
    <s v="&quot;CNR9225401&quot;"/>
    <s v="Completed"/>
    <s v="&quot;CID6351880&quot;"/>
    <x v="1"/>
    <s v="Saket A Block"/>
    <s v="Vasant Kunj"/>
    <n v="4.5999999999999996"/>
    <n v="21"/>
    <s v="null"/>
    <s v="null"/>
    <s v="null"/>
    <s v="null"/>
    <s v="null"/>
    <s v="null"/>
    <n v="142"/>
    <n v="12.32"/>
    <n v="4.5"/>
    <n v="4.5999999999999996"/>
    <s v="UPI"/>
  </r>
  <r>
    <d v="2024-03-21T00:00:00"/>
    <s v="March"/>
    <d v="1899-12-30T20:30:17"/>
    <s v="&quot;CNR9779407&quot;"/>
    <s v="Completed"/>
    <s v="&quot;CID9017905&quot;"/>
    <x v="4"/>
    <s v="Huda City Centre"/>
    <s v="Saket"/>
    <n v="14.2"/>
    <n v="35"/>
    <s v="null"/>
    <s v="null"/>
    <s v="null"/>
    <s v="null"/>
    <s v="null"/>
    <s v="null"/>
    <n v="234"/>
    <n v="21.61"/>
    <n v="4.9000000000000004"/>
    <n v="5"/>
    <s v="Cash"/>
  </r>
  <r>
    <d v="2024-12-06T00:00:00"/>
    <s v="December"/>
    <d v="1899-12-30T22:19:58"/>
    <s v="&quot;CNR7499719&quot;"/>
    <s v="Incomplete"/>
    <s v="&quot;CID7731156&quot;"/>
    <x v="5"/>
    <s v="Shastri Park"/>
    <s v="Raj Nagar Extension"/>
    <n v="8.8000000000000007"/>
    <n v="20.8"/>
    <s v="null"/>
    <s v="null"/>
    <s v="null"/>
    <s v="null"/>
    <n v="1"/>
    <s v="Customer Demand"/>
    <n v="483"/>
    <n v="3.88"/>
    <s v="null"/>
    <s v="null"/>
    <s v="Uber Wallet"/>
  </r>
  <r>
    <d v="2024-04-01T00:00:00"/>
    <s v="April"/>
    <d v="1899-12-30T17:51:08"/>
    <s v="&quot;CNR1119582&quot;"/>
    <s v="Completed"/>
    <s v="&quot;CID5402994&quot;"/>
    <x v="3"/>
    <s v="Azadpur"/>
    <s v="Janakpuri"/>
    <n v="5.3"/>
    <n v="21.1"/>
    <s v="null"/>
    <s v="null"/>
    <s v="null"/>
    <s v="null"/>
    <s v="null"/>
    <s v="null"/>
    <n v="203"/>
    <n v="14.94"/>
    <n v="3.8"/>
    <n v="5"/>
    <s v="UPI"/>
  </r>
  <r>
    <d v="2024-11-30T00:00:00"/>
    <s v="November"/>
    <d v="1899-12-30T20:25:20"/>
    <s v="&quot;CNR8016519&quot;"/>
    <s v="Completed"/>
    <s v="&quot;CID6857817&quot;"/>
    <x v="5"/>
    <s v="Satguru Ram Singh Marg"/>
    <s v="Govindpuri"/>
    <n v="5.2"/>
    <n v="18.7"/>
    <s v="null"/>
    <s v="null"/>
    <s v="null"/>
    <s v="null"/>
    <s v="null"/>
    <s v="null"/>
    <n v="1117"/>
    <n v="7.03"/>
    <n v="3.7"/>
    <n v="4.7"/>
    <s v="UPI"/>
  </r>
  <r>
    <d v="2024-07-19T00:00:00"/>
    <s v="July"/>
    <d v="1899-12-30T01:06:04"/>
    <s v="&quot;CNR9644415&quot;"/>
    <s v="Completed"/>
    <s v="&quot;CID5577509&quot;"/>
    <x v="1"/>
    <s v="Ashok Park Main"/>
    <s v="South Extension"/>
    <n v="2.2999999999999998"/>
    <n v="16.5"/>
    <s v="null"/>
    <s v="null"/>
    <s v="null"/>
    <s v="null"/>
    <s v="null"/>
    <s v="null"/>
    <n v="394"/>
    <n v="37.69"/>
    <n v="4.9000000000000004"/>
    <n v="4.4000000000000004"/>
    <s v="Cash"/>
  </r>
  <r>
    <d v="2024-08-14T00:00:00"/>
    <s v="August"/>
    <d v="1899-12-30T18:43:51"/>
    <s v="&quot;CNR5456664&quot;"/>
    <s v="No Driver Found"/>
    <s v="&quot;CID4715517&quot;"/>
    <x v="4"/>
    <s v="Bhiwadi"/>
    <s v="Seelampur"/>
    <s v="null"/>
    <s v="null"/>
    <s v="null"/>
    <s v="null"/>
    <s v="null"/>
    <s v="null"/>
    <s v="null"/>
    <s v="null"/>
    <s v="null"/>
    <s v="null"/>
    <s v="null"/>
    <s v="null"/>
    <s v="null"/>
  </r>
  <r>
    <d v="2024-06-23T00:00:00"/>
    <s v="June"/>
    <d v="1899-12-30T06:59:49"/>
    <s v="&quot;CNR4729656&quot;"/>
    <s v="Completed"/>
    <s v="&quot;CID2582691&quot;"/>
    <x v="3"/>
    <s v="Tis Hazari"/>
    <s v="Botanical Garden"/>
    <n v="8"/>
    <n v="16.899999999999999"/>
    <s v="null"/>
    <s v="null"/>
    <s v="null"/>
    <s v="null"/>
    <s v="null"/>
    <s v="null"/>
    <n v="354"/>
    <n v="41.21"/>
    <n v="4.5999999999999996"/>
    <n v="4.8"/>
    <s v="UPI"/>
  </r>
  <r>
    <d v="2024-01-14T00:00:00"/>
    <s v="January"/>
    <d v="1899-12-30T20:40:24"/>
    <s v="&quot;CNR6652189&quot;"/>
    <s v="Cancelled by Driver"/>
    <s v="&quot;CID6423494&quot;"/>
    <x v="4"/>
    <s v="Rajiv Chowk"/>
    <s v="Noida Sector 18"/>
    <n v="9.1999999999999993"/>
    <s v="null"/>
    <s v="null"/>
    <s v="null"/>
    <n v="1"/>
    <s v="More than permitted people in there"/>
    <s v="null"/>
    <s v="null"/>
    <s v="null"/>
    <s v="null"/>
    <s v="null"/>
    <s v="null"/>
    <s v="null"/>
  </r>
  <r>
    <d v="2024-05-28T00:00:00"/>
    <s v="May"/>
    <d v="1899-12-30T16:31:47"/>
    <s v="&quot;CNR2437908&quot;"/>
    <s v="Completed"/>
    <s v="&quot;CID6838450&quot;"/>
    <x v="3"/>
    <s v="Arjangarh"/>
    <s v="IMT Manesar"/>
    <n v="10.1"/>
    <n v="24.9"/>
    <s v="null"/>
    <s v="null"/>
    <s v="null"/>
    <s v="null"/>
    <s v="null"/>
    <s v="null"/>
    <n v="184"/>
    <n v="29.02"/>
    <n v="3.7"/>
    <n v="4.0999999999999996"/>
    <s v="UPI"/>
  </r>
  <r>
    <d v="2024-12-07T00:00:00"/>
    <s v="December"/>
    <d v="1899-12-30T14:19:04"/>
    <s v="&quot;CNR5603997&quot;"/>
    <s v="Completed"/>
    <s v="&quot;CID3412071&quot;"/>
    <x v="4"/>
    <s v="Patel Chowk"/>
    <s v="Dwarka Mor"/>
    <n v="5.8"/>
    <n v="28.3"/>
    <s v="null"/>
    <s v="null"/>
    <s v="null"/>
    <s v="null"/>
    <s v="null"/>
    <s v="null"/>
    <n v="163"/>
    <n v="13.87"/>
    <n v="4.5999999999999996"/>
    <n v="3"/>
    <s v="Cash"/>
  </r>
  <r>
    <d v="2024-08-23T00:00:00"/>
    <s v="August"/>
    <d v="1899-12-30T12:36:07"/>
    <s v="&quot;CNR9904285&quot;"/>
    <s v="Completed"/>
    <s v="&quot;CID1832976&quot;"/>
    <x v="1"/>
    <s v="Palam Vihar"/>
    <s v="Huda City Centre"/>
    <n v="9.9"/>
    <n v="36.1"/>
    <s v="null"/>
    <s v="null"/>
    <s v="null"/>
    <s v="null"/>
    <s v="null"/>
    <s v="null"/>
    <n v="221"/>
    <n v="41.05"/>
    <n v="4.5999999999999996"/>
    <n v="4.0999999999999996"/>
    <s v="Debit Card"/>
  </r>
  <r>
    <d v="2024-05-08T00:00:00"/>
    <s v="May"/>
    <d v="1899-12-30T11:33:08"/>
    <s v="&quot;CNR2349802&quot;"/>
    <s v="Completed"/>
    <s v="&quot;CID9824071&quot;"/>
    <x v="2"/>
    <s v="Indraprastha"/>
    <s v="IFFCO Chowk"/>
    <n v="2.6"/>
    <n v="21.6"/>
    <s v="null"/>
    <s v="null"/>
    <s v="null"/>
    <s v="null"/>
    <s v="null"/>
    <s v="null"/>
    <n v="994"/>
    <n v="7.78"/>
    <n v="4.0999999999999996"/>
    <n v="4.2"/>
    <s v="Credit Card"/>
  </r>
  <r>
    <d v="2024-12-16T00:00:00"/>
    <s v="December"/>
    <d v="1899-12-30T20:49:44"/>
    <s v="&quot;CNR3812162&quot;"/>
    <s v="Completed"/>
    <s v="&quot;CID7474910&quot;"/>
    <x v="2"/>
    <s v="Panchsheel Park"/>
    <s v="Botanical Garden"/>
    <n v="12.3"/>
    <n v="43.2"/>
    <s v="null"/>
    <s v="null"/>
    <s v="null"/>
    <s v="null"/>
    <s v="null"/>
    <s v="null"/>
    <n v="266"/>
    <n v="36.270000000000003"/>
    <n v="3.9"/>
    <n v="4.5"/>
    <s v="UPI"/>
  </r>
  <r>
    <d v="2024-04-10T00:00:00"/>
    <s v="April"/>
    <d v="1899-12-30T08:19:49"/>
    <s v="&quot;CNR6718124&quot;"/>
    <s v="Cancelled by Driver"/>
    <s v="&quot;CID1617069&quot;"/>
    <x v="5"/>
    <s v="Bahadurgarh"/>
    <s v="New Colony"/>
    <n v="6.3"/>
    <s v="null"/>
    <s v="null"/>
    <s v="null"/>
    <n v="1"/>
    <s v="More than permitted people in there"/>
    <s v="null"/>
    <s v="null"/>
    <s v="null"/>
    <s v="null"/>
    <s v="null"/>
    <s v="null"/>
    <s v="null"/>
  </r>
  <r>
    <d v="2024-05-09T00:00:00"/>
    <s v="May"/>
    <d v="1899-12-30T14:28:27"/>
    <s v="&quot;CNR6519969&quot;"/>
    <s v="Cancelled by Driver"/>
    <s v="&quot;CID1271357&quot;"/>
    <x v="3"/>
    <s v="Huda City Centre"/>
    <s v="Jor Bagh"/>
    <n v="6.2"/>
    <s v="null"/>
    <s v="null"/>
    <s v="null"/>
    <n v="1"/>
    <s v="The customer was coughing/sick"/>
    <s v="null"/>
    <s v="null"/>
    <s v="null"/>
    <s v="null"/>
    <s v="null"/>
    <s v="null"/>
    <s v="null"/>
  </r>
  <r>
    <d v="2024-04-01T00:00:00"/>
    <s v="April"/>
    <d v="1899-12-30T17:07:27"/>
    <s v="&quot;CNR8247998&quot;"/>
    <s v="No Driver Found"/>
    <s v="&quot;CID2775210&quot;"/>
    <x v="1"/>
    <s v="Khan Market"/>
    <s v="Subhash Chowk"/>
    <s v="null"/>
    <s v="null"/>
    <s v="null"/>
    <s v="null"/>
    <s v="null"/>
    <s v="null"/>
    <s v="null"/>
    <s v="null"/>
    <s v="null"/>
    <s v="null"/>
    <s v="null"/>
    <s v="null"/>
    <s v="null"/>
  </r>
  <r>
    <d v="2024-04-03T00:00:00"/>
    <s v="April"/>
    <d v="1899-12-30T12:13:08"/>
    <s v="&quot;CNR7880156&quot;"/>
    <s v="Completed"/>
    <s v="&quot;CID9349348&quot;"/>
    <x v="4"/>
    <s v="Panchsheel Park"/>
    <s v="Subhash Nagar"/>
    <n v="10.9"/>
    <n v="19.600000000000001"/>
    <s v="null"/>
    <s v="null"/>
    <s v="null"/>
    <s v="null"/>
    <s v="null"/>
    <s v="null"/>
    <n v="111"/>
    <n v="16.940000000000001"/>
    <n v="3.9"/>
    <n v="4.4000000000000004"/>
    <s v="Cash"/>
  </r>
  <r>
    <d v="2024-03-25T00:00:00"/>
    <s v="March"/>
    <d v="1899-12-30T22:02:52"/>
    <s v="&quot;CNR8040531&quot;"/>
    <s v="Completed"/>
    <s v="&quot;CID2273432&quot;"/>
    <x v="3"/>
    <s v="Dilshad Garden"/>
    <s v="Huda City Centre"/>
    <n v="3.5"/>
    <n v="28"/>
    <s v="null"/>
    <s v="null"/>
    <s v="null"/>
    <s v="null"/>
    <s v="null"/>
    <s v="null"/>
    <n v="442"/>
    <n v="38.08"/>
    <n v="4.5999999999999996"/>
    <n v="4.3"/>
    <s v="UPI"/>
  </r>
  <r>
    <d v="2024-10-13T00:00:00"/>
    <s v="October"/>
    <d v="1899-12-30T18:15:34"/>
    <s v="&quot;CNR5118917&quot;"/>
    <s v="Cancelled by Customer"/>
    <s v="&quot;CID4154067&quot;"/>
    <x v="5"/>
    <s v="Raj Nagar Extension"/>
    <s v="Patel Chowk"/>
    <n v="15"/>
    <s v="null"/>
    <n v="1"/>
    <s v="Driver is not moving towards pickup location"/>
    <s v="null"/>
    <s v="null"/>
    <s v="null"/>
    <s v="null"/>
    <s v="null"/>
    <s v="null"/>
    <s v="null"/>
    <s v="null"/>
    <s v="null"/>
  </r>
  <r>
    <d v="2024-08-14T00:00:00"/>
    <s v="August"/>
    <d v="1899-12-30T18:23:01"/>
    <s v="&quot;CNR5790131&quot;"/>
    <s v="Completed"/>
    <s v="&quot;CID4605629&quot;"/>
    <x v="2"/>
    <s v="Adarsh Nagar"/>
    <s v="Welcome"/>
    <n v="15"/>
    <n v="24.2"/>
    <s v="null"/>
    <s v="null"/>
    <s v="null"/>
    <s v="null"/>
    <s v="null"/>
    <s v="null"/>
    <n v="169"/>
    <n v="7.46"/>
    <n v="4.5"/>
    <n v="4.0999999999999996"/>
    <s v="UPI"/>
  </r>
  <r>
    <d v="2024-02-20T00:00:00"/>
    <s v="February"/>
    <d v="1899-12-30T20:45:19"/>
    <s v="&quot;CNR8312838&quot;"/>
    <s v="Completed"/>
    <s v="&quot;CID3210950&quot;"/>
    <x v="2"/>
    <s v="Palam Vihar"/>
    <s v="Udyog Vihar Phase 4"/>
    <n v="3.7"/>
    <n v="23.8"/>
    <s v="null"/>
    <s v="null"/>
    <s v="null"/>
    <s v="null"/>
    <s v="null"/>
    <s v="null"/>
    <n v="98"/>
    <n v="20.8"/>
    <n v="4.4000000000000004"/>
    <n v="3.7"/>
    <s v="Debit Card"/>
  </r>
  <r>
    <d v="2024-05-18T00:00:00"/>
    <s v="May"/>
    <d v="1899-12-30T10:57:45"/>
    <s v="&quot;CNR8307726&quot;"/>
    <s v="No Driver Found"/>
    <s v="&quot;CID5691528&quot;"/>
    <x v="3"/>
    <s v="Lajpat Nagar"/>
    <s v="Udyog Vihar Phase 4"/>
    <s v="null"/>
    <s v="null"/>
    <s v="null"/>
    <s v="null"/>
    <s v="null"/>
    <s v="null"/>
    <s v="null"/>
    <s v="null"/>
    <s v="null"/>
    <s v="null"/>
    <s v="null"/>
    <s v="null"/>
    <s v="null"/>
  </r>
  <r>
    <d v="2024-05-06T00:00:00"/>
    <s v="May"/>
    <d v="1899-12-30T18:37:16"/>
    <s v="&quot;CNR3232014&quot;"/>
    <s v="Cancelled by Driver"/>
    <s v="&quot;CID6616993&quot;"/>
    <x v="1"/>
    <s v="Golf Course Road"/>
    <s v="Welcome"/>
    <n v="5"/>
    <s v="null"/>
    <s v="null"/>
    <s v="null"/>
    <n v="1"/>
    <s v="The customer was coughing/sick"/>
    <s v="null"/>
    <s v="null"/>
    <s v="null"/>
    <s v="null"/>
    <s v="null"/>
    <s v="null"/>
    <s v="null"/>
  </r>
  <r>
    <d v="2024-01-28T00:00:00"/>
    <s v="January"/>
    <d v="1899-12-30T11:18:30"/>
    <s v="&quot;CNR8002052&quot;"/>
    <s v="Completed"/>
    <s v="&quot;CID4254414&quot;"/>
    <x v="2"/>
    <s v="Kalkaji"/>
    <s v="Jahangirpuri"/>
    <n v="13.7"/>
    <n v="29"/>
    <s v="null"/>
    <s v="null"/>
    <s v="null"/>
    <s v="null"/>
    <s v="null"/>
    <s v="null"/>
    <n v="1311"/>
    <n v="8.24"/>
    <n v="4.2"/>
    <n v="4.0999999999999996"/>
    <s v="UPI"/>
  </r>
  <r>
    <d v="2024-06-27T00:00:00"/>
    <s v="June"/>
    <d v="1899-12-30T11:42:26"/>
    <s v="&quot;CNR8045058&quot;"/>
    <s v="Completed"/>
    <s v="&quot;CID7712950&quot;"/>
    <x v="3"/>
    <s v="New Colony"/>
    <s v="Dilshad Garden"/>
    <n v="3.7"/>
    <n v="34.200000000000003"/>
    <s v="null"/>
    <s v="null"/>
    <s v="null"/>
    <s v="null"/>
    <s v="null"/>
    <s v="null"/>
    <n v="805"/>
    <n v="28.75"/>
    <n v="3.4"/>
    <n v="4.2"/>
    <s v="Uber Wallet"/>
  </r>
  <r>
    <d v="2024-10-22T00:00:00"/>
    <s v="October"/>
    <d v="1899-12-30T20:24:45"/>
    <s v="&quot;CNR5682531&quot;"/>
    <s v="Cancelled by Driver"/>
    <s v="&quot;CID7080169&quot;"/>
    <x v="4"/>
    <s v="Subhash Nagar"/>
    <s v="IMT Manesar"/>
    <n v="10"/>
    <s v="null"/>
    <s v="null"/>
    <s v="null"/>
    <n v="1"/>
    <s v="The customer was coughing/sick"/>
    <s v="null"/>
    <s v="null"/>
    <s v="null"/>
    <s v="null"/>
    <s v="null"/>
    <s v="null"/>
    <s v="null"/>
  </r>
  <r>
    <d v="2024-03-06T00:00:00"/>
    <s v="March"/>
    <d v="1899-12-30T19:05:10"/>
    <s v="&quot;CNR5102449&quot;"/>
    <s v="Cancelled by Customer"/>
    <s v="&quot;CID9555252&quot;"/>
    <x v="3"/>
    <s v="Ghitorni Village"/>
    <s v="DLF City Court"/>
    <n v="5.2"/>
    <s v="null"/>
    <n v="1"/>
    <s v="Change of plans"/>
    <s v="null"/>
    <s v="null"/>
    <s v="null"/>
    <s v="null"/>
    <s v="null"/>
    <s v="null"/>
    <s v="null"/>
    <s v="null"/>
    <s v="null"/>
  </r>
  <r>
    <d v="2024-11-09T00:00:00"/>
    <s v="November"/>
    <d v="1899-12-30T10:34:45"/>
    <s v="&quot;CNR9643938&quot;"/>
    <s v="No Driver Found"/>
    <s v="&quot;CID8686033&quot;"/>
    <x v="0"/>
    <s v="Noida Film City"/>
    <s v="Noida Extension"/>
    <s v="null"/>
    <s v="null"/>
    <s v="null"/>
    <s v="null"/>
    <s v="null"/>
    <s v="null"/>
    <s v="null"/>
    <s v="null"/>
    <s v="null"/>
    <s v="null"/>
    <s v="null"/>
    <s v="null"/>
    <s v="null"/>
  </r>
  <r>
    <d v="2024-05-30T00:00:00"/>
    <s v="May"/>
    <d v="1899-12-30T18:48:18"/>
    <s v="&quot;CNR9794903&quot;"/>
    <s v="No Driver Found"/>
    <s v="&quot;CID4483406&quot;"/>
    <x v="1"/>
    <s v="Seelampur"/>
    <s v="Cyber Hub"/>
    <s v="null"/>
    <s v="null"/>
    <s v="null"/>
    <s v="null"/>
    <s v="null"/>
    <s v="null"/>
    <s v="null"/>
    <s v="null"/>
    <s v="null"/>
    <s v="null"/>
    <s v="null"/>
    <s v="null"/>
    <s v="null"/>
  </r>
  <r>
    <d v="2024-03-02T00:00:00"/>
    <s v="March"/>
    <d v="1899-12-30T07:49:39"/>
    <s v="&quot;CNR7515601&quot;"/>
    <s v="Cancelled by Driver"/>
    <s v="&quot;CID6549525&quot;"/>
    <x v="5"/>
    <s v="Basai Dhankot"/>
    <s v="Lok Kalyan Marg"/>
    <n v="4.7"/>
    <s v="null"/>
    <s v="null"/>
    <s v="null"/>
    <n v="1"/>
    <s v="Personal &amp; Car related issues"/>
    <s v="null"/>
    <s v="null"/>
    <s v="null"/>
    <s v="null"/>
    <s v="null"/>
    <s v="null"/>
    <s v="null"/>
  </r>
  <r>
    <d v="2024-03-06T00:00:00"/>
    <s v="March"/>
    <d v="1899-12-30T14:55:28"/>
    <s v="&quot;CNR5029264&quot;"/>
    <s v="Cancelled by Driver"/>
    <s v="&quot;CID1832188&quot;"/>
    <x v="4"/>
    <s v="Ardee City"/>
    <s v="Kaushambi"/>
    <n v="6.6"/>
    <s v="null"/>
    <s v="null"/>
    <s v="null"/>
    <n v="1"/>
    <s v="Customer related issue"/>
    <s v="null"/>
    <s v="null"/>
    <s v="null"/>
    <s v="null"/>
    <s v="null"/>
    <s v="null"/>
    <s v="null"/>
  </r>
  <r>
    <d v="2024-02-18T00:00:00"/>
    <s v="February"/>
    <d v="1899-12-30T16:41:47"/>
    <s v="&quot;CNR6064614&quot;"/>
    <s v="Completed"/>
    <s v="&quot;CID8940207&quot;"/>
    <x v="5"/>
    <s v="Udyog Vihar Phase 4"/>
    <s v="Ghitorni Village"/>
    <n v="5.8"/>
    <n v="35.6"/>
    <s v="null"/>
    <s v="null"/>
    <s v="null"/>
    <s v="null"/>
    <s v="null"/>
    <s v="null"/>
    <n v="396"/>
    <n v="30.69"/>
    <n v="3.1"/>
    <n v="4.5999999999999996"/>
    <s v="Uber Wallet"/>
  </r>
  <r>
    <d v="2024-01-09T00:00:00"/>
    <s v="January"/>
    <d v="1899-12-30T07:53:31"/>
    <s v="&quot;CNR1014333&quot;"/>
    <s v="Cancelled by Driver"/>
    <s v="&quot;CID1321465&quot;"/>
    <x v="5"/>
    <s v="Botanical Garden"/>
    <s v="Noida Extension"/>
    <n v="4.5999999999999996"/>
    <s v="null"/>
    <s v="null"/>
    <s v="null"/>
    <n v="1"/>
    <s v="Personal &amp; Car related issues"/>
    <s v="null"/>
    <s v="null"/>
    <s v="null"/>
    <s v="null"/>
    <s v="null"/>
    <s v="null"/>
    <s v="null"/>
  </r>
  <r>
    <d v="2024-07-24T00:00:00"/>
    <s v="July"/>
    <d v="1899-12-30T04:03:30"/>
    <s v="&quot;CNR4378110&quot;"/>
    <s v="Completed"/>
    <s v="&quot;CID5808772&quot;"/>
    <x v="3"/>
    <s v="Tughlakabad"/>
    <s v="Sultanpur"/>
    <n v="3.6"/>
    <n v="34.200000000000003"/>
    <s v="null"/>
    <s v="null"/>
    <s v="null"/>
    <s v="null"/>
    <s v="null"/>
    <s v="null"/>
    <n v="827"/>
    <n v="9.44"/>
    <n v="3.9"/>
    <n v="5"/>
    <s v="Uber Wallet"/>
  </r>
  <r>
    <d v="2024-08-05T00:00:00"/>
    <s v="August"/>
    <d v="1899-12-30T10:32:14"/>
    <s v="&quot;CNR6262050&quot;"/>
    <s v="Completed"/>
    <s v="&quot;CID1519615&quot;"/>
    <x v="4"/>
    <s v="DLF City Court"/>
    <s v="Golf Course Road"/>
    <n v="6.6"/>
    <n v="37"/>
    <s v="null"/>
    <s v="null"/>
    <s v="null"/>
    <s v="null"/>
    <s v="null"/>
    <s v="null"/>
    <n v="269"/>
    <n v="11.46"/>
    <n v="3.2"/>
    <n v="4.8"/>
    <s v="UPI"/>
  </r>
  <r>
    <d v="2024-12-21T00:00:00"/>
    <s v="December"/>
    <d v="1899-12-30T21:43:18"/>
    <s v="&quot;CNR3852879&quot;"/>
    <s v="Completed"/>
    <s v="&quot;CID3865550&quot;"/>
    <x v="4"/>
    <s v="Botanical Garden"/>
    <s v="Ashok Vihar"/>
    <n v="6"/>
    <n v="35.799999999999997"/>
    <s v="null"/>
    <s v="null"/>
    <s v="null"/>
    <s v="null"/>
    <s v="null"/>
    <s v="null"/>
    <n v="910"/>
    <n v="18.670000000000002"/>
    <n v="4.3"/>
    <n v="4.3"/>
    <s v="Debit Card"/>
  </r>
  <r>
    <d v="2024-05-13T00:00:00"/>
    <s v="May"/>
    <d v="1899-12-30T01:34:22"/>
    <s v="&quot;CNR8612043&quot;"/>
    <s v="Completed"/>
    <s v="&quot;CID9079035&quot;"/>
    <x v="0"/>
    <s v="Sadar Bazar Gurgaon"/>
    <s v="New Colony"/>
    <n v="9.3000000000000007"/>
    <n v="37.5"/>
    <s v="null"/>
    <s v="null"/>
    <s v="null"/>
    <s v="null"/>
    <s v="null"/>
    <s v="null"/>
    <n v="215"/>
    <n v="44.66"/>
    <n v="3.8"/>
    <n v="4.5"/>
    <s v="Credit Card"/>
  </r>
  <r>
    <d v="2024-08-13T00:00:00"/>
    <s v="August"/>
    <d v="1899-12-30T11:15:42"/>
    <s v="&quot;CNR7090590&quot;"/>
    <s v="Cancelled by Driver"/>
    <s v="&quot;CID7765452&quot;"/>
    <x v="4"/>
    <s v="Chandni Chowk"/>
    <s v="Uttam Nagar"/>
    <n v="8.1"/>
    <s v="null"/>
    <s v="null"/>
    <s v="null"/>
    <n v="1"/>
    <s v="The customer was coughing/sick"/>
    <s v="null"/>
    <s v="null"/>
    <s v="null"/>
    <s v="null"/>
    <s v="null"/>
    <s v="null"/>
    <s v="null"/>
  </r>
  <r>
    <d v="2024-03-27T00:00:00"/>
    <s v="March"/>
    <d v="1899-12-30T10:35:57"/>
    <s v="&quot;CNR9596957&quot;"/>
    <s v="Completed"/>
    <s v="&quot;CID9489055&quot;"/>
    <x v="4"/>
    <s v="IMT Manesar"/>
    <s v="Model Town"/>
    <n v="12.8"/>
    <n v="28.7"/>
    <s v="null"/>
    <s v="null"/>
    <s v="null"/>
    <s v="null"/>
    <s v="null"/>
    <s v="null"/>
    <n v="613"/>
    <n v="28.5"/>
    <n v="4.2"/>
    <n v="4.4000000000000004"/>
    <s v="UPI"/>
  </r>
  <r>
    <d v="2024-09-27T00:00:00"/>
    <s v="September"/>
    <d v="1899-12-30T18:10:28"/>
    <s v="&quot;CNR3903771&quot;"/>
    <s v="No Driver Found"/>
    <s v="&quot;CID2090352&quot;"/>
    <x v="1"/>
    <s v="Preet Vihar"/>
    <s v="Netaji Subhash Place"/>
    <s v="null"/>
    <s v="null"/>
    <s v="null"/>
    <s v="null"/>
    <s v="null"/>
    <s v="null"/>
    <s v="null"/>
    <s v="null"/>
    <s v="null"/>
    <s v="null"/>
    <s v="null"/>
    <s v="null"/>
    <s v="null"/>
  </r>
  <r>
    <d v="2024-03-18T00:00:00"/>
    <s v="March"/>
    <d v="1899-12-30T07:31:29"/>
    <s v="&quot;CNR1411238&quot;"/>
    <s v="Completed"/>
    <s v="&quot;CID1130305&quot;"/>
    <x v="2"/>
    <s v="Udyog Vihar"/>
    <s v="Rajiv Nagar"/>
    <n v="9.1"/>
    <n v="16.2"/>
    <s v="null"/>
    <s v="null"/>
    <s v="null"/>
    <s v="null"/>
    <s v="null"/>
    <s v="null"/>
    <n v="393"/>
    <n v="9.39"/>
    <n v="3.7"/>
    <n v="4.2"/>
    <s v="UPI"/>
  </r>
  <r>
    <d v="2024-01-20T00:00:00"/>
    <s v="January"/>
    <d v="1899-12-30T14:13:59"/>
    <s v="&quot;CNR7088895&quot;"/>
    <s v="Incomplete"/>
    <s v="&quot;CID5439093&quot;"/>
    <x v="5"/>
    <s v="Rithala"/>
    <s v="New Colony"/>
    <n v="6.6"/>
    <n v="22.7"/>
    <s v="null"/>
    <s v="null"/>
    <s v="null"/>
    <s v="null"/>
    <n v="1"/>
    <s v="Vehicle Breakdown"/>
    <n v="315"/>
    <n v="19.670000000000002"/>
    <s v="null"/>
    <s v="null"/>
    <s v="Cash"/>
  </r>
  <r>
    <d v="2024-05-28T00:00:00"/>
    <s v="May"/>
    <d v="1899-12-30T11:08:10"/>
    <s v="&quot;CNR6374018&quot;"/>
    <s v="Completed"/>
    <s v="&quot;CID9501499&quot;"/>
    <x v="5"/>
    <s v="Satguru Ram Singh Marg"/>
    <s v="Nehru Place"/>
    <n v="12"/>
    <n v="28.1"/>
    <s v="null"/>
    <s v="null"/>
    <s v="null"/>
    <s v="null"/>
    <s v="null"/>
    <s v="null"/>
    <n v="64"/>
    <n v="45.95"/>
    <n v="4.5999999999999996"/>
    <n v="4.5999999999999996"/>
    <s v="Credit Card"/>
  </r>
  <r>
    <d v="2024-06-23T00:00:00"/>
    <s v="June"/>
    <d v="1899-12-30T05:07:20"/>
    <s v="&quot;CNR1293051&quot;"/>
    <s v="Cancelled by Customer"/>
    <s v="&quot;CID7350062&quot;"/>
    <x v="0"/>
    <s v="Janakpuri"/>
    <s v="Bahadurgarh"/>
    <n v="13.2"/>
    <s v="null"/>
    <n v="1"/>
    <s v="Change of plans"/>
    <s v="null"/>
    <s v="null"/>
    <s v="null"/>
    <s v="null"/>
    <s v="null"/>
    <s v="null"/>
    <s v="null"/>
    <s v="null"/>
    <s v="null"/>
  </r>
  <r>
    <d v="2024-02-25T00:00:00"/>
    <s v="February"/>
    <d v="1899-12-30T20:59:12"/>
    <s v="&quot;CNR4054173&quot;"/>
    <s v="Cancelled by Driver"/>
    <s v="&quot;CID2327200&quot;"/>
    <x v="3"/>
    <s v="Dwarka Mor"/>
    <s v="Paharganj"/>
    <n v="7.1"/>
    <s v="null"/>
    <s v="null"/>
    <s v="null"/>
    <n v="1"/>
    <s v="Customer related issue"/>
    <s v="null"/>
    <s v="null"/>
    <s v="null"/>
    <s v="null"/>
    <s v="null"/>
    <s v="null"/>
    <s v="null"/>
  </r>
  <r>
    <d v="2024-12-29T00:00:00"/>
    <s v="December"/>
    <d v="1899-12-30T16:26:49"/>
    <s v="&quot;CNR2377415&quot;"/>
    <s v="No Driver Found"/>
    <s v="&quot;CID4491822&quot;"/>
    <x v="4"/>
    <s v="Rohini West"/>
    <s v="Rajiv Chowk"/>
    <s v="null"/>
    <s v="null"/>
    <s v="null"/>
    <s v="null"/>
    <s v="null"/>
    <s v="null"/>
    <s v="null"/>
    <s v="null"/>
    <s v="null"/>
    <s v="null"/>
    <s v="null"/>
    <s v="null"/>
    <s v="null"/>
  </r>
  <r>
    <d v="2024-11-04T00:00:00"/>
    <s v="November"/>
    <d v="1899-12-30T09:49:01"/>
    <s v="&quot;CNR7738075&quot;"/>
    <s v="Completed"/>
    <s v="&quot;CID4932452&quot;"/>
    <x v="2"/>
    <s v="Greater Kailash"/>
    <s v="Shastri Park"/>
    <n v="8.3000000000000007"/>
    <n v="33.5"/>
    <s v="null"/>
    <s v="null"/>
    <s v="null"/>
    <s v="null"/>
    <s v="null"/>
    <s v="null"/>
    <n v="229"/>
    <n v="23.54"/>
    <n v="3.9"/>
    <n v="3.3"/>
    <s v="UPI"/>
  </r>
  <r>
    <d v="2024-09-09T00:00:00"/>
    <s v="September"/>
    <d v="1899-12-30T19:51:36"/>
    <s v="&quot;CNR7783758&quot;"/>
    <s v="Completed"/>
    <s v="&quot;CID5342012&quot;"/>
    <x v="2"/>
    <s v="DLF Phase 3"/>
    <s v="Sikanderpur"/>
    <n v="11.8"/>
    <n v="16.5"/>
    <s v="null"/>
    <s v="null"/>
    <s v="null"/>
    <s v="null"/>
    <s v="null"/>
    <s v="null"/>
    <n v="200"/>
    <n v="37.57"/>
    <n v="5"/>
    <n v="4.8"/>
    <s v="Cash"/>
  </r>
  <r>
    <d v="2024-11-23T00:00:00"/>
    <s v="November"/>
    <d v="1899-12-30T23:02:51"/>
    <s v="&quot;CNR4013019&quot;"/>
    <s v="Completed"/>
    <s v="&quot;CID9594819&quot;"/>
    <x v="4"/>
    <s v="Sultanpur"/>
    <s v="Adarsh Nagar"/>
    <n v="11.3"/>
    <n v="17.7"/>
    <s v="null"/>
    <s v="null"/>
    <s v="null"/>
    <s v="null"/>
    <s v="null"/>
    <s v="null"/>
    <n v="417"/>
    <n v="48.34"/>
    <n v="4"/>
    <n v="4.3"/>
    <s v="Cash"/>
  </r>
  <r>
    <d v="2024-10-31T00:00:00"/>
    <s v="October"/>
    <d v="1899-12-30T05:34:45"/>
    <s v="&quot;CNR8881470&quot;"/>
    <s v="Cancelled by Driver"/>
    <s v="&quot;CID4932698&quot;"/>
    <x v="4"/>
    <s v="Adarsh Nagar"/>
    <s v="India Gate"/>
    <n v="7.2"/>
    <s v="null"/>
    <s v="null"/>
    <s v="null"/>
    <n v="1"/>
    <s v="More than permitted people in there"/>
    <s v="null"/>
    <s v="null"/>
    <s v="null"/>
    <s v="null"/>
    <s v="null"/>
    <s v="null"/>
    <s v="null"/>
  </r>
  <r>
    <d v="2024-08-21T00:00:00"/>
    <s v="August"/>
    <d v="1899-12-30T17:13:31"/>
    <s v="&quot;CNR2815251&quot;"/>
    <s v="Completed"/>
    <s v="&quot;CID6116938&quot;"/>
    <x v="2"/>
    <s v="Malviya Nagar"/>
    <s v="Okhla"/>
    <n v="14.9"/>
    <n v="35.299999999999997"/>
    <s v="null"/>
    <s v="null"/>
    <s v="null"/>
    <s v="null"/>
    <s v="null"/>
    <s v="null"/>
    <n v="292"/>
    <n v="13.21"/>
    <n v="3.9"/>
    <n v="4.7"/>
    <s v="UPI"/>
  </r>
  <r>
    <d v="2024-05-05T00:00:00"/>
    <s v="May"/>
    <d v="1899-12-30T21:37:48"/>
    <s v="&quot;CNR6067092&quot;"/>
    <s v="Completed"/>
    <s v="&quot;CID7593764&quot;"/>
    <x v="3"/>
    <s v="Civil Lines Gurgaon"/>
    <s v="Ghitorni"/>
    <n v="11.5"/>
    <n v="15.1"/>
    <s v="null"/>
    <s v="null"/>
    <s v="null"/>
    <s v="null"/>
    <s v="null"/>
    <s v="null"/>
    <n v="1284"/>
    <n v="33.159999999999997"/>
    <n v="3.4"/>
    <n v="4.7"/>
    <s v="Debit Card"/>
  </r>
  <r>
    <d v="2024-10-06T00:00:00"/>
    <s v="October"/>
    <d v="1899-12-30T20:44:06"/>
    <s v="&quot;CNR7740942&quot;"/>
    <s v="Cancelled by Customer"/>
    <s v="&quot;CID6210867&quot;"/>
    <x v="1"/>
    <s v="Punjabi Bagh"/>
    <s v="Vinobapuri"/>
    <n v="5.2"/>
    <s v="null"/>
    <n v="1"/>
    <s v="Change of plans"/>
    <s v="null"/>
    <s v="null"/>
    <s v="null"/>
    <s v="null"/>
    <s v="null"/>
    <s v="null"/>
    <s v="null"/>
    <s v="null"/>
    <s v="null"/>
  </r>
  <r>
    <d v="2024-05-19T00:00:00"/>
    <s v="May"/>
    <d v="1899-12-30T15:23:22"/>
    <s v="&quot;CNR4635469&quot;"/>
    <s v="Completed"/>
    <s v="&quot;CID6486028&quot;"/>
    <x v="5"/>
    <s v="Sultanpur"/>
    <s v="Saket"/>
    <n v="4.0999999999999996"/>
    <n v="21.2"/>
    <s v="null"/>
    <s v="null"/>
    <s v="null"/>
    <s v="null"/>
    <s v="null"/>
    <s v="null"/>
    <n v="791"/>
    <n v="17.309999999999999"/>
    <n v="3.7"/>
    <n v="4.7"/>
    <s v="UPI"/>
  </r>
  <r>
    <d v="2024-07-05T00:00:00"/>
    <s v="July"/>
    <d v="1899-12-30T14:23:15"/>
    <s v="&quot;CNR9773621&quot;"/>
    <s v="Completed"/>
    <s v="&quot;CID4796051&quot;"/>
    <x v="4"/>
    <s v="Ghitorni"/>
    <s v="Ardee City"/>
    <n v="2"/>
    <n v="42.2"/>
    <s v="null"/>
    <s v="null"/>
    <s v="null"/>
    <s v="null"/>
    <s v="null"/>
    <s v="null"/>
    <n v="304"/>
    <n v="37.93"/>
    <n v="4.3"/>
    <n v="4.2"/>
    <s v="Cash"/>
  </r>
  <r>
    <d v="2024-04-05T00:00:00"/>
    <s v="April"/>
    <d v="1899-12-30T21:50:51"/>
    <s v="&quot;CNR5623982&quot;"/>
    <s v="Completed"/>
    <s v="&quot;CID1867596&quot;"/>
    <x v="5"/>
    <s v="Jor Bagh"/>
    <s v="Nehru Place"/>
    <n v="5.9"/>
    <n v="41.5"/>
    <s v="null"/>
    <s v="null"/>
    <s v="null"/>
    <s v="null"/>
    <s v="null"/>
    <s v="null"/>
    <n v="404"/>
    <n v="37.4"/>
    <n v="3.5"/>
    <n v="4.5999999999999996"/>
    <s v="Cash"/>
  </r>
  <r>
    <d v="2024-12-23T00:00:00"/>
    <s v="December"/>
    <d v="1899-12-30T17:28:07"/>
    <s v="&quot;CNR7255873&quot;"/>
    <s v="No Driver Found"/>
    <s v="&quot;CID7144242&quot;"/>
    <x v="1"/>
    <s v="Ardee City"/>
    <s v="Basai Dhankot"/>
    <s v="null"/>
    <s v="null"/>
    <s v="null"/>
    <s v="null"/>
    <s v="null"/>
    <s v="null"/>
    <s v="null"/>
    <s v="null"/>
    <s v="null"/>
    <s v="null"/>
    <s v="null"/>
    <s v="null"/>
    <s v="null"/>
  </r>
  <r>
    <d v="2024-06-01T00:00:00"/>
    <s v="June"/>
    <d v="1899-12-30T18:53:14"/>
    <s v="&quot;CNR9997247&quot;"/>
    <s v="Completed"/>
    <s v="&quot;CID4663643&quot;"/>
    <x v="2"/>
    <s v="Moolchand"/>
    <s v="ITO"/>
    <n v="14"/>
    <n v="32.700000000000003"/>
    <s v="null"/>
    <s v="null"/>
    <s v="null"/>
    <s v="null"/>
    <s v="null"/>
    <s v="null"/>
    <n v="109"/>
    <n v="28.6"/>
    <n v="3.4"/>
    <n v="4.2"/>
    <s v="Cash"/>
  </r>
  <r>
    <d v="2024-06-15T00:00:00"/>
    <s v="June"/>
    <d v="1899-12-30T07:08:01"/>
    <s v="&quot;CNR9550265&quot;"/>
    <s v="Completed"/>
    <s v="&quot;CID4241778&quot;"/>
    <x v="5"/>
    <s v="GTB Nagar"/>
    <s v="Saidulajab"/>
    <n v="14.7"/>
    <n v="15.4"/>
    <s v="null"/>
    <s v="null"/>
    <s v="null"/>
    <s v="null"/>
    <s v="null"/>
    <s v="null"/>
    <n v="506"/>
    <n v="38.659999999999997"/>
    <n v="4.5999999999999996"/>
    <n v="5"/>
    <s v="Cash"/>
  </r>
  <r>
    <d v="2024-01-26T00:00:00"/>
    <s v="January"/>
    <d v="1899-12-30T17:10:04"/>
    <s v="&quot;CNR2984723&quot;"/>
    <s v="Completed"/>
    <s v="&quot;CID1804405&quot;"/>
    <x v="0"/>
    <s v="Ardee City"/>
    <s v="Paharganj"/>
    <n v="9.5"/>
    <n v="32"/>
    <s v="null"/>
    <s v="null"/>
    <s v="null"/>
    <s v="null"/>
    <s v="null"/>
    <s v="null"/>
    <n v="150"/>
    <n v="39.67"/>
    <n v="4.2"/>
    <n v="5"/>
    <s v="Cash"/>
  </r>
  <r>
    <d v="2024-01-29T00:00:00"/>
    <s v="January"/>
    <d v="1899-12-30T18:42:24"/>
    <s v="&quot;CNR1617944&quot;"/>
    <s v="Cancelled by Driver"/>
    <s v="&quot;CID6098062&quot;"/>
    <x v="1"/>
    <s v="Raj Nagar Extension"/>
    <s v="Paschim Vihar"/>
    <n v="10.6"/>
    <s v="null"/>
    <s v="null"/>
    <s v="null"/>
    <n v="1"/>
    <s v="Customer related issue"/>
    <s v="null"/>
    <s v="null"/>
    <s v="null"/>
    <s v="null"/>
    <s v="null"/>
    <s v="null"/>
    <s v="null"/>
  </r>
  <r>
    <d v="2024-03-12T00:00:00"/>
    <s v="March"/>
    <d v="1899-12-30T17:20:08"/>
    <s v="&quot;CNR1040980&quot;"/>
    <s v="Completed"/>
    <s v="&quot;CID5571818&quot;"/>
    <x v="2"/>
    <s v="Narsinghpur"/>
    <s v="Sikanderpur"/>
    <n v="13.3"/>
    <n v="19.5"/>
    <s v="null"/>
    <s v="null"/>
    <s v="null"/>
    <s v="null"/>
    <s v="null"/>
    <s v="null"/>
    <n v="196"/>
    <n v="42.26"/>
    <n v="4"/>
    <n v="4.4000000000000004"/>
    <s v="UPI"/>
  </r>
  <r>
    <d v="2024-09-03T00:00:00"/>
    <s v="September"/>
    <d v="1899-12-30T12:03:41"/>
    <s v="&quot;CNR9355722&quot;"/>
    <s v="Cancelled by Driver"/>
    <s v="&quot;CID7457062&quot;"/>
    <x v="1"/>
    <s v="Shastri Park"/>
    <s v="Seelampur"/>
    <n v="4.5"/>
    <s v="null"/>
    <s v="null"/>
    <s v="null"/>
    <n v="1"/>
    <s v="The customer was coughing/sick"/>
    <s v="null"/>
    <s v="null"/>
    <s v="null"/>
    <s v="null"/>
    <s v="null"/>
    <s v="null"/>
    <s v="null"/>
  </r>
  <r>
    <d v="2024-08-11T00:00:00"/>
    <s v="August"/>
    <d v="1899-12-30T04:32:16"/>
    <s v="&quot;CNR9745285&quot;"/>
    <s v="Completed"/>
    <s v="&quot;CID9345233&quot;"/>
    <x v="2"/>
    <s v="South Extension"/>
    <s v="Tughlakabad"/>
    <n v="14.8"/>
    <n v="28.9"/>
    <s v="null"/>
    <s v="null"/>
    <s v="null"/>
    <s v="null"/>
    <s v="null"/>
    <s v="null"/>
    <n v="655"/>
    <n v="28.14"/>
    <n v="4.5"/>
    <n v="4.0999999999999996"/>
    <s v="UPI"/>
  </r>
  <r>
    <d v="2024-01-18T00:00:00"/>
    <s v="January"/>
    <d v="1899-12-30T22:42:13"/>
    <s v="&quot;CNR2190713&quot;"/>
    <s v="Incomplete"/>
    <s v="&quot;CID4844037&quot;"/>
    <x v="5"/>
    <s v="Barakhamba Road"/>
    <s v="Rohini West"/>
    <n v="7.9"/>
    <n v="21.1"/>
    <s v="null"/>
    <s v="null"/>
    <s v="null"/>
    <s v="null"/>
    <n v="1"/>
    <s v="Customer Demand"/>
    <n v="789"/>
    <n v="12.12"/>
    <s v="null"/>
    <s v="null"/>
    <s v="Cash"/>
  </r>
  <r>
    <d v="2024-05-16T00:00:00"/>
    <s v="May"/>
    <d v="1899-12-30T09:57:40"/>
    <s v="&quot;CNR8421118&quot;"/>
    <s v="Completed"/>
    <s v="&quot;CID4903185&quot;"/>
    <x v="1"/>
    <s v="IMT Manesar"/>
    <s v="Arjangarh"/>
    <n v="7.9"/>
    <n v="27.9"/>
    <s v="null"/>
    <s v="null"/>
    <s v="null"/>
    <s v="null"/>
    <s v="null"/>
    <s v="null"/>
    <n v="408"/>
    <n v="48.57"/>
    <n v="4.4000000000000004"/>
    <n v="4.4000000000000004"/>
    <s v="UPI"/>
  </r>
  <r>
    <d v="2024-06-26T00:00:00"/>
    <s v="June"/>
    <d v="1899-12-30T09:07:03"/>
    <s v="&quot;CNR8515605&quot;"/>
    <s v="Completed"/>
    <s v="&quot;CID2540657&quot;"/>
    <x v="1"/>
    <s v="Vatika Chowk"/>
    <s v="RK Puram"/>
    <n v="12.6"/>
    <n v="41.5"/>
    <s v="null"/>
    <s v="null"/>
    <s v="null"/>
    <s v="null"/>
    <s v="null"/>
    <s v="null"/>
    <n v="397"/>
    <n v="30.58"/>
    <n v="3.8"/>
    <n v="4.5999999999999996"/>
    <s v="UPI"/>
  </r>
  <r>
    <d v="2024-03-30T00:00:00"/>
    <s v="March"/>
    <d v="1899-12-30T00:51:55"/>
    <s v="&quot;CNR5333516&quot;"/>
    <s v="Completed"/>
    <s v="&quot;CID5665850&quot;"/>
    <x v="2"/>
    <s v="Nirman Vihar"/>
    <s v="Rajouri Garden"/>
    <n v="14.3"/>
    <n v="37.6"/>
    <s v="null"/>
    <s v="null"/>
    <s v="null"/>
    <s v="null"/>
    <s v="null"/>
    <s v="null"/>
    <n v="1079"/>
    <n v="18.739999999999998"/>
    <n v="4.7"/>
    <n v="4"/>
    <s v="UPI"/>
  </r>
  <r>
    <d v="2024-09-14T00:00:00"/>
    <s v="September"/>
    <d v="1899-12-30T07:07:42"/>
    <s v="&quot;CNR8297132&quot;"/>
    <s v="Cancelled by Driver"/>
    <s v="&quot;CID9988553&quot;"/>
    <x v="5"/>
    <s v="Vishwavidyalaya"/>
    <s v="Kherki Daula Toll"/>
    <n v="4.9000000000000004"/>
    <s v="null"/>
    <s v="null"/>
    <s v="null"/>
    <n v="1"/>
    <s v="More than permitted people in there"/>
    <s v="null"/>
    <s v="null"/>
    <s v="null"/>
    <s v="null"/>
    <s v="null"/>
    <s v="null"/>
    <s v="null"/>
  </r>
  <r>
    <d v="2024-05-09T00:00:00"/>
    <s v="May"/>
    <d v="1899-12-30T19:46:09"/>
    <s v="&quot;CNR9164552&quot;"/>
    <s v="Completed"/>
    <s v="&quot;CID8275193&quot;"/>
    <x v="1"/>
    <s v="IGNOU Road"/>
    <s v="South Extension"/>
    <n v="10.7"/>
    <n v="26.5"/>
    <s v="null"/>
    <s v="null"/>
    <s v="null"/>
    <s v="null"/>
    <s v="null"/>
    <s v="null"/>
    <n v="247"/>
    <n v="42.88"/>
    <n v="4.3"/>
    <n v="4.3"/>
    <s v="Cash"/>
  </r>
  <r>
    <d v="2024-12-21T00:00:00"/>
    <s v="December"/>
    <d v="1899-12-30T10:14:15"/>
    <s v="&quot;CNR8485090&quot;"/>
    <s v="Completed"/>
    <s v="&quot;CID5216991&quot;"/>
    <x v="0"/>
    <s v="Pulbangash"/>
    <s v="Chanakyapuri"/>
    <n v="3"/>
    <n v="44.7"/>
    <s v="null"/>
    <s v="null"/>
    <s v="null"/>
    <s v="null"/>
    <s v="null"/>
    <s v="null"/>
    <n v="150"/>
    <n v="12.82"/>
    <n v="3.3"/>
    <n v="4.5999999999999996"/>
    <s v="UPI"/>
  </r>
  <r>
    <d v="2024-08-06T00:00:00"/>
    <s v="August"/>
    <d v="1899-12-30T06:23:51"/>
    <s v="&quot;CNR3607314&quot;"/>
    <s v="Completed"/>
    <s v="&quot;CID8023764&quot;"/>
    <x v="1"/>
    <s v="Mandi House"/>
    <s v="Netaji Subhash Place"/>
    <n v="14.9"/>
    <n v="27.2"/>
    <s v="null"/>
    <s v="null"/>
    <s v="null"/>
    <s v="null"/>
    <s v="null"/>
    <s v="null"/>
    <n v="532"/>
    <n v="18.48"/>
    <n v="3.7"/>
    <n v="4.0999999999999996"/>
    <s v="UPI"/>
  </r>
  <r>
    <d v="2024-11-14T00:00:00"/>
    <s v="November"/>
    <d v="1899-12-30T11:32:54"/>
    <s v="&quot;CNR9459818&quot;"/>
    <s v="No Driver Found"/>
    <s v="&quot;CID6307222&quot;"/>
    <x v="1"/>
    <s v="Hauz Khas"/>
    <s v="Shahdara"/>
    <s v="null"/>
    <s v="null"/>
    <s v="null"/>
    <s v="null"/>
    <s v="null"/>
    <s v="null"/>
    <s v="null"/>
    <s v="null"/>
    <s v="null"/>
    <s v="null"/>
    <s v="null"/>
    <s v="null"/>
    <s v="null"/>
  </r>
  <r>
    <d v="2024-04-16T00:00:00"/>
    <s v="April"/>
    <d v="1899-12-30T20:18:56"/>
    <s v="&quot;CNR6353083&quot;"/>
    <s v="Completed"/>
    <s v="&quot;CID2779684&quot;"/>
    <x v="1"/>
    <s v="Delhi Gate"/>
    <s v="Greater Kailash"/>
    <n v="5.3"/>
    <n v="20.2"/>
    <s v="null"/>
    <s v="null"/>
    <s v="null"/>
    <s v="null"/>
    <s v="null"/>
    <s v="null"/>
    <n v="79"/>
    <n v="9.14"/>
    <n v="4.3"/>
    <n v="4.9000000000000004"/>
    <s v="Credit Card"/>
  </r>
  <r>
    <d v="2024-03-18T00:00:00"/>
    <s v="March"/>
    <d v="1899-12-30T23:04:36"/>
    <s v="&quot;CNR4394990&quot;"/>
    <s v="Completed"/>
    <s v="&quot;CID2820306&quot;"/>
    <x v="2"/>
    <s v="Udyog Vihar"/>
    <s v="Tughlakabad"/>
    <n v="6.7"/>
    <n v="29.4"/>
    <s v="null"/>
    <s v="null"/>
    <s v="null"/>
    <s v="null"/>
    <s v="null"/>
    <s v="null"/>
    <n v="693"/>
    <n v="3.81"/>
    <n v="4.3"/>
    <n v="4.5999999999999996"/>
    <s v="UPI"/>
  </r>
  <r>
    <d v="2024-11-21T00:00:00"/>
    <s v="November"/>
    <d v="1899-12-30T13:40:36"/>
    <s v="&quot;CNR6830353&quot;"/>
    <s v="Completed"/>
    <s v="&quot;CID9470650&quot;"/>
    <x v="5"/>
    <s v="Karkarduma"/>
    <s v="Connaught Place"/>
    <n v="6.2"/>
    <n v="22.7"/>
    <s v="null"/>
    <s v="null"/>
    <s v="null"/>
    <s v="null"/>
    <s v="null"/>
    <s v="null"/>
    <n v="116"/>
    <n v="26.65"/>
    <n v="4.3"/>
    <n v="5"/>
    <s v="UPI"/>
  </r>
  <r>
    <d v="2024-01-04T00:00:00"/>
    <s v="January"/>
    <d v="1899-12-30T21:34:44"/>
    <s v="&quot;CNR7853278&quot;"/>
    <s v="Completed"/>
    <s v="&quot;CID5735140&quot;"/>
    <x v="3"/>
    <s v="Adarsh Nagar"/>
    <s v="Chhatarpur"/>
    <n v="9"/>
    <n v="42.6"/>
    <s v="null"/>
    <s v="null"/>
    <s v="null"/>
    <s v="null"/>
    <s v="null"/>
    <s v="null"/>
    <n v="822"/>
    <n v="43.07"/>
    <n v="4.5999999999999996"/>
    <n v="4.5999999999999996"/>
    <s v="Cash"/>
  </r>
  <r>
    <d v="2024-06-27T00:00:00"/>
    <s v="June"/>
    <d v="1899-12-30T11:15:59"/>
    <s v="&quot;CNR7582563&quot;"/>
    <s v="Incomplete"/>
    <s v="&quot;CID3253580&quot;"/>
    <x v="4"/>
    <s v="Manesar"/>
    <s v="Aya Nagar"/>
    <n v="5.7"/>
    <n v="26.3"/>
    <s v="null"/>
    <s v="null"/>
    <s v="null"/>
    <s v="null"/>
    <n v="1"/>
    <s v="Other Issue"/>
    <n v="859"/>
    <n v="10.75"/>
    <s v="null"/>
    <s v="null"/>
    <s v="Uber Wallet"/>
  </r>
  <r>
    <d v="2024-05-11T00:00:00"/>
    <s v="May"/>
    <d v="1899-12-30T19:53:38"/>
    <s v="&quot;CNR3011900&quot;"/>
    <s v="No Driver Found"/>
    <s v="&quot;CID3543348&quot;"/>
    <x v="2"/>
    <s v="Mundka"/>
    <s v="Indirapuram"/>
    <s v="null"/>
    <s v="null"/>
    <s v="null"/>
    <s v="null"/>
    <s v="null"/>
    <s v="null"/>
    <s v="null"/>
    <s v="null"/>
    <s v="null"/>
    <s v="null"/>
    <s v="null"/>
    <s v="null"/>
    <s v="null"/>
  </r>
  <r>
    <d v="2024-04-01T00:00:00"/>
    <s v="April"/>
    <d v="1899-12-30T17:59:11"/>
    <s v="&quot;CNR7757647&quot;"/>
    <s v="Cancelled by Driver"/>
    <s v="&quot;CID2322190&quot;"/>
    <x v="2"/>
    <s v="Vaishali"/>
    <s v="Palam Vihar"/>
    <n v="9.8000000000000007"/>
    <s v="null"/>
    <s v="null"/>
    <s v="null"/>
    <n v="1"/>
    <s v="More than permitted people in there"/>
    <s v="null"/>
    <s v="null"/>
    <s v="null"/>
    <s v="null"/>
    <s v="null"/>
    <s v="null"/>
    <s v="null"/>
  </r>
  <r>
    <d v="2024-03-19T00:00:00"/>
    <s v="March"/>
    <d v="1899-12-30T10:51:06"/>
    <s v="&quot;CNR2454128&quot;"/>
    <s v="Cancelled by Driver"/>
    <s v="&quot;CID7437817&quot;"/>
    <x v="2"/>
    <s v="Gwal Pahari"/>
    <s v="Pragati Maidan"/>
    <n v="7.9"/>
    <s v="null"/>
    <s v="null"/>
    <s v="null"/>
    <n v="1"/>
    <s v="Customer related issue"/>
    <s v="null"/>
    <s v="null"/>
    <s v="null"/>
    <s v="null"/>
    <s v="null"/>
    <s v="null"/>
    <s v="null"/>
  </r>
  <r>
    <d v="2024-02-28T00:00:00"/>
    <s v="February"/>
    <d v="1899-12-30T17:33:05"/>
    <s v="&quot;CNR2835469&quot;"/>
    <s v="Cancelled by Driver"/>
    <s v="&quot;CID5414240&quot;"/>
    <x v="3"/>
    <s v="INA Market"/>
    <s v="Anand Vihar ISBT"/>
    <n v="11.7"/>
    <s v="null"/>
    <s v="null"/>
    <s v="null"/>
    <n v="1"/>
    <s v="Customer related issue"/>
    <s v="null"/>
    <s v="null"/>
    <s v="null"/>
    <s v="null"/>
    <s v="null"/>
    <s v="null"/>
    <s v="null"/>
  </r>
  <r>
    <d v="2024-09-16T00:00:00"/>
    <s v="September"/>
    <d v="1899-12-30T07:18:34"/>
    <s v="&quot;CNR4660448&quot;"/>
    <s v="Completed"/>
    <s v="&quot;CID4787728&quot;"/>
    <x v="5"/>
    <s v="Old Gurgaon"/>
    <s v="Shahdara"/>
    <n v="7.6"/>
    <n v="21.5"/>
    <s v="null"/>
    <s v="null"/>
    <s v="null"/>
    <s v="null"/>
    <s v="null"/>
    <s v="null"/>
    <n v="1149"/>
    <n v="19.57"/>
    <n v="4.4000000000000004"/>
    <n v="4.3"/>
    <s v="Cash"/>
  </r>
  <r>
    <d v="2024-05-16T00:00:00"/>
    <s v="May"/>
    <d v="1899-12-30T12:32:45"/>
    <s v="&quot;CNR2181948&quot;"/>
    <s v="Completed"/>
    <s v="&quot;CID8304340&quot;"/>
    <x v="2"/>
    <s v="IGI Airport"/>
    <s v="Udyog Bhawan"/>
    <n v="5.8"/>
    <n v="23"/>
    <s v="null"/>
    <s v="null"/>
    <s v="null"/>
    <s v="null"/>
    <s v="null"/>
    <s v="null"/>
    <n v="213"/>
    <n v="42.06"/>
    <n v="4.7"/>
    <n v="4.5999999999999996"/>
    <s v="UPI"/>
  </r>
  <r>
    <d v="2024-08-12T00:00:00"/>
    <s v="August"/>
    <d v="1899-12-30T18:32:11"/>
    <s v="&quot;CNR3242595&quot;"/>
    <s v="Completed"/>
    <s v="&quot;CID3390496&quot;"/>
    <x v="2"/>
    <s v="Hauz Khas"/>
    <s v="India Gate"/>
    <n v="2.9"/>
    <n v="28.8"/>
    <s v="null"/>
    <s v="null"/>
    <s v="null"/>
    <s v="null"/>
    <s v="null"/>
    <s v="null"/>
    <n v="135"/>
    <n v="31.41"/>
    <n v="4.2"/>
    <n v="3.8"/>
    <s v="UPI"/>
  </r>
  <r>
    <d v="2024-11-13T00:00:00"/>
    <s v="November"/>
    <d v="1899-12-30T12:56:28"/>
    <s v="&quot;CNR5225897&quot;"/>
    <s v="Completed"/>
    <s v="&quot;CID2289109&quot;"/>
    <x v="0"/>
    <s v="GTB Nagar"/>
    <s v="Ramesh Nagar"/>
    <n v="6.7"/>
    <n v="36.9"/>
    <s v="null"/>
    <s v="null"/>
    <s v="null"/>
    <s v="null"/>
    <s v="null"/>
    <s v="null"/>
    <n v="606"/>
    <n v="23.03"/>
    <n v="4.9000000000000004"/>
    <n v="4.5999999999999996"/>
    <s v="Cash"/>
  </r>
  <r>
    <d v="2024-11-09T00:00:00"/>
    <s v="November"/>
    <d v="1899-12-30T18:20:06"/>
    <s v="&quot;CNR8485525&quot;"/>
    <s v="Completed"/>
    <s v="&quot;CID3386400&quot;"/>
    <x v="5"/>
    <s v="Panipat"/>
    <s v="Seelampur"/>
    <n v="10.8"/>
    <n v="21.5"/>
    <s v="null"/>
    <s v="null"/>
    <s v="null"/>
    <s v="null"/>
    <s v="null"/>
    <s v="null"/>
    <n v="1167"/>
    <n v="19.91"/>
    <n v="4.2"/>
    <n v="5"/>
    <s v="Cash"/>
  </r>
  <r>
    <d v="2024-05-27T00:00:00"/>
    <s v="May"/>
    <d v="1899-12-30T01:53:17"/>
    <s v="&quot;CNR6591899&quot;"/>
    <s v="Completed"/>
    <s v="&quot;CID7709961&quot;"/>
    <x v="3"/>
    <s v="Kirti Nagar"/>
    <s v="Botanical Garden"/>
    <n v="8.6999999999999993"/>
    <n v="19.8"/>
    <s v="null"/>
    <s v="null"/>
    <s v="null"/>
    <s v="null"/>
    <s v="null"/>
    <s v="null"/>
    <n v="341"/>
    <n v="34.89"/>
    <n v="4.5999999999999996"/>
    <n v="4.9000000000000004"/>
    <s v="Uber Wallet"/>
  </r>
  <r>
    <d v="2024-11-11T00:00:00"/>
    <s v="November"/>
    <d v="1899-12-30T17:30:52"/>
    <s v="&quot;CNR1918185&quot;"/>
    <s v="Completed"/>
    <s v="&quot;CID3329113&quot;"/>
    <x v="4"/>
    <s v="IMT Manesar"/>
    <s v="Subhash Nagar"/>
    <n v="8.1"/>
    <n v="20.2"/>
    <s v="null"/>
    <s v="null"/>
    <s v="null"/>
    <s v="null"/>
    <s v="null"/>
    <s v="null"/>
    <n v="693"/>
    <n v="49.23"/>
    <n v="4.5"/>
    <n v="4.7"/>
    <s v="Credit Card"/>
  </r>
  <r>
    <d v="2024-01-26T00:00:00"/>
    <s v="January"/>
    <d v="1899-12-30T07:33:52"/>
    <s v="&quot;CNR6083000&quot;"/>
    <s v="Completed"/>
    <s v="&quot;CID6880325&quot;"/>
    <x v="0"/>
    <s v="Mansarovar Park"/>
    <s v="Malviya Nagar"/>
    <n v="12.1"/>
    <n v="15.2"/>
    <s v="null"/>
    <s v="null"/>
    <s v="null"/>
    <s v="null"/>
    <s v="null"/>
    <s v="null"/>
    <n v="327"/>
    <n v="3.18"/>
    <n v="4.3"/>
    <n v="4.5999999999999996"/>
    <s v="UPI"/>
  </r>
  <r>
    <d v="2024-08-31T00:00:00"/>
    <s v="August"/>
    <d v="1899-12-30T16:42:51"/>
    <s v="&quot;CNR4409680&quot;"/>
    <s v="Completed"/>
    <s v="&quot;CID7806785&quot;"/>
    <x v="2"/>
    <s v="Udyog Bhawan"/>
    <s v="Chandni Chowk"/>
    <n v="12.2"/>
    <n v="25"/>
    <s v="null"/>
    <s v="null"/>
    <s v="null"/>
    <s v="null"/>
    <s v="null"/>
    <s v="null"/>
    <n v="268"/>
    <n v="12.76"/>
    <n v="4.3"/>
    <n v="4.5"/>
    <s v="UPI"/>
  </r>
  <r>
    <d v="2024-11-09T00:00:00"/>
    <s v="November"/>
    <d v="1899-12-30T13:59:49"/>
    <s v="&quot;CNR8888446&quot;"/>
    <s v="Completed"/>
    <s v="&quot;CID4564685&quot;"/>
    <x v="5"/>
    <s v="Keshav Puram"/>
    <s v="Uttam Nagar"/>
    <n v="13.9"/>
    <n v="31.8"/>
    <s v="null"/>
    <s v="null"/>
    <s v="null"/>
    <s v="null"/>
    <s v="null"/>
    <s v="null"/>
    <n v="187"/>
    <n v="20.3"/>
    <n v="4.3"/>
    <n v="4.2"/>
    <s v="Cash"/>
  </r>
  <r>
    <d v="2024-08-29T00:00:00"/>
    <s v="August"/>
    <d v="1899-12-30T16:42:54"/>
    <s v="&quot;CNR8702299&quot;"/>
    <s v="Incomplete"/>
    <s v="&quot;CID3726780&quot;"/>
    <x v="2"/>
    <s v="Lajpat Nagar"/>
    <s v="Pitampura"/>
    <n v="4.8"/>
    <n v="28"/>
    <s v="null"/>
    <s v="null"/>
    <s v="null"/>
    <s v="null"/>
    <n v="1"/>
    <s v="Other Issue"/>
    <n v="112"/>
    <n v="4.5999999999999996"/>
    <s v="null"/>
    <s v="null"/>
    <s v="UPI"/>
  </r>
  <r>
    <d v="2024-10-16T00:00:00"/>
    <s v="October"/>
    <d v="1899-12-30T16:18:19"/>
    <s v="&quot;CNR1347218&quot;"/>
    <s v="Completed"/>
    <s v="&quot;CID2714982&quot;"/>
    <x v="5"/>
    <s v="Indirapuram"/>
    <s v="Satguru Ram Singh Marg"/>
    <n v="2.2999999999999998"/>
    <n v="15.3"/>
    <s v="null"/>
    <s v="null"/>
    <s v="null"/>
    <s v="null"/>
    <s v="null"/>
    <s v="null"/>
    <n v="536"/>
    <n v="23.28"/>
    <n v="3.3"/>
    <n v="5"/>
    <s v="Credit Card"/>
  </r>
  <r>
    <d v="2024-09-22T00:00:00"/>
    <s v="September"/>
    <d v="1899-12-30T17:48:08"/>
    <s v="&quot;CNR8751630&quot;"/>
    <s v="Cancelled by Driver"/>
    <s v="&quot;CID6701309&quot;"/>
    <x v="4"/>
    <s v="Noida Sector 18"/>
    <s v="Green Park"/>
    <n v="10"/>
    <s v="null"/>
    <s v="null"/>
    <s v="null"/>
    <n v="1"/>
    <s v="More than permitted people in there"/>
    <s v="null"/>
    <s v="null"/>
    <s v="null"/>
    <s v="null"/>
    <s v="null"/>
    <s v="null"/>
    <s v="null"/>
  </r>
  <r>
    <d v="2024-08-21T00:00:00"/>
    <s v="August"/>
    <d v="1899-12-30T18:34:11"/>
    <s v="&quot;CNR3359078&quot;"/>
    <s v="Completed"/>
    <s v="&quot;CID9059706&quot;"/>
    <x v="5"/>
    <s v="New Delhi Railway Station"/>
    <s v="Gurgaon Sector 56"/>
    <n v="2.2000000000000002"/>
    <n v="16.5"/>
    <s v="null"/>
    <s v="null"/>
    <s v="null"/>
    <s v="null"/>
    <s v="null"/>
    <s v="null"/>
    <n v="820"/>
    <n v="36.229999999999997"/>
    <n v="3.7"/>
    <n v="4.5999999999999996"/>
    <s v="Cash"/>
  </r>
  <r>
    <d v="2024-08-14T00:00:00"/>
    <s v="August"/>
    <d v="1899-12-30T10:31:23"/>
    <s v="&quot;CNR9492527&quot;"/>
    <s v="Completed"/>
    <s v="&quot;CID9116359&quot;"/>
    <x v="5"/>
    <s v="Central Secretariat"/>
    <s v="Cyber Hub"/>
    <n v="10.3"/>
    <n v="16.899999999999999"/>
    <s v="null"/>
    <s v="null"/>
    <s v="null"/>
    <s v="null"/>
    <s v="null"/>
    <s v="null"/>
    <n v="191"/>
    <n v="24.2"/>
    <n v="4.5999999999999996"/>
    <n v="4.7"/>
    <s v="Credit Card"/>
  </r>
  <r>
    <d v="2024-08-23T00:00:00"/>
    <s v="August"/>
    <d v="1899-12-30T14:25:42"/>
    <s v="&quot;CNR4639859&quot;"/>
    <s v="Completed"/>
    <s v="&quot;CID4052856&quot;"/>
    <x v="4"/>
    <s v="Saket A Block"/>
    <s v="Adarsh Nagar"/>
    <n v="13"/>
    <n v="16.2"/>
    <s v="null"/>
    <s v="null"/>
    <s v="null"/>
    <s v="null"/>
    <s v="null"/>
    <s v="null"/>
    <n v="329"/>
    <n v="8.2799999999999994"/>
    <n v="4.5"/>
    <n v="5"/>
    <s v="Debit Card"/>
  </r>
  <r>
    <d v="2024-06-30T00:00:00"/>
    <s v="June"/>
    <d v="1899-12-30T20:54:05"/>
    <s v="&quot;CNR9095375&quot;"/>
    <s v="Completed"/>
    <s v="&quot;CID3382507&quot;"/>
    <x v="0"/>
    <s v="Badarpur"/>
    <s v="Jama Masjid"/>
    <n v="8.9"/>
    <n v="30.1"/>
    <s v="null"/>
    <s v="null"/>
    <s v="null"/>
    <s v="null"/>
    <s v="null"/>
    <s v="null"/>
    <n v="456"/>
    <n v="29.75"/>
    <n v="3.7"/>
    <n v="4.2"/>
    <s v="UPI"/>
  </r>
  <r>
    <d v="2024-10-19T00:00:00"/>
    <s v="October"/>
    <d v="1899-12-30T11:18:50"/>
    <s v="&quot;CNR4374938&quot;"/>
    <s v="Completed"/>
    <s v="&quot;CID6260372&quot;"/>
    <x v="1"/>
    <s v="Gurgaon Sector 56"/>
    <s v="Sohna Road"/>
    <n v="6.1"/>
    <n v="25.5"/>
    <s v="null"/>
    <s v="null"/>
    <s v="null"/>
    <s v="null"/>
    <s v="null"/>
    <s v="null"/>
    <n v="137"/>
    <n v="43.55"/>
    <n v="4.3"/>
    <n v="4.9000000000000004"/>
    <s v="UPI"/>
  </r>
  <r>
    <d v="2024-08-04T00:00:00"/>
    <s v="August"/>
    <d v="1899-12-30T17:59:09"/>
    <s v="&quot;CNR9848189&quot;"/>
    <s v="Cancelled by Customer"/>
    <s v="&quot;CID4174741&quot;"/>
    <x v="3"/>
    <s v="Jhilmil"/>
    <s v="Badarpur"/>
    <n v="5.8"/>
    <s v="null"/>
    <n v="1"/>
    <s v="Driver is not moving towards pickup location"/>
    <s v="null"/>
    <s v="null"/>
    <s v="null"/>
    <s v="null"/>
    <s v="null"/>
    <s v="null"/>
    <s v="null"/>
    <s v="null"/>
    <s v="null"/>
  </r>
  <r>
    <d v="2024-08-02T00:00:00"/>
    <s v="August"/>
    <d v="1899-12-30T18:19:05"/>
    <s v="&quot;CNR8659466&quot;"/>
    <s v="Completed"/>
    <s v="&quot;CID9420538&quot;"/>
    <x v="5"/>
    <s v="Palam Vihar"/>
    <s v="Karol Bagh"/>
    <n v="12.3"/>
    <n v="27.2"/>
    <s v="null"/>
    <s v="null"/>
    <s v="null"/>
    <s v="null"/>
    <s v="null"/>
    <s v="null"/>
    <n v="959"/>
    <n v="9.5399999999999991"/>
    <n v="3.7"/>
    <n v="3.3"/>
    <s v="UPI"/>
  </r>
  <r>
    <d v="2024-07-23T00:00:00"/>
    <s v="July"/>
    <d v="1899-12-30T13:06:27"/>
    <s v="&quot;CNR8715264&quot;"/>
    <s v="Cancelled by Customer"/>
    <s v="&quot;CID8960211&quot;"/>
    <x v="2"/>
    <s v="Indirapuram"/>
    <s v="Karol Bagh"/>
    <n v="11.3"/>
    <s v="null"/>
    <n v="1"/>
    <s v="Driver is not moving towards pickup location"/>
    <s v="null"/>
    <s v="null"/>
    <s v="null"/>
    <s v="null"/>
    <s v="null"/>
    <s v="null"/>
    <s v="null"/>
    <s v="null"/>
    <s v="null"/>
  </r>
  <r>
    <d v="2024-01-08T00:00:00"/>
    <s v="January"/>
    <d v="1899-12-30T21:50:27"/>
    <s v="&quot;CNR9935747&quot;"/>
    <s v="No Driver Found"/>
    <s v="&quot;CID6375103&quot;"/>
    <x v="5"/>
    <s v="Pragati Maidan"/>
    <s v="Gwal Pahari"/>
    <s v="null"/>
    <s v="null"/>
    <s v="null"/>
    <s v="null"/>
    <s v="null"/>
    <s v="null"/>
    <s v="null"/>
    <s v="null"/>
    <s v="null"/>
    <s v="null"/>
    <s v="null"/>
    <s v="null"/>
    <s v="null"/>
  </r>
  <r>
    <d v="2024-10-02T00:00:00"/>
    <s v="October"/>
    <d v="1899-12-30T08:48:26"/>
    <s v="&quot;CNR8685135&quot;"/>
    <s v="Completed"/>
    <s v="&quot;CID2643458&quot;"/>
    <x v="2"/>
    <s v="Panipat"/>
    <s v="Narsinghpur"/>
    <n v="7.1"/>
    <n v="31.9"/>
    <s v="null"/>
    <s v="null"/>
    <s v="null"/>
    <s v="null"/>
    <s v="null"/>
    <s v="null"/>
    <n v="55"/>
    <n v="15.62"/>
    <n v="4.4000000000000004"/>
    <n v="4.2"/>
    <s v="Cash"/>
  </r>
  <r>
    <d v="2024-05-24T00:00:00"/>
    <s v="May"/>
    <d v="1899-12-30T17:28:54"/>
    <s v="&quot;CNR4974285&quot;"/>
    <s v="Completed"/>
    <s v="&quot;CID2169140&quot;"/>
    <x v="5"/>
    <s v="Paharganj"/>
    <s v="Rajiv Chowk"/>
    <n v="5.0999999999999996"/>
    <n v="34.799999999999997"/>
    <s v="null"/>
    <s v="null"/>
    <s v="null"/>
    <s v="null"/>
    <s v="null"/>
    <s v="null"/>
    <n v="236"/>
    <n v="9.18"/>
    <n v="3.8"/>
    <n v="4.9000000000000004"/>
    <s v="UPI"/>
  </r>
  <r>
    <d v="2024-03-14T00:00:00"/>
    <s v="March"/>
    <d v="1899-12-30T13:09:52"/>
    <s v="&quot;CNR7308560&quot;"/>
    <s v="Cancelled by Driver"/>
    <s v="&quot;CID9045762&quot;"/>
    <x v="5"/>
    <s v="Cyber Hub"/>
    <s v="Inderlok"/>
    <n v="5.8"/>
    <s v="null"/>
    <s v="null"/>
    <s v="null"/>
    <n v="1"/>
    <s v="More than permitted people in there"/>
    <s v="null"/>
    <s v="null"/>
    <s v="null"/>
    <s v="null"/>
    <s v="null"/>
    <s v="null"/>
    <s v="null"/>
  </r>
  <r>
    <d v="2024-01-20T00:00:00"/>
    <s v="January"/>
    <d v="1899-12-30T18:14:56"/>
    <s v="&quot;CNR7351111&quot;"/>
    <s v="Incomplete"/>
    <s v="&quot;CID9729883&quot;"/>
    <x v="1"/>
    <s v="Dilshad Garden"/>
    <s v="Ashram"/>
    <n v="8.1"/>
    <n v="17.8"/>
    <s v="null"/>
    <s v="null"/>
    <s v="null"/>
    <s v="null"/>
    <n v="1"/>
    <s v="Vehicle Breakdown"/>
    <n v="147"/>
    <n v="4.99"/>
    <s v="null"/>
    <s v="null"/>
    <s v="UPI"/>
  </r>
  <r>
    <d v="2024-10-03T00:00:00"/>
    <s v="October"/>
    <d v="1899-12-30T09:11:09"/>
    <s v="&quot;CNR6977914&quot;"/>
    <s v="Completed"/>
    <s v="&quot;CID9574283&quot;"/>
    <x v="6"/>
    <s v="Barakhamba Road"/>
    <s v="Vaishali"/>
    <n v="10.9"/>
    <n v="20.8"/>
    <s v="null"/>
    <s v="null"/>
    <s v="null"/>
    <s v="null"/>
    <s v="null"/>
    <s v="null"/>
    <n v="351"/>
    <n v="44.94"/>
    <n v="5"/>
    <n v="4.4000000000000004"/>
    <s v="Cash"/>
  </r>
  <r>
    <d v="2024-05-29T00:00:00"/>
    <s v="May"/>
    <d v="1899-12-30T18:45:01"/>
    <s v="&quot;CNR3025545&quot;"/>
    <s v="Cancelled by Driver"/>
    <s v="&quot;CID3749271&quot;"/>
    <x v="2"/>
    <s v="Pulbangash"/>
    <s v="Maidan Garhi"/>
    <n v="3.1"/>
    <s v="null"/>
    <s v="null"/>
    <s v="null"/>
    <n v="1"/>
    <s v="Customer related issue"/>
    <s v="null"/>
    <s v="null"/>
    <s v="null"/>
    <s v="null"/>
    <s v="null"/>
    <s v="null"/>
    <s v="null"/>
  </r>
  <r>
    <d v="2024-06-28T00:00:00"/>
    <s v="June"/>
    <d v="1899-12-30T15:19:20"/>
    <s v="&quot;CNR1878243&quot;"/>
    <s v="Completed"/>
    <s v="&quot;CID3914821&quot;"/>
    <x v="2"/>
    <s v="Meerut"/>
    <s v="Punjabi Bagh"/>
    <n v="3.4"/>
    <n v="40.299999999999997"/>
    <s v="null"/>
    <s v="null"/>
    <s v="null"/>
    <s v="null"/>
    <s v="null"/>
    <s v="null"/>
    <n v="153"/>
    <n v="17.72"/>
    <n v="4.0999999999999996"/>
    <n v="4.3"/>
    <s v="Cash"/>
  </r>
  <r>
    <d v="2024-06-10T00:00:00"/>
    <s v="June"/>
    <d v="1899-12-30T22:32:09"/>
    <s v="&quot;CNR2811416&quot;"/>
    <s v="Completed"/>
    <s v="&quot;CID3489874&quot;"/>
    <x v="5"/>
    <s v="Saket A Block"/>
    <s v="Ghaziabad"/>
    <n v="13.5"/>
    <n v="22.1"/>
    <s v="null"/>
    <s v="null"/>
    <s v="null"/>
    <s v="null"/>
    <s v="null"/>
    <s v="null"/>
    <n v="458"/>
    <n v="8.14"/>
    <n v="3.3"/>
    <n v="4.3"/>
    <s v="UPI"/>
  </r>
  <r>
    <d v="2024-03-26T00:00:00"/>
    <s v="March"/>
    <d v="1899-12-30T03:41:52"/>
    <s v="&quot;CNR5002456&quot;"/>
    <s v="Cancelled by Driver"/>
    <s v="&quot;CID2958474&quot;"/>
    <x v="5"/>
    <s v="Chandni Chowk"/>
    <s v="Noida Extension"/>
    <n v="11.2"/>
    <s v="null"/>
    <s v="null"/>
    <s v="null"/>
    <n v="1"/>
    <s v="The customer was coughing/sick"/>
    <s v="null"/>
    <s v="null"/>
    <s v="null"/>
    <s v="null"/>
    <s v="null"/>
    <s v="null"/>
    <s v="null"/>
  </r>
  <r>
    <d v="2024-06-27T00:00:00"/>
    <s v="June"/>
    <d v="1899-12-30T08:21:07"/>
    <s v="&quot;CNR3147660&quot;"/>
    <s v="Cancelled by Driver"/>
    <s v="&quot;CID4161249&quot;"/>
    <x v="2"/>
    <s v="Chandni Chowk"/>
    <s v="Hauz Khas"/>
    <n v="6.3"/>
    <s v="null"/>
    <s v="null"/>
    <s v="null"/>
    <n v="1"/>
    <s v="More than permitted people in there"/>
    <s v="null"/>
    <s v="null"/>
    <s v="null"/>
    <s v="null"/>
    <s v="null"/>
    <s v="null"/>
    <s v="null"/>
  </r>
  <r>
    <d v="2024-02-25T00:00:00"/>
    <s v="February"/>
    <d v="1899-12-30T19:32:05"/>
    <s v="&quot;CNR2412286&quot;"/>
    <s v="Cancelled by Customer"/>
    <s v="&quot;CID1349136&quot;"/>
    <x v="1"/>
    <s v="Greater Noida"/>
    <s v="Udyog Vihar"/>
    <n v="13.9"/>
    <s v="null"/>
    <n v="1"/>
    <s v="Wrong Address"/>
    <s v="null"/>
    <s v="null"/>
    <s v="null"/>
    <s v="null"/>
    <s v="null"/>
    <s v="null"/>
    <s v="null"/>
    <s v="null"/>
    <s v="null"/>
  </r>
  <r>
    <d v="2024-03-29T00:00:00"/>
    <s v="March"/>
    <d v="1899-12-30T10:52:34"/>
    <s v="&quot;CNR3807454&quot;"/>
    <s v="Completed"/>
    <s v="&quot;CID3957434&quot;"/>
    <x v="0"/>
    <s v="Greater Noida"/>
    <s v="Ashok Park Main"/>
    <n v="6.2"/>
    <n v="33.9"/>
    <s v="null"/>
    <s v="null"/>
    <s v="null"/>
    <s v="null"/>
    <s v="null"/>
    <s v="null"/>
    <n v="216"/>
    <n v="34.42"/>
    <n v="3.1"/>
    <n v="4.9000000000000004"/>
    <s v="UPI"/>
  </r>
  <r>
    <d v="2024-04-05T00:00:00"/>
    <s v="April"/>
    <d v="1899-12-30T22:17:20"/>
    <s v="&quot;CNR9517668&quot;"/>
    <s v="No Driver Found"/>
    <s v="&quot;CID1867642&quot;"/>
    <x v="5"/>
    <s v="New Colony"/>
    <s v="Botanical Garden"/>
    <s v="null"/>
    <s v="null"/>
    <s v="null"/>
    <s v="null"/>
    <s v="null"/>
    <s v="null"/>
    <s v="null"/>
    <s v="null"/>
    <s v="null"/>
    <s v="null"/>
    <s v="null"/>
    <s v="null"/>
    <s v="null"/>
  </r>
  <r>
    <d v="2024-01-10T00:00:00"/>
    <s v="January"/>
    <d v="1899-12-30T20:08:29"/>
    <s v="&quot;CNR2193483&quot;"/>
    <s v="Completed"/>
    <s v="&quot;CID5673861&quot;"/>
    <x v="1"/>
    <s v="Subhash Chowk"/>
    <s v="Sohna Road"/>
    <n v="7.6"/>
    <n v="44.8"/>
    <s v="null"/>
    <s v="null"/>
    <s v="null"/>
    <s v="null"/>
    <s v="null"/>
    <s v="null"/>
    <n v="405"/>
    <n v="19.11"/>
    <n v="3.6"/>
    <n v="4.3"/>
    <s v="Debit Card"/>
  </r>
  <r>
    <d v="2024-10-10T00:00:00"/>
    <s v="October"/>
    <d v="1899-12-30T23:54:40"/>
    <s v="&quot;CNR6361535&quot;"/>
    <s v="Cancelled by Customer"/>
    <s v="&quot;CID9286934&quot;"/>
    <x v="5"/>
    <s v="Kaushambi"/>
    <s v="Khan Market"/>
    <n v="9.6"/>
    <s v="null"/>
    <n v="1"/>
    <s v="Wrong Address"/>
    <s v="null"/>
    <s v="null"/>
    <s v="null"/>
    <s v="null"/>
    <s v="null"/>
    <s v="null"/>
    <s v="null"/>
    <s v="null"/>
    <s v="null"/>
  </r>
  <r>
    <d v="2024-10-06T00:00:00"/>
    <s v="October"/>
    <d v="1899-12-30T22:49:23"/>
    <s v="&quot;CNR5695370&quot;"/>
    <s v="Cancelled by Customer"/>
    <s v="&quot;CID6755589&quot;"/>
    <x v="5"/>
    <s v="Narsinghpur"/>
    <s v="Vaishali"/>
    <n v="6.8"/>
    <s v="null"/>
    <n v="1"/>
    <s v="Wrong Address"/>
    <s v="null"/>
    <s v="null"/>
    <s v="null"/>
    <s v="null"/>
    <s v="null"/>
    <s v="null"/>
    <s v="null"/>
    <s v="null"/>
    <s v="null"/>
  </r>
  <r>
    <d v="2024-12-21T00:00:00"/>
    <s v="December"/>
    <d v="1899-12-30T12:41:01"/>
    <s v="&quot;CNR6409248&quot;"/>
    <s v="Completed"/>
    <s v="&quot;CID9647825&quot;"/>
    <x v="5"/>
    <s v="Saket"/>
    <s v="Narsinghpur"/>
    <n v="11.1"/>
    <n v="39.6"/>
    <s v="null"/>
    <s v="null"/>
    <s v="null"/>
    <s v="null"/>
    <s v="null"/>
    <s v="null"/>
    <n v="97"/>
    <n v="8.69"/>
    <n v="3.2"/>
    <n v="4.0999999999999996"/>
    <s v="Cash"/>
  </r>
  <r>
    <d v="2024-10-21T00:00:00"/>
    <s v="October"/>
    <d v="1899-12-30T08:33:04"/>
    <s v="&quot;CNR1196310&quot;"/>
    <s v="Incomplete"/>
    <s v="&quot;CID1163068&quot;"/>
    <x v="1"/>
    <s v="Peeragarhi"/>
    <s v="Udyog Vihar"/>
    <n v="8.1"/>
    <n v="16.7"/>
    <s v="null"/>
    <s v="null"/>
    <s v="null"/>
    <s v="null"/>
    <n v="1"/>
    <s v="Other Issue"/>
    <n v="630"/>
    <n v="17.600000000000001"/>
    <s v="null"/>
    <s v="null"/>
    <s v="Cash"/>
  </r>
  <r>
    <d v="2024-06-04T00:00:00"/>
    <s v="June"/>
    <d v="1899-12-30T19:45:10"/>
    <s v="&quot;CNR6740582&quot;"/>
    <s v="Completed"/>
    <s v="&quot;CID3832892&quot;"/>
    <x v="4"/>
    <s v="Bahadurgarh"/>
    <s v="Pitampura"/>
    <n v="6.3"/>
    <n v="35.299999999999997"/>
    <s v="null"/>
    <s v="null"/>
    <s v="null"/>
    <s v="null"/>
    <s v="null"/>
    <s v="null"/>
    <n v="387"/>
    <n v="35.07"/>
    <n v="5"/>
    <n v="4.2"/>
    <s v="UPI"/>
  </r>
  <r>
    <d v="2024-09-17T00:00:00"/>
    <s v="September"/>
    <d v="1899-12-30T11:47:18"/>
    <s v="&quot;CNR6083410&quot;"/>
    <s v="Completed"/>
    <s v="&quot;CID9355857&quot;"/>
    <x v="5"/>
    <s v="Moolchand"/>
    <s v="Bhiwadi"/>
    <n v="3.3"/>
    <n v="21.7"/>
    <s v="null"/>
    <s v="null"/>
    <s v="null"/>
    <s v="null"/>
    <s v="null"/>
    <s v="null"/>
    <n v="358"/>
    <n v="8.7799999999999994"/>
    <n v="3.7"/>
    <n v="4.5"/>
    <s v="UPI"/>
  </r>
  <r>
    <d v="2024-11-10T00:00:00"/>
    <s v="November"/>
    <d v="1899-12-30T05:06:50"/>
    <s v="&quot;CNR7955907&quot;"/>
    <s v="Incomplete"/>
    <s v="&quot;CID2029974&quot;"/>
    <x v="5"/>
    <s v="Vasant Kunj"/>
    <s v="Pragati Maidan"/>
    <n v="7.3"/>
    <n v="27.3"/>
    <s v="null"/>
    <s v="null"/>
    <s v="null"/>
    <s v="null"/>
    <n v="1"/>
    <s v="Vehicle Breakdown"/>
    <n v="327"/>
    <n v="8.98"/>
    <s v="null"/>
    <s v="null"/>
    <s v="UPI"/>
  </r>
  <r>
    <d v="2024-06-07T00:00:00"/>
    <s v="June"/>
    <d v="1899-12-30T22:05:22"/>
    <s v="&quot;CNR2111563&quot;"/>
    <s v="Completed"/>
    <s v="&quot;CID2449130&quot;"/>
    <x v="1"/>
    <s v="Narsinghpur"/>
    <s v="ITO"/>
    <n v="2.1"/>
    <n v="38.6"/>
    <s v="null"/>
    <s v="null"/>
    <s v="null"/>
    <s v="null"/>
    <s v="null"/>
    <s v="null"/>
    <n v="784"/>
    <n v="45.62"/>
    <n v="4.4000000000000004"/>
    <n v="4.7"/>
    <s v="UPI"/>
  </r>
  <r>
    <d v="2024-07-17T00:00:00"/>
    <s v="July"/>
    <d v="1899-12-30T16:20:40"/>
    <s v="&quot;CNR4906527&quot;"/>
    <s v="No Driver Found"/>
    <s v="&quot;CID6052473&quot;"/>
    <x v="2"/>
    <s v="Pragati Maidan"/>
    <s v="Satguru Ram Singh Marg"/>
    <s v="null"/>
    <s v="null"/>
    <s v="null"/>
    <s v="null"/>
    <s v="null"/>
    <s v="null"/>
    <s v="null"/>
    <s v="null"/>
    <s v="null"/>
    <s v="null"/>
    <s v="null"/>
    <s v="null"/>
    <s v="null"/>
  </r>
  <r>
    <d v="2024-11-17T00:00:00"/>
    <s v="November"/>
    <d v="1899-12-30T14:12:51"/>
    <s v="&quot;CNR7390528&quot;"/>
    <s v="Completed"/>
    <s v="&quot;CID5008221&quot;"/>
    <x v="1"/>
    <s v="Ardee City"/>
    <s v="Golf Course Road"/>
    <n v="8.6"/>
    <n v="16.600000000000001"/>
    <s v="null"/>
    <s v="null"/>
    <s v="null"/>
    <s v="null"/>
    <s v="null"/>
    <s v="null"/>
    <n v="314"/>
    <n v="31.91"/>
    <n v="4.3"/>
    <n v="4.3"/>
    <s v="Cash"/>
  </r>
  <r>
    <d v="2024-02-08T00:00:00"/>
    <s v="February"/>
    <d v="1899-12-30T13:25:23"/>
    <s v="&quot;CNR8364035&quot;"/>
    <s v="Completed"/>
    <s v="&quot;CID3533057&quot;"/>
    <x v="6"/>
    <s v="Punjabi Bagh"/>
    <s v="New Colony"/>
    <n v="5"/>
    <n v="17.7"/>
    <s v="null"/>
    <s v="null"/>
    <s v="null"/>
    <s v="null"/>
    <s v="null"/>
    <s v="null"/>
    <n v="802"/>
    <n v="12.66"/>
    <n v="4.2"/>
    <n v="4.5999999999999996"/>
    <s v="Uber Wallet"/>
  </r>
  <r>
    <d v="2024-08-15T00:00:00"/>
    <s v="August"/>
    <d v="1899-12-30T17:15:40"/>
    <s v="&quot;CNR7174639&quot;"/>
    <s v="Completed"/>
    <s v="&quot;CID7557390&quot;"/>
    <x v="1"/>
    <s v="Kashmere Gate"/>
    <s v="Gwal Pahari"/>
    <n v="4"/>
    <n v="24.6"/>
    <s v="null"/>
    <s v="null"/>
    <s v="null"/>
    <s v="null"/>
    <s v="null"/>
    <s v="null"/>
    <n v="746"/>
    <n v="35.299999999999997"/>
    <n v="3.9"/>
    <n v="3.9"/>
    <s v="Cash"/>
  </r>
  <r>
    <d v="2024-07-13T00:00:00"/>
    <s v="July"/>
    <d v="1899-12-30T09:09:22"/>
    <s v="&quot;CNR1560310&quot;"/>
    <s v="Completed"/>
    <s v="&quot;CID5422444&quot;"/>
    <x v="5"/>
    <s v="Vatika Chowk"/>
    <s v="Sadar Bazar Gurgaon"/>
    <n v="4.7"/>
    <n v="38.6"/>
    <s v="null"/>
    <s v="null"/>
    <s v="null"/>
    <s v="null"/>
    <s v="null"/>
    <s v="null"/>
    <n v="605"/>
    <n v="23.92"/>
    <n v="4.5"/>
    <n v="5"/>
    <s v="UPI"/>
  </r>
  <r>
    <d v="2024-07-30T00:00:00"/>
    <s v="July"/>
    <d v="1899-12-30T14:25:06"/>
    <s v="&quot;CNR3970240&quot;"/>
    <s v="Cancelled by Driver"/>
    <s v="&quot;CID7374279&quot;"/>
    <x v="1"/>
    <s v="Netaji Subhash Place"/>
    <s v="Botanical Garden"/>
    <n v="11.1"/>
    <s v="null"/>
    <s v="null"/>
    <s v="null"/>
    <n v="1"/>
    <s v="More than permitted people in there"/>
    <s v="null"/>
    <s v="null"/>
    <s v="null"/>
    <s v="null"/>
    <s v="null"/>
    <s v="null"/>
    <s v="null"/>
  </r>
  <r>
    <d v="2024-07-02T00:00:00"/>
    <s v="July"/>
    <d v="1899-12-30T09:45:20"/>
    <s v="&quot;CNR4382741&quot;"/>
    <s v="Completed"/>
    <s v="&quot;CID3149458&quot;"/>
    <x v="0"/>
    <s v="Ghaziabad"/>
    <s v="Sonipat"/>
    <n v="2.9"/>
    <n v="32.5"/>
    <s v="null"/>
    <s v="null"/>
    <s v="null"/>
    <s v="null"/>
    <s v="null"/>
    <s v="null"/>
    <n v="1531"/>
    <n v="18.37"/>
    <n v="4.3"/>
    <n v="4.2"/>
    <s v="Uber Wallet"/>
  </r>
  <r>
    <d v="2024-05-06T00:00:00"/>
    <s v="May"/>
    <d v="1899-12-30T18:32:27"/>
    <s v="&quot;CNR7797231&quot;"/>
    <s v="Completed"/>
    <s v="&quot;CID3367527&quot;"/>
    <x v="1"/>
    <s v="Rohini West"/>
    <s v="Jor Bagh"/>
    <n v="6.6"/>
    <n v="19.600000000000001"/>
    <s v="null"/>
    <s v="null"/>
    <s v="null"/>
    <s v="null"/>
    <s v="null"/>
    <s v="null"/>
    <n v="343"/>
    <n v="31.47"/>
    <n v="4.0999999999999996"/>
    <n v="4.9000000000000004"/>
    <s v="Debit Card"/>
  </r>
  <r>
    <d v="2024-11-16T00:00:00"/>
    <s v="November"/>
    <d v="1899-12-30T08:41:23"/>
    <s v="&quot;CNR6386320&quot;"/>
    <s v="Cancelled by Customer"/>
    <s v="&quot;CID4239191&quot;"/>
    <x v="4"/>
    <s v="AIIMS"/>
    <s v="Rajouri Garden"/>
    <n v="16.5"/>
    <s v="null"/>
    <n v="1"/>
    <s v="Driver is not moving towards pickup location"/>
    <s v="null"/>
    <s v="null"/>
    <s v="null"/>
    <s v="null"/>
    <s v="null"/>
    <s v="null"/>
    <s v="null"/>
    <s v="null"/>
    <s v="null"/>
  </r>
  <r>
    <d v="2024-11-05T00:00:00"/>
    <s v="November"/>
    <d v="1899-12-30T07:08:44"/>
    <s v="&quot;CNR8619672&quot;"/>
    <s v="Completed"/>
    <s v="&quot;CID7624742&quot;"/>
    <x v="4"/>
    <s v="Panipat"/>
    <s v="Raj Nagar Extension"/>
    <n v="5"/>
    <n v="29.4"/>
    <s v="null"/>
    <s v="null"/>
    <s v="null"/>
    <s v="null"/>
    <s v="null"/>
    <s v="null"/>
    <n v="76"/>
    <n v="27.43"/>
    <n v="4.4000000000000004"/>
    <n v="4.8"/>
    <s v="UPI"/>
  </r>
  <r>
    <d v="2024-06-12T00:00:00"/>
    <s v="June"/>
    <d v="1899-12-30T20:08:25"/>
    <s v="&quot;CNR1193379&quot;"/>
    <s v="Cancelled by Driver"/>
    <s v="&quot;CID5222740&quot;"/>
    <x v="0"/>
    <s v="Kadarpur"/>
    <s v="Dwarka Sector 21"/>
    <n v="11.8"/>
    <s v="null"/>
    <s v="null"/>
    <s v="null"/>
    <n v="1"/>
    <s v="Personal &amp; Car related issues"/>
    <s v="null"/>
    <s v="null"/>
    <s v="null"/>
    <s v="null"/>
    <s v="null"/>
    <s v="null"/>
    <s v="null"/>
  </r>
  <r>
    <d v="2024-04-15T00:00:00"/>
    <s v="April"/>
    <d v="1899-12-30T08:32:29"/>
    <s v="&quot;CNR5958696&quot;"/>
    <s v="Completed"/>
    <s v="&quot;CID7514435&quot;"/>
    <x v="1"/>
    <s v="Madipur"/>
    <s v="Manesar"/>
    <n v="14.3"/>
    <n v="42.9"/>
    <s v="null"/>
    <s v="null"/>
    <s v="null"/>
    <s v="null"/>
    <s v="null"/>
    <s v="null"/>
    <n v="213"/>
    <n v="29.03"/>
    <n v="4.8"/>
    <n v="4.8"/>
    <s v="Uber Wallet"/>
  </r>
  <r>
    <d v="2024-04-16T00:00:00"/>
    <s v="April"/>
    <d v="1899-12-30T15:59:50"/>
    <s v="&quot;CNR8183883&quot;"/>
    <s v="Completed"/>
    <s v="&quot;CID1604632&quot;"/>
    <x v="4"/>
    <s v="Shastri Park"/>
    <s v="Ashok Park Main"/>
    <n v="11.8"/>
    <n v="26.5"/>
    <s v="null"/>
    <s v="null"/>
    <s v="null"/>
    <s v="null"/>
    <s v="null"/>
    <s v="null"/>
    <n v="171"/>
    <n v="20.9"/>
    <n v="4.5999999999999996"/>
    <n v="4.4000000000000004"/>
    <s v="Cash"/>
  </r>
  <r>
    <d v="2024-04-09T00:00:00"/>
    <s v="April"/>
    <d v="1899-12-30T12:31:40"/>
    <s v="&quot;CNR6271647&quot;"/>
    <s v="Completed"/>
    <s v="&quot;CID5857943&quot;"/>
    <x v="5"/>
    <s v="Dilshad Garden"/>
    <s v="IFFCO Chowk"/>
    <n v="2.6"/>
    <n v="43.9"/>
    <s v="null"/>
    <s v="null"/>
    <s v="null"/>
    <s v="null"/>
    <s v="null"/>
    <s v="null"/>
    <n v="422"/>
    <n v="40.01"/>
    <n v="3.8"/>
    <n v="4.3"/>
    <s v="UPI"/>
  </r>
  <r>
    <d v="2024-11-08T00:00:00"/>
    <s v="November"/>
    <d v="1899-12-30T19:06:08"/>
    <s v="&quot;CNR3368097&quot;"/>
    <s v="Incomplete"/>
    <s v="&quot;CID5342876&quot;"/>
    <x v="5"/>
    <s v="Cyber Hub"/>
    <s v="Noida Extension"/>
    <n v="6.8"/>
    <n v="23.8"/>
    <s v="null"/>
    <s v="null"/>
    <s v="null"/>
    <s v="null"/>
    <n v="1"/>
    <s v="Other Issue"/>
    <n v="119"/>
    <n v="8.06"/>
    <s v="null"/>
    <s v="null"/>
    <s v="Cash"/>
  </r>
  <r>
    <d v="2024-06-23T00:00:00"/>
    <s v="June"/>
    <d v="1899-12-30T15:51:05"/>
    <s v="&quot;CNR2405692&quot;"/>
    <s v="Completed"/>
    <s v="&quot;CID5235850&quot;"/>
    <x v="1"/>
    <s v="Lajpat Nagar"/>
    <s v="Lok Kalyan Marg"/>
    <n v="5"/>
    <n v="15.1"/>
    <s v="null"/>
    <s v="null"/>
    <s v="null"/>
    <s v="null"/>
    <s v="null"/>
    <s v="null"/>
    <n v="659"/>
    <n v="30.08"/>
    <n v="4.4000000000000004"/>
    <n v="3.6"/>
    <s v="Debit Card"/>
  </r>
  <r>
    <d v="2024-03-10T00:00:00"/>
    <s v="March"/>
    <d v="1899-12-30T22:50:44"/>
    <s v="&quot;CNR4504689&quot;"/>
    <s v="Incomplete"/>
    <s v="&quot;CID8860496&quot;"/>
    <x v="5"/>
    <s v="Kashmere Gate ISBT"/>
    <s v="Nirman Vihar"/>
    <n v="8.3000000000000007"/>
    <n v="20.2"/>
    <s v="null"/>
    <s v="null"/>
    <s v="null"/>
    <s v="null"/>
    <n v="1"/>
    <s v="Vehicle Breakdown"/>
    <n v="1247"/>
    <n v="11.31"/>
    <s v="null"/>
    <s v="null"/>
    <s v="Debit Card"/>
  </r>
  <r>
    <d v="2024-12-16T00:00:00"/>
    <s v="December"/>
    <d v="1899-12-30T19:52:11"/>
    <s v="&quot;CNR4090518&quot;"/>
    <s v="Cancelled by Driver"/>
    <s v="&quot;CID1745153&quot;"/>
    <x v="1"/>
    <s v="Ghitorni"/>
    <s v="Jahangirpuri"/>
    <n v="10.4"/>
    <s v="null"/>
    <s v="null"/>
    <s v="null"/>
    <n v="1"/>
    <s v="Personal &amp; Car related issues"/>
    <s v="null"/>
    <s v="null"/>
    <s v="null"/>
    <s v="null"/>
    <s v="null"/>
    <s v="null"/>
    <s v="null"/>
  </r>
  <r>
    <d v="2024-01-09T00:00:00"/>
    <s v="January"/>
    <d v="1899-12-30T22:02:19"/>
    <s v="&quot;CNR3597186&quot;"/>
    <s v="Completed"/>
    <s v="&quot;CID3819273&quot;"/>
    <x v="2"/>
    <s v="Panipat"/>
    <s v="Tagore Garden"/>
    <n v="10.5"/>
    <n v="38.9"/>
    <s v="null"/>
    <s v="null"/>
    <s v="null"/>
    <s v="null"/>
    <s v="null"/>
    <s v="null"/>
    <n v="279"/>
    <n v="43.33"/>
    <n v="3.8"/>
    <n v="4.9000000000000004"/>
    <s v="UPI"/>
  </r>
  <r>
    <d v="2024-07-13T00:00:00"/>
    <s v="July"/>
    <d v="1899-12-30T20:22:49"/>
    <s v="&quot;CNR2988566&quot;"/>
    <s v="Completed"/>
    <s v="&quot;CID9899554&quot;"/>
    <x v="5"/>
    <s v="Moolchand"/>
    <s v="Gurgaon Sector 56"/>
    <n v="11.5"/>
    <n v="22.5"/>
    <s v="null"/>
    <s v="null"/>
    <s v="null"/>
    <s v="null"/>
    <s v="null"/>
    <s v="null"/>
    <n v="2908"/>
    <n v="23.65"/>
    <n v="4.2"/>
    <n v="5"/>
    <s v="Debit Card"/>
  </r>
  <r>
    <d v="2024-02-25T00:00:00"/>
    <s v="February"/>
    <d v="1899-12-30T21:57:03"/>
    <s v="&quot;CNR8387259&quot;"/>
    <s v="Incomplete"/>
    <s v="&quot;CID4297352&quot;"/>
    <x v="2"/>
    <s v="AIIMS"/>
    <s v="Vasant Kunj"/>
    <n v="3.2"/>
    <n v="14.1"/>
    <s v="null"/>
    <s v="null"/>
    <s v="null"/>
    <s v="null"/>
    <n v="1"/>
    <s v="Vehicle Breakdown"/>
    <n v="447"/>
    <n v="12.81"/>
    <s v="null"/>
    <s v="null"/>
    <s v="Uber Wallet"/>
  </r>
  <r>
    <d v="2024-06-27T00:00:00"/>
    <s v="June"/>
    <d v="1899-12-30T14:08:25"/>
    <s v="&quot;CNR2199158&quot;"/>
    <s v="Completed"/>
    <s v="&quot;CID4756285&quot;"/>
    <x v="1"/>
    <s v="Mayur Vihar"/>
    <s v="Samaypur Badli"/>
    <n v="4.8"/>
    <n v="30.9"/>
    <s v="null"/>
    <s v="null"/>
    <s v="null"/>
    <s v="null"/>
    <s v="null"/>
    <s v="null"/>
    <n v="726"/>
    <n v="40.97"/>
    <n v="4.0999999999999996"/>
    <n v="4.9000000000000004"/>
    <s v="Cash"/>
  </r>
  <r>
    <d v="2024-09-10T00:00:00"/>
    <s v="September"/>
    <d v="1899-12-30T21:02:27"/>
    <s v="&quot;CNR2950889&quot;"/>
    <s v="Completed"/>
    <s v="&quot;CID4523333&quot;"/>
    <x v="2"/>
    <s v="Okhla"/>
    <s v="Shahdara"/>
    <n v="10.4"/>
    <n v="44.9"/>
    <s v="null"/>
    <s v="null"/>
    <s v="null"/>
    <s v="null"/>
    <s v="null"/>
    <s v="null"/>
    <n v="54"/>
    <n v="23.39"/>
    <n v="4.4000000000000004"/>
    <n v="4.7"/>
    <s v="Cash"/>
  </r>
  <r>
    <d v="2024-02-07T00:00:00"/>
    <s v="February"/>
    <d v="1899-12-30T18:21:36"/>
    <s v="&quot;CNR8911870&quot;"/>
    <s v="Completed"/>
    <s v="&quot;CID4250474&quot;"/>
    <x v="3"/>
    <s v="Pulbangash"/>
    <s v="Karol Bagh"/>
    <n v="7.5"/>
    <n v="20.8"/>
    <s v="null"/>
    <s v="null"/>
    <s v="null"/>
    <s v="null"/>
    <s v="null"/>
    <s v="null"/>
    <n v="321"/>
    <n v="46.44"/>
    <n v="4.4000000000000004"/>
    <n v="3.2"/>
    <s v="Cash"/>
  </r>
  <r>
    <d v="2024-07-11T00:00:00"/>
    <s v="July"/>
    <d v="1899-12-30T08:03:54"/>
    <s v="&quot;CNR7798385&quot;"/>
    <s v="Cancelled by Customer"/>
    <s v="&quot;CID2099999&quot;"/>
    <x v="5"/>
    <s v="Paharganj"/>
    <s v="Barakhamba Road"/>
    <n v="15.9"/>
    <s v="null"/>
    <n v="1"/>
    <s v="Change of plans"/>
    <s v="null"/>
    <s v="null"/>
    <s v="null"/>
    <s v="null"/>
    <s v="null"/>
    <s v="null"/>
    <s v="null"/>
    <s v="null"/>
    <s v="null"/>
  </r>
  <r>
    <d v="2024-08-02T00:00:00"/>
    <s v="August"/>
    <d v="1899-12-30T12:35:21"/>
    <s v="&quot;CNR4758907&quot;"/>
    <s v="Cancelled by Customer"/>
    <s v="&quot;CID5407822&quot;"/>
    <x v="4"/>
    <s v="Sarojini Nagar"/>
    <s v="Noida Sector 62"/>
    <n v="7.3"/>
    <s v="null"/>
    <n v="1"/>
    <s v="Driver asked to cancel"/>
    <s v="null"/>
    <s v="null"/>
    <s v="null"/>
    <s v="null"/>
    <s v="null"/>
    <s v="null"/>
    <s v="null"/>
    <s v="null"/>
    <s v="null"/>
  </r>
  <r>
    <d v="2024-08-30T00:00:00"/>
    <s v="August"/>
    <d v="1899-12-30T10:03:42"/>
    <s v="&quot;CNR6911961&quot;"/>
    <s v="Incomplete"/>
    <s v="&quot;CID7777597&quot;"/>
    <x v="2"/>
    <s v="Subhash Nagar"/>
    <s v="Narsinghpur"/>
    <n v="9.9"/>
    <n v="19.600000000000001"/>
    <s v="null"/>
    <s v="null"/>
    <s v="null"/>
    <s v="null"/>
    <n v="1"/>
    <s v="Customer Demand"/>
    <n v="874"/>
    <n v="3.25"/>
    <s v="null"/>
    <s v="null"/>
    <s v="Uber Wallet"/>
  </r>
  <r>
    <d v="2024-09-25T00:00:00"/>
    <s v="September"/>
    <d v="1899-12-30T00:30:43"/>
    <s v="&quot;CNR6601381&quot;"/>
    <s v="Cancelled by Driver"/>
    <s v="&quot;CID5826087&quot;"/>
    <x v="6"/>
    <s v="Raj Nagar Extension"/>
    <s v="Hero Honda Chowk"/>
    <n v="5.5"/>
    <s v="null"/>
    <s v="null"/>
    <s v="null"/>
    <n v="1"/>
    <s v="Personal &amp; Car related issues"/>
    <s v="null"/>
    <s v="null"/>
    <s v="null"/>
    <s v="null"/>
    <s v="null"/>
    <s v="null"/>
    <s v="null"/>
  </r>
  <r>
    <d v="2024-07-22T00:00:00"/>
    <s v="July"/>
    <d v="1899-12-30T18:26:59"/>
    <s v="&quot;CNR4915259&quot;"/>
    <s v="Completed"/>
    <s v="&quot;CID4919793&quot;"/>
    <x v="4"/>
    <s v="Paschim Vihar"/>
    <s v="Kherki Daula Toll"/>
    <n v="7.5"/>
    <n v="21.3"/>
    <s v="null"/>
    <s v="null"/>
    <s v="null"/>
    <s v="null"/>
    <s v="null"/>
    <s v="null"/>
    <n v="790"/>
    <n v="43.79"/>
    <n v="4.8"/>
    <n v="4.5999999999999996"/>
    <s v="UPI"/>
  </r>
  <r>
    <d v="2024-03-31T00:00:00"/>
    <s v="March"/>
    <d v="1899-12-30T01:45:54"/>
    <s v="&quot;CNR2926411&quot;"/>
    <s v="Cancelled by Driver"/>
    <s v="&quot;CID6427273&quot;"/>
    <x v="3"/>
    <s v="Jor Bagh"/>
    <s v="New Delhi Railway Station"/>
    <n v="9.8000000000000007"/>
    <s v="null"/>
    <s v="null"/>
    <s v="null"/>
    <n v="1"/>
    <s v="More than permitted people in there"/>
    <s v="null"/>
    <s v="null"/>
    <s v="null"/>
    <s v="null"/>
    <s v="null"/>
    <s v="null"/>
    <s v="null"/>
  </r>
  <r>
    <d v="2024-05-19T00:00:00"/>
    <s v="May"/>
    <d v="1899-12-30T20:38:05"/>
    <s v="&quot;CNR9738358&quot;"/>
    <s v="Cancelled by Driver"/>
    <s v="&quot;CID6472958&quot;"/>
    <x v="3"/>
    <s v="Hauz Rani"/>
    <s v="Yamuna Bank"/>
    <n v="8.6999999999999993"/>
    <s v="null"/>
    <s v="null"/>
    <s v="null"/>
    <n v="1"/>
    <s v="Personal &amp; Car related issues"/>
    <s v="null"/>
    <s v="null"/>
    <s v="null"/>
    <s v="null"/>
    <s v="null"/>
    <s v="null"/>
    <s v="null"/>
  </r>
  <r>
    <d v="2024-10-18T00:00:00"/>
    <s v="October"/>
    <d v="1899-12-30T08:37:47"/>
    <s v="&quot;CNR5391386&quot;"/>
    <s v="Completed"/>
    <s v="&quot;CID9881299&quot;"/>
    <x v="4"/>
    <s v="Dilshad Garden"/>
    <s v="Faridabad Sector 15"/>
    <n v="14.8"/>
    <n v="27"/>
    <s v="null"/>
    <s v="null"/>
    <s v="null"/>
    <s v="null"/>
    <s v="null"/>
    <s v="null"/>
    <n v="56"/>
    <n v="32.82"/>
    <n v="4.5999999999999996"/>
    <n v="4.9000000000000004"/>
    <s v="Credit Card"/>
  </r>
  <r>
    <d v="2024-04-22T00:00:00"/>
    <s v="April"/>
    <d v="1899-12-30T17:03:47"/>
    <s v="&quot;CNR8622026&quot;"/>
    <s v="Completed"/>
    <s v="&quot;CID4863126&quot;"/>
    <x v="4"/>
    <s v="Karkarduma"/>
    <s v="Tagore Garden"/>
    <n v="10.3"/>
    <n v="29.2"/>
    <s v="null"/>
    <s v="null"/>
    <s v="null"/>
    <s v="null"/>
    <s v="null"/>
    <s v="null"/>
    <n v="889"/>
    <n v="19.82"/>
    <n v="4.7"/>
    <n v="3.9"/>
    <s v="Debit Card"/>
  </r>
  <r>
    <d v="2024-11-04T00:00:00"/>
    <s v="November"/>
    <d v="1899-12-30T17:25:42"/>
    <s v="&quot;CNR7540549&quot;"/>
    <s v="Completed"/>
    <s v="&quot;CID9241944&quot;"/>
    <x v="2"/>
    <s v="Faridabad Sector 15"/>
    <s v="Peeragarhi"/>
    <n v="4.0999999999999996"/>
    <n v="37.799999999999997"/>
    <s v="null"/>
    <s v="null"/>
    <s v="null"/>
    <s v="null"/>
    <s v="null"/>
    <s v="null"/>
    <n v="722"/>
    <n v="40"/>
    <n v="3.8"/>
    <n v="4.9000000000000004"/>
    <s v="Cash"/>
  </r>
  <r>
    <d v="2024-09-03T00:00:00"/>
    <s v="September"/>
    <d v="1899-12-30T06:12:27"/>
    <s v="&quot;CNR5857020&quot;"/>
    <s v="Completed"/>
    <s v="&quot;CID1401158&quot;"/>
    <x v="5"/>
    <s v="Qutub Minar"/>
    <s v="Welcome"/>
    <n v="13.9"/>
    <n v="30.3"/>
    <s v="null"/>
    <s v="null"/>
    <s v="null"/>
    <s v="null"/>
    <s v="null"/>
    <s v="null"/>
    <n v="175"/>
    <n v="40.659999999999997"/>
    <n v="4.0999999999999996"/>
    <n v="4.5"/>
    <s v="UPI"/>
  </r>
  <r>
    <d v="2024-03-29T00:00:00"/>
    <s v="March"/>
    <d v="1899-12-30T06:15:30"/>
    <s v="&quot;CNR5942508&quot;"/>
    <s v="Completed"/>
    <s v="&quot;CID5005415&quot;"/>
    <x v="5"/>
    <s v="Sushant Lok"/>
    <s v="Civil Lines Gurgaon"/>
    <n v="7.9"/>
    <n v="16.3"/>
    <s v="null"/>
    <s v="null"/>
    <s v="null"/>
    <s v="null"/>
    <s v="null"/>
    <s v="null"/>
    <n v="539"/>
    <n v="10.89"/>
    <n v="4.7"/>
    <n v="4.2"/>
    <s v="UPI"/>
  </r>
  <r>
    <d v="2024-01-02T00:00:00"/>
    <s v="January"/>
    <d v="1899-12-30T19:26:48"/>
    <s v="&quot;CNR3628651&quot;"/>
    <s v="Cancelled by Driver"/>
    <s v="&quot;CID6075253&quot;"/>
    <x v="0"/>
    <s v="DLF City Court"/>
    <s v="Lok Kalyan Marg"/>
    <n v="4.0999999999999996"/>
    <s v="null"/>
    <s v="null"/>
    <s v="null"/>
    <n v="1"/>
    <s v="The customer was coughing/sick"/>
    <s v="null"/>
    <s v="null"/>
    <s v="null"/>
    <s v="null"/>
    <s v="null"/>
    <s v="null"/>
    <s v="null"/>
  </r>
  <r>
    <d v="2024-02-08T00:00:00"/>
    <s v="February"/>
    <d v="1899-12-30T06:25:56"/>
    <s v="&quot;CNR5382573&quot;"/>
    <s v="No Driver Found"/>
    <s v="&quot;CID7132603&quot;"/>
    <x v="0"/>
    <s v="Dwarka Sector 21"/>
    <s v="Rajiv Chowk"/>
    <s v="null"/>
    <s v="null"/>
    <s v="null"/>
    <s v="null"/>
    <s v="null"/>
    <s v="null"/>
    <s v="null"/>
    <s v="null"/>
    <s v="null"/>
    <s v="null"/>
    <s v="null"/>
    <s v="null"/>
    <s v="null"/>
  </r>
  <r>
    <d v="2024-10-17T00:00:00"/>
    <s v="October"/>
    <d v="1899-12-30T15:10:08"/>
    <s v="&quot;CNR9229961&quot;"/>
    <s v="Completed"/>
    <s v="&quot;CID1690186&quot;"/>
    <x v="5"/>
    <s v="Dwarka Sector 21"/>
    <s v="Govindpuri"/>
    <n v="11.8"/>
    <n v="43.6"/>
    <s v="null"/>
    <s v="null"/>
    <s v="null"/>
    <s v="null"/>
    <s v="null"/>
    <s v="null"/>
    <n v="822"/>
    <n v="41.4"/>
    <n v="4.0999999999999996"/>
    <n v="4.3"/>
    <s v="UPI"/>
  </r>
  <r>
    <d v="2024-06-04T00:00:00"/>
    <s v="June"/>
    <d v="1899-12-30T15:59:15"/>
    <s v="&quot;CNR8921876&quot;"/>
    <s v="Completed"/>
    <s v="&quot;CID8068764&quot;"/>
    <x v="4"/>
    <s v="Gwal Pahari"/>
    <s v="Pitampura"/>
    <n v="7.2"/>
    <n v="32"/>
    <s v="null"/>
    <s v="null"/>
    <s v="null"/>
    <s v="null"/>
    <s v="null"/>
    <s v="null"/>
    <n v="298"/>
    <n v="34.71"/>
    <n v="4.5999999999999996"/>
    <n v="4.4000000000000004"/>
    <s v="Credit Card"/>
  </r>
  <r>
    <d v="2024-06-20T00:00:00"/>
    <s v="June"/>
    <d v="1899-12-30T05:08:27"/>
    <s v="&quot;CNR1354470&quot;"/>
    <s v="Completed"/>
    <s v="&quot;CID4531973&quot;"/>
    <x v="2"/>
    <s v="Indirapuram"/>
    <s v="Chandni Chowk"/>
    <n v="2.1"/>
    <n v="41.8"/>
    <s v="null"/>
    <s v="null"/>
    <s v="null"/>
    <s v="null"/>
    <s v="null"/>
    <s v="null"/>
    <n v="812"/>
    <n v="34.68"/>
    <n v="4.3"/>
    <n v="3.9"/>
    <s v="UPI"/>
  </r>
  <r>
    <d v="2024-03-02T00:00:00"/>
    <s v="March"/>
    <d v="1899-12-30T11:19:52"/>
    <s v="&quot;CNR4787896&quot;"/>
    <s v="Completed"/>
    <s v="&quot;CID6467433&quot;"/>
    <x v="2"/>
    <s v="Tughlakabad"/>
    <s v="New Colony"/>
    <n v="2.4"/>
    <n v="24.8"/>
    <s v="null"/>
    <s v="null"/>
    <s v="null"/>
    <s v="null"/>
    <s v="null"/>
    <s v="null"/>
    <n v="761"/>
    <n v="26.32"/>
    <n v="4.2"/>
    <n v="4.3"/>
    <s v="UPI"/>
  </r>
  <r>
    <d v="2024-04-15T00:00:00"/>
    <s v="April"/>
    <d v="1899-12-30T19:54:40"/>
    <s v="&quot;CNR5177584&quot;"/>
    <s v="Cancelled by Customer"/>
    <s v="&quot;CID5247355&quot;"/>
    <x v="0"/>
    <s v="Sarojini Nagar"/>
    <s v="RK Puram"/>
    <n v="11.5"/>
    <s v="null"/>
    <n v="1"/>
    <s v="Change of plans"/>
    <s v="null"/>
    <s v="null"/>
    <s v="null"/>
    <s v="null"/>
    <s v="null"/>
    <s v="null"/>
    <s v="null"/>
    <s v="null"/>
    <s v="null"/>
  </r>
  <r>
    <d v="2024-04-26T00:00:00"/>
    <s v="April"/>
    <d v="1899-12-30T13:43:42"/>
    <s v="&quot;CNR2878238&quot;"/>
    <s v="Completed"/>
    <s v="&quot;CID2218993&quot;"/>
    <x v="0"/>
    <s v="Vasant Kunj"/>
    <s v="Huda City Centre"/>
    <n v="11.8"/>
    <n v="32.1"/>
    <s v="null"/>
    <s v="null"/>
    <s v="null"/>
    <s v="null"/>
    <s v="null"/>
    <s v="null"/>
    <n v="313"/>
    <n v="13.5"/>
    <n v="3.4"/>
    <n v="4.9000000000000004"/>
    <s v="UPI"/>
  </r>
  <r>
    <d v="2024-03-18T00:00:00"/>
    <s v="March"/>
    <d v="1899-12-30T14:53:12"/>
    <s v="&quot;CNR8890665&quot;"/>
    <s v="No Driver Found"/>
    <s v="&quot;CID5429192&quot;"/>
    <x v="2"/>
    <s v="Noida Extension"/>
    <s v="Okhla"/>
    <s v="null"/>
    <s v="null"/>
    <s v="null"/>
    <s v="null"/>
    <s v="null"/>
    <s v="null"/>
    <s v="null"/>
    <s v="null"/>
    <s v="null"/>
    <s v="null"/>
    <s v="null"/>
    <s v="null"/>
    <s v="null"/>
  </r>
  <r>
    <d v="2024-03-22T00:00:00"/>
    <s v="March"/>
    <d v="1899-12-30T17:12:15"/>
    <s v="&quot;CNR1524669&quot;"/>
    <s v="Cancelled by Customer"/>
    <s v="&quot;CID9328632&quot;"/>
    <x v="6"/>
    <s v="Okhla"/>
    <s v="INA Market"/>
    <n v="7.4"/>
    <s v="null"/>
    <n v="1"/>
    <s v="Change of plans"/>
    <s v="null"/>
    <s v="null"/>
    <s v="null"/>
    <s v="null"/>
    <s v="null"/>
    <s v="null"/>
    <s v="null"/>
    <s v="null"/>
    <s v="null"/>
  </r>
  <r>
    <d v="2024-02-29T00:00:00"/>
    <s v="February"/>
    <d v="1899-12-30T17:17:23"/>
    <s v="&quot;CNR1885399&quot;"/>
    <s v="Completed"/>
    <s v="&quot;CID7934398&quot;"/>
    <x v="5"/>
    <s v="Rajiv Chowk"/>
    <s v="Welcome"/>
    <n v="10.8"/>
    <n v="29.2"/>
    <s v="null"/>
    <s v="null"/>
    <s v="null"/>
    <s v="null"/>
    <s v="null"/>
    <s v="null"/>
    <n v="217"/>
    <n v="11.82"/>
    <n v="3.9"/>
    <n v="3.3"/>
    <s v="Cash"/>
  </r>
  <r>
    <d v="2024-12-22T00:00:00"/>
    <s v="December"/>
    <d v="1899-12-30T07:11:32"/>
    <s v="&quot;CNR4501662&quot;"/>
    <s v="Cancelled by Driver"/>
    <s v="&quot;CID2152677&quot;"/>
    <x v="4"/>
    <s v="Noida Film City"/>
    <s v="Ghitorni"/>
    <n v="11.1"/>
    <s v="null"/>
    <s v="null"/>
    <s v="null"/>
    <n v="1"/>
    <s v="More than permitted people in there"/>
    <s v="null"/>
    <s v="null"/>
    <s v="null"/>
    <s v="null"/>
    <s v="null"/>
    <s v="null"/>
    <s v="null"/>
  </r>
  <r>
    <d v="2024-02-25T00:00:00"/>
    <s v="February"/>
    <d v="1899-12-30T15:54:15"/>
    <s v="&quot;CNR7595996&quot;"/>
    <s v="Cancelled by Customer"/>
    <s v="&quot;CID4054315&quot;"/>
    <x v="5"/>
    <s v="Vinobapuri"/>
    <s v="Mansarovar Park"/>
    <n v="8.6999999999999993"/>
    <s v="null"/>
    <n v="1"/>
    <s v="Wrong Address"/>
    <s v="null"/>
    <s v="null"/>
    <s v="null"/>
    <s v="null"/>
    <s v="null"/>
    <s v="null"/>
    <s v="null"/>
    <s v="null"/>
    <s v="null"/>
  </r>
  <r>
    <d v="2024-10-17T00:00:00"/>
    <s v="October"/>
    <d v="1899-12-30T16:50:37"/>
    <s v="&quot;CNR7170245&quot;"/>
    <s v="Completed"/>
    <s v="&quot;CID9437617&quot;"/>
    <x v="1"/>
    <s v="Civil Lines Gurgaon"/>
    <s v="Vatika Chowk"/>
    <n v="4.5999999999999996"/>
    <n v="29.4"/>
    <s v="null"/>
    <s v="null"/>
    <s v="null"/>
    <s v="null"/>
    <s v="null"/>
    <s v="null"/>
    <n v="811"/>
    <n v="12.7"/>
    <n v="4.2"/>
    <n v="4.2"/>
    <s v="UPI"/>
  </r>
  <r>
    <d v="2024-01-29T00:00:00"/>
    <s v="January"/>
    <d v="1899-12-30T18:23:01"/>
    <s v="&quot;CNR5714550&quot;"/>
    <s v="Completed"/>
    <s v="&quot;CID8197961&quot;"/>
    <x v="2"/>
    <s v="Ghaziabad"/>
    <s v="Sohna Road"/>
    <n v="10.6"/>
    <n v="40.200000000000003"/>
    <s v="null"/>
    <s v="null"/>
    <s v="null"/>
    <s v="null"/>
    <s v="null"/>
    <s v="null"/>
    <n v="438"/>
    <n v="25.71"/>
    <n v="4.2"/>
    <n v="4.5999999999999996"/>
    <s v="Credit Card"/>
  </r>
  <r>
    <d v="2024-01-08T00:00:00"/>
    <s v="January"/>
    <d v="1899-12-30T19:01:09"/>
    <s v="&quot;CNR3474101&quot;"/>
    <s v="Incomplete"/>
    <s v="&quot;CID4158599&quot;"/>
    <x v="4"/>
    <s v="Tilak Nagar"/>
    <s v="Botanical Garden"/>
    <n v="4.5999999999999996"/>
    <n v="14"/>
    <s v="null"/>
    <s v="null"/>
    <s v="null"/>
    <s v="null"/>
    <n v="1"/>
    <s v="Vehicle Breakdown"/>
    <n v="682"/>
    <n v="1.24"/>
    <s v="null"/>
    <s v="null"/>
    <s v="Cash"/>
  </r>
  <r>
    <d v="2024-06-06T00:00:00"/>
    <s v="June"/>
    <d v="1899-12-30T15:39:39"/>
    <s v="&quot;CNR5177240&quot;"/>
    <s v="Completed"/>
    <s v="&quot;CID6440222&quot;"/>
    <x v="2"/>
    <s v="Punjabi Bagh"/>
    <s v="Khan Market"/>
    <n v="10.5"/>
    <n v="28.7"/>
    <s v="null"/>
    <s v="null"/>
    <s v="null"/>
    <s v="null"/>
    <s v="null"/>
    <s v="null"/>
    <n v="294"/>
    <n v="6.61"/>
    <n v="4.3"/>
    <n v="4.7"/>
    <s v="Credit Card"/>
  </r>
  <r>
    <d v="2024-01-20T00:00:00"/>
    <s v="January"/>
    <d v="1899-12-30T10:44:54"/>
    <s v="&quot;CNR4620177&quot;"/>
    <s v="No Driver Found"/>
    <s v="&quot;CID1972533&quot;"/>
    <x v="1"/>
    <s v="Pragati Maidan"/>
    <s v="Manesar"/>
    <s v="null"/>
    <s v="null"/>
    <s v="null"/>
    <s v="null"/>
    <s v="null"/>
    <s v="null"/>
    <s v="null"/>
    <s v="null"/>
    <s v="null"/>
    <s v="null"/>
    <s v="null"/>
    <s v="null"/>
    <s v="null"/>
  </r>
  <r>
    <d v="2024-08-05T00:00:00"/>
    <s v="August"/>
    <d v="1899-12-30T10:51:00"/>
    <s v="&quot;CNR8954114&quot;"/>
    <s v="Completed"/>
    <s v="&quot;CID4264123&quot;"/>
    <x v="2"/>
    <s v="Rohini West"/>
    <s v="Gurgaon Railway Station"/>
    <n v="5.2"/>
    <n v="36.9"/>
    <s v="null"/>
    <s v="null"/>
    <s v="null"/>
    <s v="null"/>
    <s v="null"/>
    <s v="null"/>
    <n v="272"/>
    <n v="12.56"/>
    <n v="4.7"/>
    <n v="4.9000000000000004"/>
    <s v="Cash"/>
  </r>
  <r>
    <d v="2024-03-26T00:00:00"/>
    <s v="March"/>
    <d v="1899-12-30T05:22:45"/>
    <s v="&quot;CNR1599721&quot;"/>
    <s v="Incomplete"/>
    <s v="&quot;CID3810535&quot;"/>
    <x v="3"/>
    <s v="Shastri Park"/>
    <s v="Tughlakabad"/>
    <n v="4"/>
    <n v="25.6"/>
    <s v="null"/>
    <s v="null"/>
    <s v="null"/>
    <s v="null"/>
    <n v="1"/>
    <s v="Other Issue"/>
    <n v="401"/>
    <n v="5.42"/>
    <s v="null"/>
    <s v="null"/>
    <s v="UPI"/>
  </r>
  <r>
    <d v="2024-09-01T00:00:00"/>
    <s v="September"/>
    <d v="1899-12-30T00:02:34"/>
    <s v="&quot;CNR2647125&quot;"/>
    <s v="Incomplete"/>
    <s v="&quot;CID9641231&quot;"/>
    <x v="1"/>
    <s v="Delhi Gate"/>
    <s v="Saket"/>
    <n v="8.8000000000000007"/>
    <n v="20.6"/>
    <s v="null"/>
    <s v="null"/>
    <s v="null"/>
    <s v="null"/>
    <n v="1"/>
    <s v="Vehicle Breakdown"/>
    <n v="114"/>
    <n v="8.1199999999999992"/>
    <s v="null"/>
    <s v="null"/>
    <s v="UPI"/>
  </r>
  <r>
    <d v="2024-02-25T00:00:00"/>
    <s v="February"/>
    <d v="1899-12-30T10:23:31"/>
    <s v="&quot;CNR4236741&quot;"/>
    <s v="Completed"/>
    <s v="&quot;CID3176600&quot;"/>
    <x v="3"/>
    <s v="Model Town"/>
    <s v="Rithala"/>
    <n v="5.4"/>
    <n v="44.3"/>
    <s v="null"/>
    <s v="null"/>
    <s v="null"/>
    <s v="null"/>
    <s v="null"/>
    <s v="null"/>
    <n v="173"/>
    <n v="2.73"/>
    <n v="5"/>
    <n v="4.9000000000000004"/>
    <s v="UPI"/>
  </r>
  <r>
    <d v="2024-11-24T00:00:00"/>
    <s v="November"/>
    <d v="1899-12-30T20:30:49"/>
    <s v="&quot;CNR7720053&quot;"/>
    <s v="Completed"/>
    <s v="&quot;CID8466729&quot;"/>
    <x v="2"/>
    <s v="Indraprastha"/>
    <s v="Shastri Nagar"/>
    <n v="6.7"/>
    <n v="44.8"/>
    <s v="null"/>
    <s v="null"/>
    <s v="null"/>
    <s v="null"/>
    <s v="null"/>
    <s v="null"/>
    <n v="145"/>
    <n v="36"/>
    <n v="3.2"/>
    <n v="4.5999999999999996"/>
    <s v="UPI"/>
  </r>
  <r>
    <d v="2024-07-29T00:00:00"/>
    <s v="July"/>
    <d v="1899-12-30T18:10:53"/>
    <s v="&quot;CNR5478940&quot;"/>
    <s v="Completed"/>
    <s v="&quot;CID1749983&quot;"/>
    <x v="5"/>
    <s v="Delhi Gate"/>
    <s v="Greater Noida"/>
    <n v="4.5"/>
    <n v="40"/>
    <s v="null"/>
    <s v="null"/>
    <s v="null"/>
    <s v="null"/>
    <s v="null"/>
    <s v="null"/>
    <n v="252"/>
    <n v="38.159999999999997"/>
    <n v="5"/>
    <n v="4.3"/>
    <s v="UPI"/>
  </r>
  <r>
    <d v="2024-07-10T00:00:00"/>
    <s v="July"/>
    <d v="1899-12-30T12:25:00"/>
    <s v="&quot;CNR2883744&quot;"/>
    <s v="Incomplete"/>
    <s v="&quot;CID4582446&quot;"/>
    <x v="5"/>
    <s v="Paschim Vihar"/>
    <s v="Mandi House"/>
    <n v="2.9"/>
    <n v="28.2"/>
    <s v="null"/>
    <s v="null"/>
    <s v="null"/>
    <s v="null"/>
    <n v="1"/>
    <s v="Customer Demand"/>
    <n v="118"/>
    <n v="8.06"/>
    <s v="null"/>
    <s v="null"/>
    <s v="Debit Card"/>
  </r>
  <r>
    <d v="2024-01-05T00:00:00"/>
    <s v="January"/>
    <d v="1899-12-30T11:10:06"/>
    <s v="&quot;CNR8737998&quot;"/>
    <s v="Completed"/>
    <s v="&quot;CID6183084&quot;"/>
    <x v="4"/>
    <s v="IIT Delhi"/>
    <s v="Kherki Daula Toll"/>
    <n v="13.2"/>
    <n v="17"/>
    <s v="null"/>
    <s v="null"/>
    <s v="null"/>
    <s v="null"/>
    <s v="null"/>
    <s v="null"/>
    <n v="74"/>
    <n v="4.1500000000000004"/>
    <n v="4.0999999999999996"/>
    <n v="4.2"/>
    <s v="Uber Wallet"/>
  </r>
  <r>
    <d v="2024-02-01T00:00:00"/>
    <s v="February"/>
    <d v="1899-12-30T14:56:25"/>
    <s v="&quot;CNR2054702&quot;"/>
    <s v="Completed"/>
    <s v="&quot;CID2980558&quot;"/>
    <x v="0"/>
    <s v="Netaji Subhash Place"/>
    <s v="Gurgaon Sector 29"/>
    <n v="5.0999999999999996"/>
    <n v="30.1"/>
    <s v="null"/>
    <s v="null"/>
    <s v="null"/>
    <s v="null"/>
    <s v="null"/>
    <s v="null"/>
    <n v="944"/>
    <n v="16.7"/>
    <n v="4.5999999999999996"/>
    <n v="4.3"/>
    <s v="UPI"/>
  </r>
  <r>
    <d v="2024-02-04T00:00:00"/>
    <s v="February"/>
    <d v="1899-12-30T22:50:49"/>
    <s v="&quot;CNR1015058&quot;"/>
    <s v="Completed"/>
    <s v="&quot;CID1066576&quot;"/>
    <x v="2"/>
    <s v="Rohini East"/>
    <s v="Kaushambi"/>
    <n v="14.1"/>
    <n v="37.700000000000003"/>
    <s v="null"/>
    <s v="null"/>
    <s v="null"/>
    <s v="null"/>
    <s v="null"/>
    <s v="null"/>
    <n v="758"/>
    <n v="18.829999999999998"/>
    <n v="4.3"/>
    <n v="4.2"/>
    <s v="Cash"/>
  </r>
  <r>
    <d v="2024-11-08T00:00:00"/>
    <s v="November"/>
    <d v="1899-12-30T15:33:29"/>
    <s v="&quot;CNR9262720&quot;"/>
    <s v="Completed"/>
    <s v="&quot;CID6906507&quot;"/>
    <x v="5"/>
    <s v="Ashram"/>
    <s v="AIIMS"/>
    <n v="13.9"/>
    <n v="41.6"/>
    <s v="null"/>
    <s v="null"/>
    <s v="null"/>
    <s v="null"/>
    <s v="null"/>
    <s v="null"/>
    <n v="57"/>
    <n v="49.95"/>
    <n v="4.4000000000000004"/>
    <n v="4.7"/>
    <s v="Cash"/>
  </r>
  <r>
    <d v="2024-09-09T00:00:00"/>
    <s v="September"/>
    <d v="1899-12-30T18:09:57"/>
    <s v="&quot;CNR3847275&quot;"/>
    <s v="Completed"/>
    <s v="&quot;CID8460871&quot;"/>
    <x v="2"/>
    <s v="Indirapuram"/>
    <s v="Indraprastha"/>
    <n v="5.7"/>
    <n v="38.5"/>
    <s v="null"/>
    <s v="null"/>
    <s v="null"/>
    <s v="null"/>
    <s v="null"/>
    <s v="null"/>
    <n v="130"/>
    <n v="20.92"/>
    <n v="4.3"/>
    <n v="4.5999999999999996"/>
    <s v="UPI"/>
  </r>
  <r>
    <d v="2024-12-16T00:00:00"/>
    <s v="December"/>
    <d v="1899-12-30T18:06:35"/>
    <s v="&quot;CNR2741467&quot;"/>
    <s v="Cancelled by Driver"/>
    <s v="&quot;CID5243272&quot;"/>
    <x v="3"/>
    <s v="Sikanderpur"/>
    <s v="Kaushambi"/>
    <n v="10.7"/>
    <s v="null"/>
    <s v="null"/>
    <s v="null"/>
    <n v="1"/>
    <s v="More than permitted people in there"/>
    <s v="null"/>
    <s v="null"/>
    <s v="null"/>
    <s v="null"/>
    <s v="null"/>
    <s v="null"/>
    <s v="null"/>
  </r>
  <r>
    <d v="2024-04-12T00:00:00"/>
    <s v="April"/>
    <d v="1899-12-30T22:04:09"/>
    <s v="&quot;CNR6939092&quot;"/>
    <s v="Cancelled by Driver"/>
    <s v="&quot;CID7646791&quot;"/>
    <x v="4"/>
    <s v="Vinobapuri"/>
    <s v="Udyog Vihar"/>
    <n v="3.8"/>
    <s v="null"/>
    <s v="null"/>
    <s v="null"/>
    <n v="1"/>
    <s v="Customer related issue"/>
    <s v="null"/>
    <s v="null"/>
    <s v="null"/>
    <s v="null"/>
    <s v="null"/>
    <s v="null"/>
    <s v="null"/>
  </r>
  <r>
    <d v="2024-08-11T00:00:00"/>
    <s v="August"/>
    <d v="1899-12-30T22:27:56"/>
    <s v="&quot;CNR4976636&quot;"/>
    <s v="Completed"/>
    <s v="&quot;CID6816039&quot;"/>
    <x v="3"/>
    <s v="Khandsa"/>
    <s v="Karol Bagh"/>
    <n v="14"/>
    <n v="36.200000000000003"/>
    <s v="null"/>
    <s v="null"/>
    <s v="null"/>
    <s v="null"/>
    <s v="null"/>
    <s v="null"/>
    <n v="795"/>
    <n v="19.559999999999999"/>
    <n v="3.9"/>
    <n v="4.2"/>
    <s v="UPI"/>
  </r>
  <r>
    <d v="2024-10-18T00:00:00"/>
    <s v="October"/>
    <d v="1899-12-30T07:26:47"/>
    <s v="&quot;CNR9553310&quot;"/>
    <s v="Completed"/>
    <s v="&quot;CID7931768&quot;"/>
    <x v="4"/>
    <s v="Hero Honda Chowk"/>
    <s v="Yamuna Bank"/>
    <n v="10.3"/>
    <n v="20.399999999999999"/>
    <s v="null"/>
    <s v="null"/>
    <s v="null"/>
    <s v="null"/>
    <s v="null"/>
    <s v="null"/>
    <n v="304"/>
    <n v="41.14"/>
    <n v="4.7"/>
    <n v="3.9"/>
    <s v="Cash"/>
  </r>
  <r>
    <d v="2024-02-18T00:00:00"/>
    <s v="February"/>
    <d v="1899-12-30T05:51:23"/>
    <s v="&quot;CNR7410537&quot;"/>
    <s v="Completed"/>
    <s v="&quot;CID7983370&quot;"/>
    <x v="5"/>
    <s v="Pitampura"/>
    <s v="Ardee City"/>
    <n v="14.7"/>
    <n v="23.2"/>
    <s v="null"/>
    <s v="null"/>
    <s v="null"/>
    <s v="null"/>
    <s v="null"/>
    <s v="null"/>
    <n v="147"/>
    <n v="2.84"/>
    <n v="3.7"/>
    <n v="4.9000000000000004"/>
    <s v="Uber Wallet"/>
  </r>
  <r>
    <d v="2024-07-30T00:00:00"/>
    <s v="July"/>
    <d v="1899-12-30T15:12:27"/>
    <s v="&quot;CNR6994684&quot;"/>
    <s v="Cancelled by Driver"/>
    <s v="&quot;CID1555665&quot;"/>
    <x v="5"/>
    <s v="Pragati Maidan"/>
    <s v="Vidhan Sabha"/>
    <n v="6.7"/>
    <s v="null"/>
    <s v="null"/>
    <s v="null"/>
    <n v="1"/>
    <s v="Customer related issue"/>
    <s v="null"/>
    <s v="null"/>
    <s v="null"/>
    <s v="null"/>
    <s v="null"/>
    <s v="null"/>
    <s v="null"/>
  </r>
  <r>
    <d v="2024-02-16T00:00:00"/>
    <s v="February"/>
    <d v="1899-12-30T14:40:33"/>
    <s v="&quot;CNR3762567&quot;"/>
    <s v="Completed"/>
    <s v="&quot;CID3108623&quot;"/>
    <x v="2"/>
    <s v="AIIMS"/>
    <s v="Paschim Vihar"/>
    <n v="4.8"/>
    <n v="28.4"/>
    <s v="null"/>
    <s v="null"/>
    <s v="null"/>
    <s v="null"/>
    <s v="null"/>
    <s v="null"/>
    <n v="215"/>
    <n v="16.41"/>
    <n v="4.2"/>
    <n v="3.8"/>
    <s v="UPI"/>
  </r>
  <r>
    <d v="2024-11-09T00:00:00"/>
    <s v="November"/>
    <d v="1899-12-30T12:19:27"/>
    <s v="&quot;CNR2538590&quot;"/>
    <s v="Incomplete"/>
    <s v="&quot;CID9363567&quot;"/>
    <x v="2"/>
    <s v="Basai Dhankot"/>
    <s v="Indirapuram"/>
    <n v="7"/>
    <n v="16.100000000000001"/>
    <s v="null"/>
    <s v="null"/>
    <s v="null"/>
    <s v="null"/>
    <n v="1"/>
    <s v="Other Issue"/>
    <n v="210"/>
    <n v="18.11"/>
    <s v="null"/>
    <s v="null"/>
    <s v="Credit Card"/>
  </r>
  <r>
    <d v="2024-01-16T00:00:00"/>
    <s v="January"/>
    <d v="1899-12-30T13:31:09"/>
    <s v="&quot;CNR2613398&quot;"/>
    <s v="Completed"/>
    <s v="&quot;CID2116488&quot;"/>
    <x v="4"/>
    <s v="Uttam Nagar"/>
    <s v="Chanakyapuri"/>
    <n v="4.0999999999999996"/>
    <n v="31.8"/>
    <s v="null"/>
    <s v="null"/>
    <s v="null"/>
    <s v="null"/>
    <s v="null"/>
    <s v="null"/>
    <n v="315"/>
    <n v="33.14"/>
    <n v="3.7"/>
    <n v="4.3"/>
    <s v="Debit Card"/>
  </r>
  <r>
    <d v="2024-02-28T00:00:00"/>
    <s v="February"/>
    <d v="1899-12-30T09:38:15"/>
    <s v="&quot;CNR8355495&quot;"/>
    <s v="Cancelled by Driver"/>
    <s v="&quot;CID7308464&quot;"/>
    <x v="3"/>
    <s v="Anand Vihar ISBT"/>
    <s v="Ghaziabad"/>
    <n v="4.3"/>
    <s v="null"/>
    <s v="null"/>
    <s v="null"/>
    <n v="1"/>
    <s v="Customer related issue"/>
    <s v="null"/>
    <s v="null"/>
    <s v="null"/>
    <s v="null"/>
    <s v="null"/>
    <s v="null"/>
    <s v="null"/>
  </r>
  <r>
    <d v="2024-03-29T00:00:00"/>
    <s v="March"/>
    <d v="1899-12-30T14:26:21"/>
    <s v="&quot;CNR8228318&quot;"/>
    <s v="Cancelled by Customer"/>
    <s v="&quot;CID2317986&quot;"/>
    <x v="4"/>
    <s v="Akshardham"/>
    <s v="Preet Vihar"/>
    <n v="9.5"/>
    <s v="null"/>
    <n v="1"/>
    <s v="Wrong Address"/>
    <s v="null"/>
    <s v="null"/>
    <s v="null"/>
    <s v="null"/>
    <s v="null"/>
    <s v="null"/>
    <s v="null"/>
    <s v="null"/>
    <s v="null"/>
  </r>
  <r>
    <d v="2024-07-11T00:00:00"/>
    <s v="July"/>
    <d v="1899-12-30T09:04:20"/>
    <s v="&quot;CNR5250100&quot;"/>
    <s v="Cancelled by Driver"/>
    <s v="&quot;CID8476687&quot;"/>
    <x v="3"/>
    <s v="IMT Manesar"/>
    <s v="Anand Vihar"/>
    <n v="7.8"/>
    <s v="null"/>
    <s v="null"/>
    <s v="null"/>
    <n v="1"/>
    <s v="The customer was coughing/sick"/>
    <s v="null"/>
    <s v="null"/>
    <s v="null"/>
    <s v="null"/>
    <s v="null"/>
    <s v="null"/>
    <s v="null"/>
  </r>
  <r>
    <d v="2024-08-22T00:00:00"/>
    <s v="August"/>
    <d v="1899-12-30T17:44:49"/>
    <s v="&quot;CNR8899931&quot;"/>
    <s v="Completed"/>
    <s v="&quot;CID7188742&quot;"/>
    <x v="5"/>
    <s v="Bahadurgarh"/>
    <s v="Govindpuri"/>
    <n v="12"/>
    <n v="37.799999999999997"/>
    <s v="null"/>
    <s v="null"/>
    <s v="null"/>
    <s v="null"/>
    <s v="null"/>
    <s v="null"/>
    <n v="737"/>
    <n v="41.78"/>
    <n v="4.4000000000000004"/>
    <n v="3.7"/>
    <s v="UPI"/>
  </r>
  <r>
    <d v="2024-08-18T00:00:00"/>
    <s v="August"/>
    <d v="1899-12-30T17:49:16"/>
    <s v="&quot;CNR9984524&quot;"/>
    <s v="Completed"/>
    <s v="&quot;CID2343499&quot;"/>
    <x v="3"/>
    <s v="Netaji Subhash Place"/>
    <s v="Noida Extension"/>
    <n v="5"/>
    <n v="44.3"/>
    <s v="null"/>
    <s v="null"/>
    <s v="null"/>
    <s v="null"/>
    <s v="null"/>
    <s v="null"/>
    <n v="109"/>
    <n v="8.5500000000000007"/>
    <n v="4.5999999999999996"/>
    <n v="4.9000000000000004"/>
    <s v="UPI"/>
  </r>
  <r>
    <d v="2024-10-27T00:00:00"/>
    <s v="October"/>
    <d v="1899-12-30T17:20:37"/>
    <s v="&quot;CNR9503919&quot;"/>
    <s v="Cancelled by Customer"/>
    <s v="&quot;CID5828260&quot;"/>
    <x v="5"/>
    <s v="Ardee City"/>
    <s v="Connaught Place"/>
    <n v="14"/>
    <s v="null"/>
    <n v="1"/>
    <s v="Driver is not moving towards pickup location"/>
    <s v="null"/>
    <s v="null"/>
    <s v="null"/>
    <s v="null"/>
    <s v="null"/>
    <s v="null"/>
    <s v="null"/>
    <s v="null"/>
    <s v="null"/>
  </r>
  <r>
    <d v="2024-01-01T00:00:00"/>
    <s v="January"/>
    <d v="1899-12-30T18:05:08"/>
    <s v="&quot;CNR2589191&quot;"/>
    <s v="Completed"/>
    <s v="&quot;CID8552101&quot;"/>
    <x v="2"/>
    <s v="Jahangirpuri"/>
    <s v="Saket"/>
    <n v="3.8"/>
    <n v="20.100000000000001"/>
    <s v="null"/>
    <s v="null"/>
    <s v="null"/>
    <s v="null"/>
    <s v="null"/>
    <s v="null"/>
    <n v="142"/>
    <n v="38.69"/>
    <n v="4"/>
    <n v="4.5"/>
    <s v="Uber Wallet"/>
  </r>
  <r>
    <d v="2024-05-21T00:00:00"/>
    <s v="May"/>
    <d v="1899-12-30T10:36:28"/>
    <s v="&quot;CNR6334509&quot;"/>
    <s v="Completed"/>
    <s v="&quot;CID7221694&quot;"/>
    <x v="5"/>
    <s v="Keshav Puram"/>
    <s v="Sushant Lok"/>
    <n v="7.3"/>
    <n v="16.600000000000001"/>
    <s v="null"/>
    <s v="null"/>
    <s v="null"/>
    <s v="null"/>
    <s v="null"/>
    <s v="null"/>
    <n v="415"/>
    <n v="28.51"/>
    <n v="4.3"/>
    <n v="4.5999999999999996"/>
    <s v="UPI"/>
  </r>
  <r>
    <d v="2024-09-21T00:00:00"/>
    <s v="September"/>
    <d v="1899-12-30T07:49:14"/>
    <s v="&quot;CNR9466363&quot;"/>
    <s v="Completed"/>
    <s v="&quot;CID8934229&quot;"/>
    <x v="1"/>
    <s v="Ghaziabad"/>
    <s v="Bahadurgarh"/>
    <n v="8.6999999999999993"/>
    <n v="28.5"/>
    <s v="null"/>
    <s v="null"/>
    <s v="null"/>
    <s v="null"/>
    <s v="null"/>
    <s v="null"/>
    <n v="329"/>
    <n v="49"/>
    <n v="4.2"/>
    <n v="4.5999999999999996"/>
    <s v="UPI"/>
  </r>
  <r>
    <d v="2024-02-29T00:00:00"/>
    <s v="February"/>
    <d v="1899-12-30T20:14:03"/>
    <s v="&quot;CNR9331328&quot;"/>
    <s v="Completed"/>
    <s v="&quot;CID6226450&quot;"/>
    <x v="2"/>
    <s v="Kashmere Gate ISBT"/>
    <s v="Narsinghpur"/>
    <n v="4.5"/>
    <n v="16.2"/>
    <s v="null"/>
    <s v="null"/>
    <s v="null"/>
    <s v="null"/>
    <s v="null"/>
    <s v="null"/>
    <n v="960"/>
    <n v="15.82"/>
    <n v="4.4000000000000004"/>
    <n v="3.7"/>
    <s v="UPI"/>
  </r>
  <r>
    <d v="2024-07-22T00:00:00"/>
    <s v="July"/>
    <d v="1899-12-30T11:39:21"/>
    <s v="&quot;CNR4717846&quot;"/>
    <s v="Completed"/>
    <s v="&quot;CID7881372&quot;"/>
    <x v="2"/>
    <s v="Central Secretariat"/>
    <s v="Rajiv Chowk"/>
    <n v="4.4000000000000004"/>
    <n v="28.1"/>
    <s v="null"/>
    <s v="null"/>
    <s v="null"/>
    <s v="null"/>
    <s v="null"/>
    <s v="null"/>
    <n v="227"/>
    <n v="46.75"/>
    <n v="4.9000000000000004"/>
    <n v="4.2"/>
    <s v="UPI"/>
  </r>
  <r>
    <d v="2024-06-23T00:00:00"/>
    <s v="June"/>
    <d v="1899-12-30T13:52:27"/>
    <s v="&quot;CNR6805743&quot;"/>
    <s v="Cancelled by Customer"/>
    <s v="&quot;CID9861963&quot;"/>
    <x v="1"/>
    <s v="Saidulajab"/>
    <s v="Kalkaji"/>
    <n v="19.600000000000001"/>
    <s v="null"/>
    <n v="1"/>
    <s v="Driver asked to cancel"/>
    <s v="null"/>
    <s v="null"/>
    <s v="null"/>
    <s v="null"/>
    <s v="null"/>
    <s v="null"/>
    <s v="null"/>
    <s v="null"/>
    <s v="null"/>
  </r>
  <r>
    <d v="2024-06-05T00:00:00"/>
    <s v="June"/>
    <d v="1899-12-30T13:51:27"/>
    <s v="&quot;CNR3465275&quot;"/>
    <s v="Completed"/>
    <s v="&quot;CID1611625&quot;"/>
    <x v="1"/>
    <s v="Basai Dhankot"/>
    <s v="Karkarduma"/>
    <n v="5"/>
    <n v="42"/>
    <s v="null"/>
    <s v="null"/>
    <s v="null"/>
    <s v="null"/>
    <s v="null"/>
    <s v="null"/>
    <n v="450"/>
    <n v="17.940000000000001"/>
    <n v="4.5"/>
    <n v="4.2"/>
    <s v="Cash"/>
  </r>
  <r>
    <d v="2024-11-18T00:00:00"/>
    <s v="November"/>
    <d v="1899-12-30T01:15:16"/>
    <s v="&quot;CNR2683286&quot;"/>
    <s v="Cancelled by Customer"/>
    <s v="&quot;CID7381705&quot;"/>
    <x v="1"/>
    <s v="Greater Noida"/>
    <s v="Sushant Lok"/>
    <n v="19.899999999999999"/>
    <s v="null"/>
    <n v="1"/>
    <s v="AC is not working"/>
    <s v="null"/>
    <s v="null"/>
    <s v="null"/>
    <s v="null"/>
    <s v="null"/>
    <s v="null"/>
    <s v="null"/>
    <s v="null"/>
    <s v="null"/>
  </r>
  <r>
    <d v="2024-01-11T00:00:00"/>
    <s v="January"/>
    <d v="1899-12-30T22:05:35"/>
    <s v="&quot;CNR9820341&quot;"/>
    <s v="Completed"/>
    <s v="&quot;CID4262864&quot;"/>
    <x v="1"/>
    <s v="Paschim Vihar"/>
    <s v="Saket"/>
    <n v="11.4"/>
    <n v="41.1"/>
    <s v="null"/>
    <s v="null"/>
    <s v="null"/>
    <s v="null"/>
    <s v="null"/>
    <s v="null"/>
    <n v="241"/>
    <n v="33.29"/>
    <n v="3.8"/>
    <n v="4.7"/>
    <s v="Cash"/>
  </r>
  <r>
    <d v="2024-12-06T00:00:00"/>
    <s v="December"/>
    <d v="1899-12-30T11:26:32"/>
    <s v="&quot;CNR8425208&quot;"/>
    <s v="Completed"/>
    <s v="&quot;CID3854923&quot;"/>
    <x v="4"/>
    <s v="Mansarovar Park"/>
    <s v="Central Secretariat"/>
    <n v="7.7"/>
    <n v="42.6"/>
    <s v="null"/>
    <s v="null"/>
    <s v="null"/>
    <s v="null"/>
    <s v="null"/>
    <s v="null"/>
    <n v="781"/>
    <n v="48.44"/>
    <n v="4.2"/>
    <n v="4.7"/>
    <s v="Credit Card"/>
  </r>
  <r>
    <d v="2024-02-14T00:00:00"/>
    <s v="February"/>
    <d v="1899-12-30T15:04:09"/>
    <s v="&quot;CNR9015216&quot;"/>
    <s v="Completed"/>
    <s v="&quot;CID5972058&quot;"/>
    <x v="6"/>
    <s v="Vaishali"/>
    <s v="Gurgaon Sector 56"/>
    <n v="14.3"/>
    <n v="26"/>
    <s v="null"/>
    <s v="null"/>
    <s v="null"/>
    <s v="null"/>
    <s v="null"/>
    <s v="null"/>
    <n v="284"/>
    <n v="16.97"/>
    <n v="3.6"/>
    <n v="4.7"/>
    <s v="UPI"/>
  </r>
  <r>
    <d v="2024-05-29T00:00:00"/>
    <s v="May"/>
    <d v="1899-12-30T01:17:33"/>
    <s v="&quot;CNR4412823&quot;"/>
    <s v="Cancelled by Driver"/>
    <s v="&quot;CID9514535&quot;"/>
    <x v="4"/>
    <s v="Karkarduma"/>
    <s v="IGI Airport"/>
    <n v="6.8"/>
    <s v="null"/>
    <s v="null"/>
    <s v="null"/>
    <n v="1"/>
    <s v="More than permitted people in there"/>
    <s v="null"/>
    <s v="null"/>
    <s v="null"/>
    <s v="null"/>
    <s v="null"/>
    <s v="null"/>
    <s v="null"/>
  </r>
  <r>
    <d v="2024-03-16T00:00:00"/>
    <s v="March"/>
    <d v="1899-12-30T19:31:39"/>
    <s v="&quot;CNR4201165&quot;"/>
    <s v="Cancelled by Driver"/>
    <s v="&quot;CID7036125&quot;"/>
    <x v="2"/>
    <s v="Huda City Centre"/>
    <s v="Peeragarhi"/>
    <n v="3.8"/>
    <s v="null"/>
    <s v="null"/>
    <s v="null"/>
    <n v="1"/>
    <s v="The customer was coughing/sick"/>
    <s v="null"/>
    <s v="null"/>
    <s v="null"/>
    <s v="null"/>
    <s v="null"/>
    <s v="null"/>
    <s v="null"/>
  </r>
  <r>
    <d v="2024-04-11T00:00:00"/>
    <s v="April"/>
    <d v="1899-12-30T10:05:52"/>
    <s v="&quot;CNR8798292&quot;"/>
    <s v="Cancelled by Driver"/>
    <s v="&quot;CID2288750&quot;"/>
    <x v="2"/>
    <s v="DLF Phase 3"/>
    <s v="Anand Vihar"/>
    <n v="9.4"/>
    <s v="null"/>
    <s v="null"/>
    <s v="null"/>
    <n v="1"/>
    <s v="The customer was coughing/sick"/>
    <s v="null"/>
    <s v="null"/>
    <s v="null"/>
    <s v="null"/>
    <s v="null"/>
    <s v="null"/>
    <s v="null"/>
  </r>
  <r>
    <d v="2024-12-24T00:00:00"/>
    <s v="December"/>
    <d v="1899-12-30T10:20:44"/>
    <s v="&quot;CNR2839694&quot;"/>
    <s v="Completed"/>
    <s v="&quot;CID5920753&quot;"/>
    <x v="4"/>
    <s v="Kherki Daula Toll"/>
    <s v="Rajouri Garden"/>
    <n v="5"/>
    <n v="32.6"/>
    <s v="null"/>
    <s v="null"/>
    <s v="null"/>
    <s v="null"/>
    <s v="null"/>
    <s v="null"/>
    <n v="245"/>
    <n v="12.28"/>
    <n v="4.0999999999999996"/>
    <n v="4.2"/>
    <s v="Cash"/>
  </r>
  <r>
    <d v="2024-12-03T00:00:00"/>
    <s v="December"/>
    <d v="1899-12-30T11:30:32"/>
    <s v="&quot;CNR3956742&quot;"/>
    <s v="Cancelled by Customer"/>
    <s v="&quot;CID7808548&quot;"/>
    <x v="5"/>
    <s v="Panipat"/>
    <s v="Hauz Rani"/>
    <n v="19.2"/>
    <s v="null"/>
    <n v="1"/>
    <s v="Change of plans"/>
    <s v="null"/>
    <s v="null"/>
    <s v="null"/>
    <s v="null"/>
    <s v="null"/>
    <s v="null"/>
    <s v="null"/>
    <s v="null"/>
    <s v="null"/>
  </r>
  <r>
    <d v="2024-11-06T00:00:00"/>
    <s v="November"/>
    <d v="1899-12-30T00:34:29"/>
    <s v="&quot;CNR8046560&quot;"/>
    <s v="Completed"/>
    <s v="&quot;CID2466290&quot;"/>
    <x v="5"/>
    <s v="Gurgaon Railway Station"/>
    <s v="MG Road"/>
    <n v="3.2"/>
    <n v="24.9"/>
    <s v="null"/>
    <s v="null"/>
    <s v="null"/>
    <s v="null"/>
    <s v="null"/>
    <s v="null"/>
    <n v="184"/>
    <n v="45.91"/>
    <n v="4.3"/>
    <n v="4.3"/>
    <s v="Cash"/>
  </r>
  <r>
    <d v="2024-06-30T00:00:00"/>
    <s v="June"/>
    <d v="1899-12-30T22:50:24"/>
    <s v="&quot;CNR1654617&quot;"/>
    <s v="Completed"/>
    <s v="&quot;CID5187644&quot;"/>
    <x v="4"/>
    <s v="Dilshad Garden"/>
    <s v="Jama Masjid"/>
    <n v="12.3"/>
    <n v="23.3"/>
    <s v="null"/>
    <s v="null"/>
    <s v="null"/>
    <s v="null"/>
    <s v="null"/>
    <s v="null"/>
    <n v="516"/>
    <n v="48.33"/>
    <n v="4.2"/>
    <n v="4.8"/>
    <s v="UPI"/>
  </r>
  <r>
    <d v="2024-11-13T00:00:00"/>
    <s v="November"/>
    <d v="1899-12-30T21:50:35"/>
    <s v="&quot;CNR7258638&quot;"/>
    <s v="Cancelled by Customer"/>
    <s v="&quot;CID4109157&quot;"/>
    <x v="4"/>
    <s v="Moti Nagar"/>
    <s v="Mundka"/>
    <n v="8.1"/>
    <s v="null"/>
    <n v="1"/>
    <s v="Change of plans"/>
    <s v="null"/>
    <s v="null"/>
    <s v="null"/>
    <s v="null"/>
    <s v="null"/>
    <s v="null"/>
    <s v="null"/>
    <s v="null"/>
    <s v="null"/>
  </r>
  <r>
    <d v="2024-02-15T00:00:00"/>
    <s v="February"/>
    <d v="1899-12-30T19:46:16"/>
    <s v="&quot;CNR8323126&quot;"/>
    <s v="Completed"/>
    <s v="&quot;CID9881657&quot;"/>
    <x v="1"/>
    <s v="Dwarka Sector 21"/>
    <s v="Arjangarh"/>
    <n v="7.5"/>
    <n v="44.8"/>
    <s v="null"/>
    <s v="null"/>
    <s v="null"/>
    <s v="null"/>
    <s v="null"/>
    <s v="null"/>
    <n v="315"/>
    <n v="14.16"/>
    <n v="3.8"/>
    <n v="5"/>
    <s v="UPI"/>
  </r>
  <r>
    <d v="2024-06-22T00:00:00"/>
    <s v="June"/>
    <d v="1899-12-30T11:37:32"/>
    <s v="&quot;CNR2023370&quot;"/>
    <s v="Completed"/>
    <s v="&quot;CID8905593&quot;"/>
    <x v="2"/>
    <s v="South Extension"/>
    <s v="Okhla"/>
    <n v="4.8"/>
    <n v="15.9"/>
    <s v="null"/>
    <s v="null"/>
    <s v="null"/>
    <s v="null"/>
    <s v="null"/>
    <s v="null"/>
    <n v="686"/>
    <n v="26.44"/>
    <n v="4"/>
    <n v="4.9000000000000004"/>
    <s v="UPI"/>
  </r>
  <r>
    <d v="2024-05-15T00:00:00"/>
    <s v="May"/>
    <d v="1899-12-30T10:36:44"/>
    <s v="&quot;CNR4146096&quot;"/>
    <s v="Cancelled by Driver"/>
    <s v="&quot;CID3972255&quot;"/>
    <x v="1"/>
    <s v="Khan Market"/>
    <s v="Basai Dhankot"/>
    <n v="6.9"/>
    <s v="null"/>
    <s v="null"/>
    <s v="null"/>
    <n v="1"/>
    <s v="Personal &amp; Car related issues"/>
    <s v="null"/>
    <s v="null"/>
    <s v="null"/>
    <s v="null"/>
    <s v="null"/>
    <s v="null"/>
    <s v="null"/>
  </r>
  <r>
    <d v="2024-09-25T00:00:00"/>
    <s v="September"/>
    <d v="1899-12-30T18:00:38"/>
    <s v="&quot;CNR2333062&quot;"/>
    <s v="No Driver Found"/>
    <s v="&quot;CID7867803&quot;"/>
    <x v="1"/>
    <s v="Pragati Maidan"/>
    <s v="IGNOU Road"/>
    <s v="null"/>
    <s v="null"/>
    <s v="null"/>
    <s v="null"/>
    <s v="null"/>
    <s v="null"/>
    <s v="null"/>
    <s v="null"/>
    <s v="null"/>
    <s v="null"/>
    <s v="null"/>
    <s v="null"/>
    <s v="null"/>
  </r>
  <r>
    <d v="2024-07-03T00:00:00"/>
    <s v="July"/>
    <d v="1899-12-30T05:46:17"/>
    <s v="&quot;CNR7967899&quot;"/>
    <s v="Cancelled by Driver"/>
    <s v="&quot;CID5167087&quot;"/>
    <x v="0"/>
    <s v="Yamuna Bank"/>
    <s v="Gurgaon Sector 56"/>
    <n v="4"/>
    <s v="null"/>
    <s v="null"/>
    <s v="null"/>
    <n v="1"/>
    <s v="Customer related issue"/>
    <s v="null"/>
    <s v="null"/>
    <s v="null"/>
    <s v="null"/>
    <s v="null"/>
    <s v="null"/>
    <s v="null"/>
  </r>
  <r>
    <d v="2024-04-25T00:00:00"/>
    <s v="April"/>
    <d v="1899-12-30T21:26:05"/>
    <s v="&quot;CNR2201521&quot;"/>
    <s v="Completed"/>
    <s v="&quot;CID1558009&quot;"/>
    <x v="4"/>
    <s v="Indirapuram"/>
    <s v="Ashok Vihar"/>
    <n v="14.7"/>
    <n v="42.2"/>
    <s v="null"/>
    <s v="null"/>
    <s v="null"/>
    <s v="null"/>
    <s v="null"/>
    <s v="null"/>
    <n v="203"/>
    <n v="40.61"/>
    <n v="4.3"/>
    <n v="5"/>
    <s v="Uber Wallet"/>
  </r>
  <r>
    <d v="2024-08-31T00:00:00"/>
    <s v="August"/>
    <d v="1899-12-30T16:46:34"/>
    <s v="&quot;CNR7361644&quot;"/>
    <s v="Completed"/>
    <s v="&quot;CID1672574&quot;"/>
    <x v="0"/>
    <s v="Meerut"/>
    <s v="IGNOU Road"/>
    <n v="10"/>
    <n v="20.8"/>
    <s v="null"/>
    <s v="null"/>
    <s v="null"/>
    <s v="null"/>
    <s v="null"/>
    <s v="null"/>
    <n v="332"/>
    <n v="22.06"/>
    <n v="4.2"/>
    <n v="4.7"/>
    <s v="UPI"/>
  </r>
  <r>
    <d v="2024-03-02T00:00:00"/>
    <s v="March"/>
    <d v="1899-12-30T12:18:13"/>
    <s v="&quot;CNR2359760&quot;"/>
    <s v="Completed"/>
    <s v="&quot;CID1027354&quot;"/>
    <x v="2"/>
    <s v="Punjabi Bagh"/>
    <s v="Vidhan Sabha"/>
    <n v="12.9"/>
    <n v="37.4"/>
    <s v="null"/>
    <s v="null"/>
    <s v="null"/>
    <s v="null"/>
    <s v="null"/>
    <s v="null"/>
    <n v="326"/>
    <n v="32.21"/>
    <n v="4.4000000000000004"/>
    <n v="4.9000000000000004"/>
    <s v="UPI"/>
  </r>
  <r>
    <d v="2024-06-18T00:00:00"/>
    <s v="June"/>
    <d v="1899-12-30T08:42:33"/>
    <s v="&quot;CNR6508663&quot;"/>
    <s v="Completed"/>
    <s v="&quot;CID9635275&quot;"/>
    <x v="1"/>
    <s v="Gurgaon Sector 56"/>
    <s v="Samaypur Badli"/>
    <n v="11.4"/>
    <n v="39.799999999999997"/>
    <s v="null"/>
    <s v="null"/>
    <s v="null"/>
    <s v="null"/>
    <s v="null"/>
    <s v="null"/>
    <n v="159"/>
    <n v="33.07"/>
    <n v="4.0999999999999996"/>
    <n v="4.5"/>
    <s v="Credit Card"/>
  </r>
  <r>
    <d v="2024-04-19T00:00:00"/>
    <s v="April"/>
    <d v="1899-12-30T16:35:09"/>
    <s v="&quot;CNR9686162&quot;"/>
    <s v="Cancelled by Driver"/>
    <s v="&quot;CID7993266&quot;"/>
    <x v="2"/>
    <s v="Badshahpur"/>
    <s v="IGI Airport"/>
    <n v="5.8"/>
    <s v="null"/>
    <s v="null"/>
    <s v="null"/>
    <n v="1"/>
    <s v="Customer related issue"/>
    <s v="null"/>
    <s v="null"/>
    <s v="null"/>
    <s v="null"/>
    <s v="null"/>
    <s v="null"/>
    <s v="null"/>
  </r>
  <r>
    <d v="2024-02-21T00:00:00"/>
    <s v="February"/>
    <d v="1899-12-30T19:59:26"/>
    <s v="&quot;CNR6605057&quot;"/>
    <s v="Completed"/>
    <s v="&quot;CID7037271&quot;"/>
    <x v="3"/>
    <s v="Ambience Mall"/>
    <s v="South Extension"/>
    <n v="7.5"/>
    <n v="41.2"/>
    <s v="null"/>
    <s v="null"/>
    <s v="null"/>
    <s v="null"/>
    <s v="null"/>
    <s v="null"/>
    <n v="325"/>
    <n v="4.01"/>
    <n v="4.9000000000000004"/>
    <n v="4.2"/>
    <s v="UPI"/>
  </r>
  <r>
    <d v="2024-06-08T00:00:00"/>
    <s v="June"/>
    <d v="1899-12-30T18:03:42"/>
    <s v="&quot;CNR6119962&quot;"/>
    <s v="Cancelled by Driver"/>
    <s v="&quot;CID3516661&quot;"/>
    <x v="5"/>
    <s v="Lok Kalyan Marg"/>
    <s v="Jor Bagh"/>
    <n v="3.9"/>
    <s v="null"/>
    <s v="null"/>
    <s v="null"/>
    <n v="1"/>
    <s v="Customer related issue"/>
    <s v="null"/>
    <s v="null"/>
    <s v="null"/>
    <s v="null"/>
    <s v="null"/>
    <s v="null"/>
    <s v="null"/>
  </r>
  <r>
    <d v="2024-05-05T00:00:00"/>
    <s v="May"/>
    <d v="1899-12-30T11:59:18"/>
    <s v="&quot;CNR8615096&quot;"/>
    <s v="Incomplete"/>
    <s v="&quot;CID7151907&quot;"/>
    <x v="0"/>
    <s v="Civil Lines Gurgaon"/>
    <s v="Model Town"/>
    <n v="9.9"/>
    <n v="22.9"/>
    <s v="null"/>
    <s v="null"/>
    <s v="null"/>
    <s v="null"/>
    <n v="1"/>
    <s v="Customer Demand"/>
    <n v="685"/>
    <n v="2.14"/>
    <s v="null"/>
    <s v="null"/>
    <s v="UPI"/>
  </r>
  <r>
    <d v="2024-09-17T00:00:00"/>
    <s v="September"/>
    <d v="1899-12-30T14:10:00"/>
    <s v="&quot;CNR9271198&quot;"/>
    <s v="Cancelled by Driver"/>
    <s v="&quot;CID5634862&quot;"/>
    <x v="4"/>
    <s v="Old Gurgaon"/>
    <s v="IMT Manesar"/>
    <n v="3.3"/>
    <s v="null"/>
    <s v="null"/>
    <s v="null"/>
    <n v="1"/>
    <s v="The customer was coughing/sick"/>
    <s v="null"/>
    <s v="null"/>
    <s v="null"/>
    <s v="null"/>
    <s v="null"/>
    <s v="null"/>
    <s v="null"/>
  </r>
  <r>
    <d v="2024-08-29T00:00:00"/>
    <s v="August"/>
    <d v="1899-12-30T18:46:25"/>
    <s v="&quot;CNR3208225&quot;"/>
    <s v="Completed"/>
    <s v="&quot;CID3080984&quot;"/>
    <x v="2"/>
    <s v="Ashok Park Main"/>
    <s v="Subhash Nagar"/>
    <n v="6.8"/>
    <n v="29.7"/>
    <s v="null"/>
    <s v="null"/>
    <s v="null"/>
    <s v="null"/>
    <s v="null"/>
    <s v="null"/>
    <n v="378"/>
    <n v="30.94"/>
    <n v="4.2"/>
    <n v="4.5999999999999996"/>
    <s v="UPI"/>
  </r>
  <r>
    <d v="2024-09-01T00:00:00"/>
    <s v="September"/>
    <d v="1899-12-30T00:15:22"/>
    <s v="&quot;CNR3739993&quot;"/>
    <s v="Completed"/>
    <s v="&quot;CID3569673&quot;"/>
    <x v="3"/>
    <s v="Vishwavidyalaya"/>
    <s v="Rohini"/>
    <n v="11.4"/>
    <n v="32.6"/>
    <s v="null"/>
    <s v="null"/>
    <s v="null"/>
    <s v="null"/>
    <s v="null"/>
    <s v="null"/>
    <n v="150"/>
    <n v="11.04"/>
    <n v="4.0999999999999996"/>
    <n v="5"/>
    <s v="UPI"/>
  </r>
  <r>
    <d v="2024-07-19T00:00:00"/>
    <s v="July"/>
    <d v="1899-12-30T08:57:17"/>
    <s v="&quot;CNR3035382&quot;"/>
    <s v="Completed"/>
    <s v="&quot;CID3343040&quot;"/>
    <x v="0"/>
    <s v="Ashok Park Main"/>
    <s v="Ghitorni"/>
    <n v="4.5"/>
    <n v="21.3"/>
    <s v="null"/>
    <s v="null"/>
    <s v="null"/>
    <s v="null"/>
    <s v="null"/>
    <s v="null"/>
    <n v="329"/>
    <n v="42.71"/>
    <n v="4.5"/>
    <n v="4.3"/>
    <s v="Cash"/>
  </r>
  <r>
    <d v="2024-10-19T00:00:00"/>
    <s v="October"/>
    <d v="1899-12-30T10:52:10"/>
    <s v="&quot;CNR1478082&quot;"/>
    <s v="Completed"/>
    <s v="&quot;CID7640810&quot;"/>
    <x v="1"/>
    <s v="Rohini East"/>
    <s v="ITO"/>
    <n v="7.9"/>
    <n v="33.9"/>
    <s v="null"/>
    <s v="null"/>
    <s v="null"/>
    <s v="null"/>
    <s v="null"/>
    <s v="null"/>
    <n v="84"/>
    <n v="37.659999999999997"/>
    <n v="4.3"/>
    <n v="4.7"/>
    <s v="Cash"/>
  </r>
  <r>
    <d v="2024-05-29T00:00:00"/>
    <s v="May"/>
    <d v="1899-12-30T06:36:13"/>
    <s v="&quot;CNR2391152&quot;"/>
    <s v="Incomplete"/>
    <s v="&quot;CID9108394&quot;"/>
    <x v="5"/>
    <s v="Jor Bagh"/>
    <s v="Kherki Daula Toll"/>
    <n v="8"/>
    <n v="17.899999999999999"/>
    <s v="null"/>
    <s v="null"/>
    <s v="null"/>
    <s v="null"/>
    <n v="1"/>
    <s v="Other Issue"/>
    <n v="80"/>
    <n v="12.88"/>
    <s v="null"/>
    <s v="null"/>
    <s v="Debit Card"/>
  </r>
  <r>
    <d v="2024-03-23T00:00:00"/>
    <s v="March"/>
    <d v="1899-12-30T14:27:16"/>
    <s v="&quot;CNR1980663&quot;"/>
    <s v="Completed"/>
    <s v="&quot;CID1578122&quot;"/>
    <x v="1"/>
    <s v="Jama Masjid"/>
    <s v="Samaypur Badli"/>
    <n v="13.7"/>
    <n v="33.1"/>
    <s v="null"/>
    <s v="null"/>
    <s v="null"/>
    <s v="null"/>
    <s v="null"/>
    <s v="null"/>
    <n v="1124"/>
    <n v="5.28"/>
    <n v="4.2"/>
    <n v="3.8"/>
    <s v="UPI"/>
  </r>
  <r>
    <d v="2024-06-15T00:00:00"/>
    <s v="June"/>
    <d v="1899-12-30T04:43:29"/>
    <s v="&quot;CNR3375175&quot;"/>
    <s v="Completed"/>
    <s v="&quot;CID4579736&quot;"/>
    <x v="2"/>
    <s v="Paschim Vihar"/>
    <s v="Maidan Garhi"/>
    <n v="5.5"/>
    <n v="29.7"/>
    <s v="null"/>
    <s v="null"/>
    <s v="null"/>
    <s v="null"/>
    <s v="null"/>
    <s v="null"/>
    <n v="1628"/>
    <n v="48.93"/>
    <n v="3.7"/>
    <n v="4.5"/>
    <s v="UPI"/>
  </r>
  <r>
    <d v="2024-04-28T00:00:00"/>
    <s v="April"/>
    <d v="1899-12-30T09:17:51"/>
    <s v="&quot;CNR9140074&quot;"/>
    <s v="No Driver Found"/>
    <s v="&quot;CID4645028&quot;"/>
    <x v="2"/>
    <s v="Seelampur"/>
    <s v="ITO"/>
    <s v="null"/>
    <s v="null"/>
    <s v="null"/>
    <s v="null"/>
    <s v="null"/>
    <s v="null"/>
    <s v="null"/>
    <s v="null"/>
    <s v="null"/>
    <s v="null"/>
    <s v="null"/>
    <s v="null"/>
    <s v="null"/>
  </r>
  <r>
    <d v="2024-10-01T00:00:00"/>
    <s v="October"/>
    <d v="1899-12-30T20:14:25"/>
    <s v="&quot;CNR9400027&quot;"/>
    <s v="No Driver Found"/>
    <s v="&quot;CID4952223&quot;"/>
    <x v="6"/>
    <s v="Old Gurgaon"/>
    <s v="Shastri Park"/>
    <s v="null"/>
    <s v="null"/>
    <s v="null"/>
    <s v="null"/>
    <s v="null"/>
    <s v="null"/>
    <s v="null"/>
    <s v="null"/>
    <s v="null"/>
    <s v="null"/>
    <s v="null"/>
    <s v="null"/>
    <s v="null"/>
  </r>
  <r>
    <d v="2024-03-20T00:00:00"/>
    <s v="March"/>
    <d v="1899-12-30T19:00:52"/>
    <s v="&quot;CNR7059800&quot;"/>
    <s v="Completed"/>
    <s v="&quot;CID3098652&quot;"/>
    <x v="4"/>
    <s v="Rohini West"/>
    <s v="South Extension"/>
    <n v="2.9"/>
    <n v="19.399999999999999"/>
    <s v="null"/>
    <s v="null"/>
    <s v="null"/>
    <s v="null"/>
    <s v="null"/>
    <s v="null"/>
    <n v="408"/>
    <n v="38.979999999999997"/>
    <n v="3.3"/>
    <n v="4.8"/>
    <s v="UPI"/>
  </r>
  <r>
    <d v="2024-06-12T00:00:00"/>
    <s v="June"/>
    <d v="1899-12-30T22:29:09"/>
    <s v="&quot;CNR5997519&quot;"/>
    <s v="Completed"/>
    <s v="&quot;CID2238203&quot;"/>
    <x v="2"/>
    <s v="AIIMS"/>
    <s v="Ashok Park Main"/>
    <n v="8.1"/>
    <n v="33.4"/>
    <s v="null"/>
    <s v="null"/>
    <s v="null"/>
    <s v="null"/>
    <s v="null"/>
    <s v="null"/>
    <n v="447"/>
    <n v="35.67"/>
    <n v="3.8"/>
    <n v="4.2"/>
    <s v="Uber Wallet"/>
  </r>
  <r>
    <d v="2024-06-02T00:00:00"/>
    <s v="June"/>
    <d v="1899-12-30T23:51:48"/>
    <s v="&quot;CNR4544942&quot;"/>
    <s v="Incomplete"/>
    <s v="&quot;CID6972808&quot;"/>
    <x v="3"/>
    <s v="Akshardham"/>
    <s v="RK Puram"/>
    <n v="3.8"/>
    <n v="25.7"/>
    <s v="null"/>
    <s v="null"/>
    <s v="null"/>
    <s v="null"/>
    <n v="1"/>
    <s v="Other Issue"/>
    <n v="138"/>
    <n v="12.87"/>
    <s v="null"/>
    <s v="null"/>
    <s v="Uber Wallet"/>
  </r>
  <r>
    <d v="2024-01-20T00:00:00"/>
    <s v="January"/>
    <d v="1899-12-30T16:43:10"/>
    <s v="&quot;CNR4095574&quot;"/>
    <s v="Completed"/>
    <s v="&quot;CID3649587&quot;"/>
    <x v="5"/>
    <s v="Udyog Bhawan"/>
    <s v="Karol Bagh"/>
    <n v="6.7"/>
    <n v="27.6"/>
    <s v="null"/>
    <s v="null"/>
    <s v="null"/>
    <s v="null"/>
    <s v="null"/>
    <s v="null"/>
    <n v="3250"/>
    <n v="38.130000000000003"/>
    <n v="4.2"/>
    <n v="4.5"/>
    <s v="UPI"/>
  </r>
  <r>
    <d v="2024-08-28T00:00:00"/>
    <s v="August"/>
    <d v="1899-12-30T16:10:57"/>
    <s v="&quot;CNR3860184&quot;"/>
    <s v="Cancelled by Driver"/>
    <s v="&quot;CID6978062&quot;"/>
    <x v="2"/>
    <s v="Barakhamba Road"/>
    <s v="Saket"/>
    <n v="8.1"/>
    <s v="null"/>
    <s v="null"/>
    <s v="null"/>
    <n v="1"/>
    <s v="More than permitted people in there"/>
    <s v="null"/>
    <s v="null"/>
    <s v="null"/>
    <s v="null"/>
    <s v="null"/>
    <s v="null"/>
    <s v="null"/>
  </r>
  <r>
    <d v="2024-06-10T00:00:00"/>
    <s v="June"/>
    <d v="1899-12-30T17:40:31"/>
    <s v="&quot;CNR2887960&quot;"/>
    <s v="No Driver Found"/>
    <s v="&quot;CID8418878&quot;"/>
    <x v="6"/>
    <s v="Samaypur Badli"/>
    <s v="Nawada"/>
    <s v="null"/>
    <s v="null"/>
    <s v="null"/>
    <s v="null"/>
    <s v="null"/>
    <s v="null"/>
    <s v="null"/>
    <s v="null"/>
    <s v="null"/>
    <s v="null"/>
    <s v="null"/>
    <s v="null"/>
    <s v="null"/>
  </r>
  <r>
    <d v="2024-09-30T00:00:00"/>
    <s v="September"/>
    <d v="1899-12-30T09:28:33"/>
    <s v="&quot;CNR8519917&quot;"/>
    <s v="Cancelled by Driver"/>
    <s v="&quot;CID9224467&quot;"/>
    <x v="4"/>
    <s v="Saidulajab"/>
    <s v="Udyog Vihar Phase 4"/>
    <n v="5"/>
    <s v="null"/>
    <s v="null"/>
    <s v="null"/>
    <n v="1"/>
    <s v="Personal &amp; Car related issues"/>
    <s v="null"/>
    <s v="null"/>
    <s v="null"/>
    <s v="null"/>
    <s v="null"/>
    <s v="null"/>
    <s v="null"/>
  </r>
  <r>
    <d v="2024-05-23T00:00:00"/>
    <s v="May"/>
    <d v="1899-12-30T21:06:07"/>
    <s v="&quot;CNR6467880&quot;"/>
    <s v="Completed"/>
    <s v="&quot;CID3328793&quot;"/>
    <x v="0"/>
    <s v="Central Secretariat"/>
    <s v="Okhla"/>
    <n v="14.1"/>
    <n v="18.2"/>
    <s v="null"/>
    <s v="null"/>
    <s v="null"/>
    <s v="null"/>
    <s v="null"/>
    <s v="null"/>
    <n v="493"/>
    <n v="24.71"/>
    <n v="3.2"/>
    <n v="4.5"/>
    <s v="Uber Wallet"/>
  </r>
  <r>
    <d v="2024-02-04T00:00:00"/>
    <s v="February"/>
    <d v="1899-12-30T15:54:23"/>
    <s v="&quot;CNR4753839&quot;"/>
    <s v="Completed"/>
    <s v="&quot;CID8371169&quot;"/>
    <x v="6"/>
    <s v="Gurgaon Railway Station"/>
    <s v="Gurgaon Sector 56"/>
    <n v="9.8000000000000007"/>
    <n v="44.4"/>
    <s v="null"/>
    <s v="null"/>
    <s v="null"/>
    <s v="null"/>
    <s v="null"/>
    <s v="null"/>
    <n v="417"/>
    <n v="49.95"/>
    <n v="4.2"/>
    <n v="4.0999999999999996"/>
    <s v="Credit Card"/>
  </r>
  <r>
    <d v="2024-07-03T00:00:00"/>
    <s v="July"/>
    <d v="1899-12-30T08:26:07"/>
    <s v="&quot;CNR5381135&quot;"/>
    <s v="Completed"/>
    <s v="&quot;CID9932224&quot;"/>
    <x v="1"/>
    <s v="Sohna Road"/>
    <s v="Moti Nagar"/>
    <n v="13.3"/>
    <n v="43.9"/>
    <s v="null"/>
    <s v="null"/>
    <s v="null"/>
    <s v="null"/>
    <s v="null"/>
    <s v="null"/>
    <n v="105"/>
    <n v="38.72"/>
    <n v="4.2"/>
    <n v="4.9000000000000004"/>
    <s v="Credit Card"/>
  </r>
  <r>
    <d v="2024-01-16T00:00:00"/>
    <s v="January"/>
    <d v="1899-12-30T10:31:59"/>
    <s v="&quot;CNR4269063&quot;"/>
    <s v="Completed"/>
    <s v="&quot;CID1577409&quot;"/>
    <x v="3"/>
    <s v="Huda City Centre"/>
    <s v="Greater Kailash"/>
    <n v="5.7"/>
    <n v="28.4"/>
    <s v="null"/>
    <s v="null"/>
    <s v="null"/>
    <s v="null"/>
    <s v="null"/>
    <s v="null"/>
    <n v="941"/>
    <n v="45.71"/>
    <n v="3.4"/>
    <n v="4.2"/>
    <s v="Cash"/>
  </r>
  <r>
    <d v="2024-07-21T00:00:00"/>
    <s v="July"/>
    <d v="1899-12-30T08:15:44"/>
    <s v="&quot;CNR3211581&quot;"/>
    <s v="No Driver Found"/>
    <s v="&quot;CID6431116&quot;"/>
    <x v="1"/>
    <s v="Okhla"/>
    <s v="Shastri Nagar"/>
    <s v="null"/>
    <s v="null"/>
    <s v="null"/>
    <s v="null"/>
    <s v="null"/>
    <s v="null"/>
    <s v="null"/>
    <s v="null"/>
    <s v="null"/>
    <s v="null"/>
    <s v="null"/>
    <s v="null"/>
    <s v="null"/>
  </r>
  <r>
    <d v="2024-02-19T00:00:00"/>
    <s v="February"/>
    <d v="1899-12-30T19:04:32"/>
    <s v="&quot;CNR8618774&quot;"/>
    <s v="Completed"/>
    <s v="&quot;CID2350414&quot;"/>
    <x v="1"/>
    <s v="Rajouri Garden"/>
    <s v="Netaji Subhash Place"/>
    <n v="2.1"/>
    <n v="18.600000000000001"/>
    <s v="null"/>
    <s v="null"/>
    <s v="null"/>
    <s v="null"/>
    <s v="null"/>
    <s v="null"/>
    <n v="880"/>
    <n v="23.26"/>
    <n v="4.0999999999999996"/>
    <n v="4.2"/>
    <s v="UPI"/>
  </r>
  <r>
    <d v="2024-04-17T00:00:00"/>
    <s v="April"/>
    <d v="1899-12-30T00:02:54"/>
    <s v="&quot;CNR4311986&quot;"/>
    <s v="Completed"/>
    <s v="&quot;CID8058972&quot;"/>
    <x v="5"/>
    <s v="Malviya Nagar"/>
    <s v="Akshardham"/>
    <n v="8.6"/>
    <n v="39.1"/>
    <s v="null"/>
    <s v="null"/>
    <s v="null"/>
    <s v="null"/>
    <s v="null"/>
    <s v="null"/>
    <n v="678"/>
    <n v="46.99"/>
    <n v="4.3"/>
    <n v="3.8"/>
    <s v="Uber Wallet"/>
  </r>
  <r>
    <d v="2024-09-18T00:00:00"/>
    <s v="September"/>
    <d v="1899-12-30T09:38:21"/>
    <s v="&quot;CNR9722261&quot;"/>
    <s v="Cancelled by Customer"/>
    <s v="&quot;CID8492596&quot;"/>
    <x v="3"/>
    <s v="Saidulajab"/>
    <s v="Azadpur"/>
    <n v="19.2"/>
    <s v="null"/>
    <n v="1"/>
    <s v="Wrong Address"/>
    <s v="null"/>
    <s v="null"/>
    <s v="null"/>
    <s v="null"/>
    <s v="null"/>
    <s v="null"/>
    <s v="null"/>
    <s v="null"/>
    <s v="null"/>
  </r>
  <r>
    <d v="2024-01-10T00:00:00"/>
    <s v="January"/>
    <d v="1899-12-30T09:19:21"/>
    <s v="&quot;CNR3771473&quot;"/>
    <s v="No Driver Found"/>
    <s v="&quot;CID7501051&quot;"/>
    <x v="5"/>
    <s v="Indirapuram"/>
    <s v="Welcome"/>
    <s v="null"/>
    <s v="null"/>
    <s v="null"/>
    <s v="null"/>
    <s v="null"/>
    <s v="null"/>
    <s v="null"/>
    <s v="null"/>
    <s v="null"/>
    <s v="null"/>
    <s v="null"/>
    <s v="null"/>
    <s v="null"/>
  </r>
  <r>
    <d v="2024-06-20T00:00:00"/>
    <s v="June"/>
    <d v="1899-12-30T20:01:46"/>
    <s v="&quot;CNR6272144&quot;"/>
    <s v="Cancelled by Driver"/>
    <s v="&quot;CID1854440&quot;"/>
    <x v="3"/>
    <s v="India Gate"/>
    <s v="Rohini East"/>
    <n v="7.7"/>
    <s v="null"/>
    <s v="null"/>
    <s v="null"/>
    <n v="1"/>
    <s v="Customer related issue"/>
    <s v="null"/>
    <s v="null"/>
    <s v="null"/>
    <s v="null"/>
    <s v="null"/>
    <s v="null"/>
    <s v="null"/>
  </r>
  <r>
    <d v="2024-05-04T00:00:00"/>
    <s v="May"/>
    <d v="1899-12-30T07:05:06"/>
    <s v="&quot;CNR8161740&quot;"/>
    <s v="Completed"/>
    <s v="&quot;CID1090339&quot;"/>
    <x v="5"/>
    <s v="Udyog Vihar Phase 4"/>
    <s v="Ghaziabad"/>
    <n v="9.5"/>
    <n v="26.8"/>
    <s v="null"/>
    <s v="null"/>
    <s v="null"/>
    <s v="null"/>
    <s v="null"/>
    <s v="null"/>
    <n v="638"/>
    <n v="27.47"/>
    <n v="4.4000000000000004"/>
    <n v="3.6"/>
    <s v="UPI"/>
  </r>
  <r>
    <d v="2024-01-15T00:00:00"/>
    <s v="January"/>
    <d v="1899-12-30T15:00:28"/>
    <s v="&quot;CNR5783301&quot;"/>
    <s v="Completed"/>
    <s v="&quot;CID8192626&quot;"/>
    <x v="3"/>
    <s v="GTB Nagar"/>
    <s v="Barakhamba Road"/>
    <n v="7.4"/>
    <n v="30.3"/>
    <s v="null"/>
    <s v="null"/>
    <s v="null"/>
    <s v="null"/>
    <s v="null"/>
    <s v="null"/>
    <n v="1280"/>
    <n v="44.62"/>
    <n v="3"/>
    <n v="4.3"/>
    <s v="UPI"/>
  </r>
  <r>
    <d v="2024-09-01T00:00:00"/>
    <s v="September"/>
    <d v="1899-12-30T10:22:00"/>
    <s v="&quot;CNR7612406&quot;"/>
    <s v="Cancelled by Customer"/>
    <s v="&quot;CID2336007&quot;"/>
    <x v="5"/>
    <s v="Uttam Nagar"/>
    <s v="Sarai Kale Khan"/>
    <n v="10.8"/>
    <s v="null"/>
    <n v="1"/>
    <s v="AC is not working"/>
    <s v="null"/>
    <s v="null"/>
    <s v="null"/>
    <s v="null"/>
    <s v="null"/>
    <s v="null"/>
    <s v="null"/>
    <s v="null"/>
    <s v="null"/>
  </r>
  <r>
    <d v="2024-03-09T00:00:00"/>
    <s v="March"/>
    <d v="1899-12-30T21:17:13"/>
    <s v="&quot;CNR7616847&quot;"/>
    <s v="Cancelled by Driver"/>
    <s v="&quot;CID8572257&quot;"/>
    <x v="6"/>
    <s v="GTB Nagar"/>
    <s v="Ramesh Nagar"/>
    <n v="9.5"/>
    <s v="null"/>
    <s v="null"/>
    <s v="null"/>
    <n v="1"/>
    <s v="The customer was coughing/sick"/>
    <s v="null"/>
    <s v="null"/>
    <s v="null"/>
    <s v="null"/>
    <s v="null"/>
    <s v="null"/>
    <s v="null"/>
  </r>
  <r>
    <d v="2024-11-03T00:00:00"/>
    <s v="November"/>
    <d v="1899-12-30T04:25:51"/>
    <s v="&quot;CNR1082903&quot;"/>
    <s v="Completed"/>
    <s v="&quot;CID2236812&quot;"/>
    <x v="4"/>
    <s v="Madipur"/>
    <s v="Shahdara"/>
    <n v="11.7"/>
    <n v="28.8"/>
    <s v="null"/>
    <s v="null"/>
    <s v="null"/>
    <s v="null"/>
    <s v="null"/>
    <s v="null"/>
    <n v="234"/>
    <n v="23.17"/>
    <n v="4.9000000000000004"/>
    <n v="3.8"/>
    <s v="UPI"/>
  </r>
  <r>
    <d v="2024-03-11T00:00:00"/>
    <s v="March"/>
    <d v="1899-12-30T12:24:27"/>
    <s v="&quot;CNR1607365&quot;"/>
    <s v="Completed"/>
    <s v="&quot;CID9968475&quot;"/>
    <x v="4"/>
    <s v="Bahadurgarh"/>
    <s v="Munirka"/>
    <n v="11.8"/>
    <n v="34.700000000000003"/>
    <s v="null"/>
    <s v="null"/>
    <s v="null"/>
    <s v="null"/>
    <s v="null"/>
    <s v="null"/>
    <n v="820"/>
    <n v="48.11"/>
    <n v="4.8"/>
    <n v="4.5999999999999996"/>
    <s v="Uber Wallet"/>
  </r>
  <r>
    <d v="2024-07-30T00:00:00"/>
    <s v="July"/>
    <d v="1899-12-30T22:54:28"/>
    <s v="&quot;CNR1631524&quot;"/>
    <s v="No Driver Found"/>
    <s v="&quot;CID9477071&quot;"/>
    <x v="1"/>
    <s v="Sadar Bazar Gurgaon"/>
    <s v="Faridabad Sector 15"/>
    <s v="null"/>
    <s v="null"/>
    <s v="null"/>
    <s v="null"/>
    <s v="null"/>
    <s v="null"/>
    <s v="null"/>
    <s v="null"/>
    <s v="null"/>
    <s v="null"/>
    <s v="null"/>
    <s v="null"/>
    <s v="null"/>
  </r>
  <r>
    <d v="2024-12-06T00:00:00"/>
    <s v="December"/>
    <d v="1899-12-30T12:10:36"/>
    <s v="&quot;CNR8323070&quot;"/>
    <s v="No Driver Found"/>
    <s v="&quot;CID9335765&quot;"/>
    <x v="4"/>
    <s v="Ashok Vihar"/>
    <s v="Mundka"/>
    <s v="null"/>
    <s v="null"/>
    <s v="null"/>
    <s v="null"/>
    <s v="null"/>
    <s v="null"/>
    <s v="null"/>
    <s v="null"/>
    <s v="null"/>
    <s v="null"/>
    <s v="null"/>
    <s v="null"/>
    <s v="null"/>
  </r>
  <r>
    <d v="2024-03-18T00:00:00"/>
    <s v="March"/>
    <d v="1899-12-30T10:49:08"/>
    <s v="&quot;CNR7370121&quot;"/>
    <s v="Completed"/>
    <s v="&quot;CID3852572&quot;"/>
    <x v="1"/>
    <s v="Model Town"/>
    <s v="Anand Vihar ISBT"/>
    <n v="7.9"/>
    <n v="36.9"/>
    <s v="null"/>
    <s v="null"/>
    <s v="null"/>
    <s v="null"/>
    <s v="null"/>
    <s v="null"/>
    <n v="237"/>
    <n v="32.96"/>
    <n v="3.9"/>
    <n v="4.3"/>
    <s v="UPI"/>
  </r>
  <r>
    <d v="2024-06-22T00:00:00"/>
    <s v="June"/>
    <d v="1899-12-30T17:03:02"/>
    <s v="&quot;CNR4716973&quot;"/>
    <s v="Completed"/>
    <s v="&quot;CID6054851&quot;"/>
    <x v="2"/>
    <s v="Barakhamba Road"/>
    <s v="Adarsh Nagar"/>
    <n v="9.1"/>
    <n v="40.5"/>
    <s v="null"/>
    <s v="null"/>
    <s v="null"/>
    <s v="null"/>
    <s v="null"/>
    <s v="null"/>
    <n v="169"/>
    <n v="41.18"/>
    <n v="3.9"/>
    <n v="4.3"/>
    <s v="UPI"/>
  </r>
  <r>
    <d v="2024-07-15T00:00:00"/>
    <s v="July"/>
    <d v="1899-12-30T21:01:10"/>
    <s v="&quot;CNR7028309&quot;"/>
    <s v="Cancelled by Customer"/>
    <s v="&quot;CID6108155&quot;"/>
    <x v="2"/>
    <s v="Madipur"/>
    <s v="Jama Masjid"/>
    <n v="19.8"/>
    <s v="null"/>
    <n v="1"/>
    <s v="Wrong Address"/>
    <s v="null"/>
    <s v="null"/>
    <s v="null"/>
    <s v="null"/>
    <s v="null"/>
    <s v="null"/>
    <s v="null"/>
    <s v="null"/>
    <s v="null"/>
  </r>
  <r>
    <d v="2024-01-08T00:00:00"/>
    <s v="January"/>
    <d v="1899-12-30T15:11:53"/>
    <s v="&quot;CNR4709527&quot;"/>
    <s v="Completed"/>
    <s v="&quot;CID4820583&quot;"/>
    <x v="2"/>
    <s v="Kadarpur"/>
    <s v="Sadar Bazar Gurgaon"/>
    <n v="10.4"/>
    <n v="35.299999999999997"/>
    <s v="null"/>
    <s v="null"/>
    <s v="null"/>
    <s v="null"/>
    <s v="null"/>
    <s v="null"/>
    <n v="216"/>
    <n v="18.100000000000001"/>
    <n v="4.5999999999999996"/>
    <n v="4.5"/>
    <s v="UPI"/>
  </r>
  <r>
    <d v="2024-07-05T00:00:00"/>
    <s v="July"/>
    <d v="1899-12-30T03:00:26"/>
    <s v="&quot;CNR3376137&quot;"/>
    <s v="Completed"/>
    <s v="&quot;CID7061321&quot;"/>
    <x v="2"/>
    <s v="Lal Quila"/>
    <s v="Subhash Nagar"/>
    <n v="6.5"/>
    <n v="30.5"/>
    <s v="null"/>
    <s v="null"/>
    <s v="null"/>
    <s v="null"/>
    <s v="null"/>
    <s v="null"/>
    <n v="484"/>
    <n v="3.35"/>
    <n v="4.3"/>
    <n v="4.5999999999999996"/>
    <s v="Debit Card"/>
  </r>
  <r>
    <d v="2024-10-29T00:00:00"/>
    <s v="October"/>
    <d v="1899-12-30T10:53:37"/>
    <s v="&quot;CNR2273615&quot;"/>
    <s v="Cancelled by Customer"/>
    <s v="&quot;CID9308750&quot;"/>
    <x v="0"/>
    <s v="Ramesh Nagar"/>
    <s v="Rohini"/>
    <n v="7.5"/>
    <s v="null"/>
    <n v="1"/>
    <s v="Wrong Address"/>
    <s v="null"/>
    <s v="null"/>
    <s v="null"/>
    <s v="null"/>
    <s v="null"/>
    <s v="null"/>
    <s v="null"/>
    <s v="null"/>
    <s v="null"/>
  </r>
  <r>
    <d v="2024-01-05T00:00:00"/>
    <s v="January"/>
    <d v="1899-12-30T16:04:38"/>
    <s v="&quot;CNR7153309&quot;"/>
    <s v="No Driver Found"/>
    <s v="&quot;CID8948066&quot;"/>
    <x v="5"/>
    <s v="Mansarovar Park"/>
    <s v="Saket"/>
    <s v="null"/>
    <s v="null"/>
    <s v="null"/>
    <s v="null"/>
    <s v="null"/>
    <s v="null"/>
    <s v="null"/>
    <s v="null"/>
    <s v="null"/>
    <s v="null"/>
    <s v="null"/>
    <s v="null"/>
    <s v="null"/>
  </r>
  <r>
    <d v="2024-12-19T00:00:00"/>
    <s v="December"/>
    <d v="1899-12-30T16:10:17"/>
    <s v="&quot;CNR5854735&quot;"/>
    <s v="Completed"/>
    <s v="&quot;CID1129838&quot;"/>
    <x v="1"/>
    <s v="Kalkaji"/>
    <s v="Karkarduma"/>
    <n v="11.2"/>
    <n v="42.2"/>
    <s v="null"/>
    <s v="null"/>
    <s v="null"/>
    <s v="null"/>
    <s v="null"/>
    <s v="null"/>
    <n v="288"/>
    <n v="8.25"/>
    <n v="4.5999999999999996"/>
    <n v="4.5"/>
    <s v="Credit Card"/>
  </r>
  <r>
    <d v="2024-07-17T00:00:00"/>
    <s v="July"/>
    <d v="1899-12-30T10:11:28"/>
    <s v="&quot;CNR7962519&quot;"/>
    <s v="Completed"/>
    <s v="&quot;CID1163062&quot;"/>
    <x v="5"/>
    <s v="Govindpuri"/>
    <s v="Paschim Vihar"/>
    <n v="2"/>
    <n v="41.1"/>
    <s v="null"/>
    <s v="null"/>
    <s v="null"/>
    <s v="null"/>
    <s v="null"/>
    <s v="null"/>
    <n v="179"/>
    <n v="22.27"/>
    <n v="4.2"/>
    <n v="4.4000000000000004"/>
    <s v="Uber Wallet"/>
  </r>
  <r>
    <d v="2024-10-24T00:00:00"/>
    <s v="October"/>
    <d v="1899-12-30T22:39:07"/>
    <s v="&quot;CNR2009189&quot;"/>
    <s v="No Driver Found"/>
    <s v="&quot;CID6741813&quot;"/>
    <x v="4"/>
    <s v="Faridabad Sector 15"/>
    <s v="Ghitorni"/>
    <s v="null"/>
    <s v="null"/>
    <s v="null"/>
    <s v="null"/>
    <s v="null"/>
    <s v="null"/>
    <s v="null"/>
    <s v="null"/>
    <s v="null"/>
    <s v="null"/>
    <s v="null"/>
    <s v="null"/>
    <s v="null"/>
  </r>
  <r>
    <d v="2024-01-25T00:00:00"/>
    <s v="January"/>
    <d v="1899-12-30T13:34:20"/>
    <s v="&quot;CNR1662233&quot;"/>
    <s v="No Driver Found"/>
    <s v="&quot;CID1859373&quot;"/>
    <x v="4"/>
    <s v="Malviya Nagar"/>
    <s v="Subhash Nagar"/>
    <s v="null"/>
    <s v="null"/>
    <s v="null"/>
    <s v="null"/>
    <s v="null"/>
    <s v="null"/>
    <s v="null"/>
    <s v="null"/>
    <s v="null"/>
    <s v="null"/>
    <s v="null"/>
    <s v="null"/>
    <s v="null"/>
  </r>
  <r>
    <d v="2024-11-15T00:00:00"/>
    <s v="November"/>
    <d v="1899-12-30T14:07:28"/>
    <s v="&quot;CNR1536625&quot;"/>
    <s v="Completed"/>
    <s v="&quot;CID3984935&quot;"/>
    <x v="1"/>
    <s v="Gurgaon Sector 29"/>
    <s v="Sadar Bazar Gurgaon"/>
    <n v="3.6"/>
    <n v="30.6"/>
    <s v="null"/>
    <s v="null"/>
    <s v="null"/>
    <s v="null"/>
    <s v="null"/>
    <s v="null"/>
    <n v="1042"/>
    <n v="25.72"/>
    <n v="4.4000000000000004"/>
    <n v="4.0999999999999996"/>
    <s v="UPI"/>
  </r>
  <r>
    <d v="2024-11-27T00:00:00"/>
    <s v="November"/>
    <d v="1899-12-30T16:30:26"/>
    <s v="&quot;CNR5349202&quot;"/>
    <s v="Completed"/>
    <s v="&quot;CID2775454&quot;"/>
    <x v="2"/>
    <s v="Adarsh Nagar"/>
    <s v="Shastri Park"/>
    <n v="2.6"/>
    <n v="32.799999999999997"/>
    <s v="null"/>
    <s v="null"/>
    <s v="null"/>
    <s v="null"/>
    <s v="null"/>
    <s v="null"/>
    <n v="261"/>
    <n v="36.71"/>
    <n v="4.9000000000000004"/>
    <n v="4.2"/>
    <s v="UPI"/>
  </r>
  <r>
    <d v="2024-01-31T00:00:00"/>
    <s v="January"/>
    <d v="1899-12-30T20:36:10"/>
    <s v="&quot;CNR2941994&quot;"/>
    <s v="Completed"/>
    <s v="&quot;CID8157196&quot;"/>
    <x v="2"/>
    <s v="Bhiwadi"/>
    <s v="New Colony"/>
    <n v="10.1"/>
    <n v="34.200000000000003"/>
    <s v="null"/>
    <s v="null"/>
    <s v="null"/>
    <s v="null"/>
    <s v="null"/>
    <s v="null"/>
    <n v="405"/>
    <n v="34.69"/>
    <n v="4.7"/>
    <n v="4.2"/>
    <s v="UPI"/>
  </r>
  <r>
    <d v="2024-05-12T00:00:00"/>
    <s v="May"/>
    <d v="1899-12-30T06:29:10"/>
    <s v="&quot;CNR4381246&quot;"/>
    <s v="No Driver Found"/>
    <s v="&quot;CID3691369&quot;"/>
    <x v="0"/>
    <s v="Subhash Nagar"/>
    <s v="Shivaji Park"/>
    <s v="null"/>
    <s v="null"/>
    <s v="null"/>
    <s v="null"/>
    <s v="null"/>
    <s v="null"/>
    <s v="null"/>
    <s v="null"/>
    <s v="null"/>
    <s v="null"/>
    <s v="null"/>
    <s v="null"/>
    <s v="null"/>
  </r>
  <r>
    <d v="2024-01-20T00:00:00"/>
    <s v="January"/>
    <d v="1899-12-30T15:50:33"/>
    <s v="&quot;CNR5864007&quot;"/>
    <s v="Cancelled by Driver"/>
    <s v="&quot;CID7151802&quot;"/>
    <x v="5"/>
    <s v="Jama Masjid"/>
    <s v="Samaypur Badli"/>
    <n v="4.7"/>
    <s v="null"/>
    <s v="null"/>
    <s v="null"/>
    <n v="1"/>
    <s v="The customer was coughing/sick"/>
    <s v="null"/>
    <s v="null"/>
    <s v="null"/>
    <s v="null"/>
    <s v="null"/>
    <s v="null"/>
    <s v="null"/>
  </r>
  <r>
    <d v="2024-03-16T00:00:00"/>
    <s v="March"/>
    <d v="1899-12-30T19:47:01"/>
    <s v="&quot;CNR6654288&quot;"/>
    <s v="Completed"/>
    <s v="&quot;CID5962536&quot;"/>
    <x v="4"/>
    <s v="Kherki Daula Toll"/>
    <s v="Kirti Nagar"/>
    <n v="8.3000000000000007"/>
    <n v="21.3"/>
    <s v="null"/>
    <s v="null"/>
    <s v="null"/>
    <s v="null"/>
    <s v="null"/>
    <s v="null"/>
    <n v="89"/>
    <n v="49.17"/>
    <n v="4.3"/>
    <n v="4.3"/>
    <s v="UPI"/>
  </r>
  <r>
    <d v="2024-06-30T00:00:00"/>
    <s v="June"/>
    <d v="1899-12-30T18:40:30"/>
    <s v="&quot;CNR7500511&quot;"/>
    <s v="Completed"/>
    <s v="&quot;CID5561994&quot;"/>
    <x v="4"/>
    <s v="Central Secretariat"/>
    <s v="Lajpat Nagar"/>
    <n v="4.5"/>
    <n v="37"/>
    <s v="null"/>
    <s v="null"/>
    <s v="null"/>
    <s v="null"/>
    <s v="null"/>
    <s v="null"/>
    <n v="649"/>
    <n v="29.85"/>
    <n v="4.5"/>
    <n v="4.7"/>
    <s v="Cash"/>
  </r>
  <r>
    <d v="2024-04-14T00:00:00"/>
    <s v="April"/>
    <d v="1899-12-30T08:40:27"/>
    <s v="&quot;CNR4430699&quot;"/>
    <s v="Completed"/>
    <s v="&quot;CID2982706&quot;"/>
    <x v="4"/>
    <s v="Mansarovar Park"/>
    <s v="Ashok Vihar"/>
    <n v="14.8"/>
    <n v="43.7"/>
    <s v="null"/>
    <s v="null"/>
    <s v="null"/>
    <s v="null"/>
    <s v="null"/>
    <s v="null"/>
    <n v="754"/>
    <n v="38.880000000000003"/>
    <n v="3.9"/>
    <n v="4.5"/>
    <s v="Cash"/>
  </r>
  <r>
    <d v="2024-07-14T00:00:00"/>
    <s v="July"/>
    <d v="1899-12-30T10:42:53"/>
    <s v="&quot;CNR8322356&quot;"/>
    <s v="Cancelled by Driver"/>
    <s v="&quot;CID9098570&quot;"/>
    <x v="5"/>
    <s v="Meerut"/>
    <s v="Nehru Place"/>
    <n v="3.8"/>
    <s v="null"/>
    <s v="null"/>
    <s v="null"/>
    <n v="1"/>
    <s v="More than permitted people in there"/>
    <s v="null"/>
    <s v="null"/>
    <s v="null"/>
    <s v="null"/>
    <s v="null"/>
    <s v="null"/>
    <s v="null"/>
  </r>
  <r>
    <d v="2024-05-30T00:00:00"/>
    <s v="May"/>
    <d v="1899-12-30T04:23:43"/>
    <s v="&quot;CNR1535573&quot;"/>
    <s v="Completed"/>
    <s v="&quot;CID3002633&quot;"/>
    <x v="2"/>
    <s v="Golf Course Road"/>
    <s v="Kalkaji"/>
    <n v="9.9"/>
    <n v="20.399999999999999"/>
    <s v="null"/>
    <s v="null"/>
    <s v="null"/>
    <s v="null"/>
    <s v="null"/>
    <s v="null"/>
    <n v="264"/>
    <n v="29.2"/>
    <n v="5"/>
    <n v="4.5999999999999996"/>
    <s v="Credit Card"/>
  </r>
  <r>
    <d v="2024-01-18T00:00:00"/>
    <s v="January"/>
    <d v="1899-12-30T00:30:14"/>
    <s v="&quot;CNR3992160&quot;"/>
    <s v="Completed"/>
    <s v="&quot;CID9739632&quot;"/>
    <x v="5"/>
    <s v="Sikanderpur"/>
    <s v="Seelampur"/>
    <n v="9.8000000000000007"/>
    <n v="19.8"/>
    <s v="null"/>
    <s v="null"/>
    <s v="null"/>
    <s v="null"/>
    <s v="null"/>
    <s v="null"/>
    <n v="850"/>
    <n v="48.31"/>
    <n v="3.2"/>
    <n v="3.7"/>
    <s v="Cash"/>
  </r>
  <r>
    <d v="2024-02-03T00:00:00"/>
    <s v="February"/>
    <d v="1899-12-30T05:39:17"/>
    <s v="&quot;CNR1198096&quot;"/>
    <s v="Completed"/>
    <s v="&quot;CID8086845&quot;"/>
    <x v="6"/>
    <s v="Malviya Nagar"/>
    <s v="Ghitorni Village"/>
    <n v="2.5"/>
    <n v="36.200000000000003"/>
    <s v="null"/>
    <s v="null"/>
    <s v="null"/>
    <s v="null"/>
    <s v="null"/>
    <s v="null"/>
    <n v="1486"/>
    <n v="19.45"/>
    <n v="4.3"/>
    <n v="4.4000000000000004"/>
    <s v="UPI"/>
  </r>
  <r>
    <d v="2024-05-30T00:00:00"/>
    <s v="May"/>
    <d v="1899-12-30T11:14:30"/>
    <s v="&quot;CNR5816989&quot;"/>
    <s v="Completed"/>
    <s v="&quot;CID7873655&quot;"/>
    <x v="5"/>
    <s v="Ramesh Nagar"/>
    <s v="Kashmere Gate ISBT"/>
    <n v="11.2"/>
    <n v="31.6"/>
    <s v="null"/>
    <s v="null"/>
    <s v="null"/>
    <s v="null"/>
    <s v="null"/>
    <s v="null"/>
    <n v="417"/>
    <n v="6.83"/>
    <n v="4.5"/>
    <n v="4.5999999999999996"/>
    <s v="UPI"/>
  </r>
  <r>
    <d v="2024-10-16T00:00:00"/>
    <s v="October"/>
    <d v="1899-12-30T00:30:51"/>
    <s v="&quot;CNR8307585&quot;"/>
    <s v="Completed"/>
    <s v="&quot;CID9492482&quot;"/>
    <x v="3"/>
    <s v="Anand Vihar ISBT"/>
    <s v="Jama Masjid"/>
    <n v="5.6"/>
    <n v="22.5"/>
    <s v="null"/>
    <s v="null"/>
    <s v="null"/>
    <s v="null"/>
    <s v="null"/>
    <s v="null"/>
    <n v="854"/>
    <n v="2.15"/>
    <n v="4.3"/>
    <n v="4.9000000000000004"/>
    <s v="Uber Wallet"/>
  </r>
  <r>
    <d v="2024-02-11T00:00:00"/>
    <s v="February"/>
    <d v="1899-12-30T09:52:06"/>
    <s v="&quot;CNR8054889&quot;"/>
    <s v="Cancelled by Customer"/>
    <s v="&quot;CID2999732&quot;"/>
    <x v="3"/>
    <s v="Akshardham"/>
    <s v="Ghitorni"/>
    <n v="11.3"/>
    <s v="null"/>
    <n v="1"/>
    <s v="Driver is not moving towards pickup location"/>
    <s v="null"/>
    <s v="null"/>
    <s v="null"/>
    <s v="null"/>
    <s v="null"/>
    <s v="null"/>
    <s v="null"/>
    <s v="null"/>
    <s v="null"/>
  </r>
  <r>
    <d v="2024-06-10T00:00:00"/>
    <s v="June"/>
    <d v="1899-12-30T18:07:09"/>
    <s v="&quot;CNR2463226&quot;"/>
    <s v="Completed"/>
    <s v="&quot;CID9951493&quot;"/>
    <x v="4"/>
    <s v="Udyog Vihar Phase 4"/>
    <s v="Kalkaji"/>
    <n v="4.5"/>
    <n v="34.299999999999997"/>
    <s v="null"/>
    <s v="null"/>
    <s v="null"/>
    <s v="null"/>
    <s v="null"/>
    <s v="null"/>
    <n v="58"/>
    <n v="8.39"/>
    <n v="5"/>
    <n v="5"/>
    <s v="UPI"/>
  </r>
  <r>
    <d v="2024-02-23T00:00:00"/>
    <s v="February"/>
    <d v="1899-12-30T11:56:13"/>
    <s v="&quot;CNR7225643&quot;"/>
    <s v="Completed"/>
    <s v="&quot;CID4700437&quot;"/>
    <x v="5"/>
    <s v="Barakhamba Road"/>
    <s v="Shastri Nagar"/>
    <n v="10.7"/>
    <n v="33.1"/>
    <s v="null"/>
    <s v="null"/>
    <s v="null"/>
    <s v="null"/>
    <s v="null"/>
    <s v="null"/>
    <n v="215"/>
    <n v="29.17"/>
    <n v="3.1"/>
    <n v="4.5"/>
    <s v="Credit Card"/>
  </r>
  <r>
    <d v="2024-01-17T00:00:00"/>
    <s v="January"/>
    <d v="1899-12-30T19:10:36"/>
    <s v="&quot;CNR3268229&quot;"/>
    <s v="Completed"/>
    <s v="&quot;CID9284112&quot;"/>
    <x v="2"/>
    <s v="Jhilmil"/>
    <s v="Dwarka Mor"/>
    <n v="2.9"/>
    <n v="16.7"/>
    <s v="null"/>
    <s v="null"/>
    <s v="null"/>
    <s v="null"/>
    <s v="null"/>
    <s v="null"/>
    <n v="514"/>
    <n v="33.15"/>
    <n v="4.2"/>
    <n v="4.3"/>
    <s v="UPI"/>
  </r>
  <r>
    <d v="2024-05-13T00:00:00"/>
    <s v="May"/>
    <d v="1899-12-30T21:47:17"/>
    <s v="&quot;CNR7361622&quot;"/>
    <s v="Completed"/>
    <s v="&quot;CID7083121&quot;"/>
    <x v="4"/>
    <s v="Inderlok"/>
    <s v="GTB Nagar"/>
    <n v="5.2"/>
    <n v="28.5"/>
    <s v="null"/>
    <s v="null"/>
    <s v="null"/>
    <s v="null"/>
    <s v="null"/>
    <s v="null"/>
    <n v="287"/>
    <n v="15.34"/>
    <n v="4.9000000000000004"/>
    <n v="4.2"/>
    <s v="Uber Wallet"/>
  </r>
  <r>
    <d v="2024-06-11T00:00:00"/>
    <s v="June"/>
    <d v="1899-12-30T19:45:21"/>
    <s v="&quot;CNR9410866&quot;"/>
    <s v="Completed"/>
    <s v="&quot;CID7190039&quot;"/>
    <x v="5"/>
    <s v="Satguru Ram Singh Marg"/>
    <s v="Ambience Mall"/>
    <n v="7.2"/>
    <n v="23.3"/>
    <s v="null"/>
    <s v="null"/>
    <s v="null"/>
    <s v="null"/>
    <s v="null"/>
    <s v="null"/>
    <n v="309"/>
    <n v="26.19"/>
    <n v="4.7"/>
    <n v="3.8"/>
    <s v="Cash"/>
  </r>
  <r>
    <d v="2024-06-16T00:00:00"/>
    <s v="June"/>
    <d v="1899-12-30T17:58:12"/>
    <s v="&quot;CNR5147902&quot;"/>
    <s v="Completed"/>
    <s v="&quot;CID2885204&quot;"/>
    <x v="2"/>
    <s v="Dwarka Mor"/>
    <s v="Kirti Nagar"/>
    <n v="13.6"/>
    <n v="40.299999999999997"/>
    <s v="null"/>
    <s v="null"/>
    <s v="null"/>
    <s v="null"/>
    <s v="null"/>
    <s v="null"/>
    <n v="85"/>
    <n v="27.4"/>
    <n v="3.9"/>
    <n v="4.3"/>
    <s v="Cash"/>
  </r>
  <r>
    <d v="2024-07-26T00:00:00"/>
    <s v="July"/>
    <d v="1899-12-30T18:53:57"/>
    <s v="&quot;CNR9614886&quot;"/>
    <s v="Completed"/>
    <s v="&quot;CID1821022&quot;"/>
    <x v="2"/>
    <s v="DLF Phase 3"/>
    <s v="Sultanpur"/>
    <n v="9.6999999999999993"/>
    <n v="25"/>
    <s v="null"/>
    <s v="null"/>
    <s v="null"/>
    <s v="null"/>
    <s v="null"/>
    <s v="null"/>
    <n v="553"/>
    <n v="5.0199999999999996"/>
    <n v="3.4"/>
    <n v="5"/>
    <s v="Credit Card"/>
  </r>
  <r>
    <d v="2024-08-17T00:00:00"/>
    <s v="August"/>
    <d v="1899-12-30T16:21:33"/>
    <s v="&quot;CNR5221723&quot;"/>
    <s v="Incomplete"/>
    <s v="&quot;CID7464307&quot;"/>
    <x v="0"/>
    <s v="Khan Market"/>
    <s v="Dwarka Mor"/>
    <n v="6.6"/>
    <n v="10.3"/>
    <s v="null"/>
    <s v="null"/>
    <s v="null"/>
    <s v="null"/>
    <n v="1"/>
    <s v="Customer Demand"/>
    <n v="475"/>
    <n v="11.28"/>
    <s v="null"/>
    <s v="null"/>
    <s v="UPI"/>
  </r>
  <r>
    <d v="2024-07-09T00:00:00"/>
    <s v="July"/>
    <d v="1899-12-30T10:30:24"/>
    <s v="&quot;CNR3544066&quot;"/>
    <s v="Completed"/>
    <s v="&quot;CID8397158&quot;"/>
    <x v="1"/>
    <s v="India Gate"/>
    <s v="Panchsheel Park"/>
    <n v="14"/>
    <n v="22.6"/>
    <s v="null"/>
    <s v="null"/>
    <s v="null"/>
    <s v="null"/>
    <s v="null"/>
    <s v="null"/>
    <n v="107"/>
    <n v="29.19"/>
    <n v="4.0999999999999996"/>
    <n v="4.5999999999999996"/>
    <s v="UPI"/>
  </r>
  <r>
    <d v="2024-10-10T00:00:00"/>
    <s v="October"/>
    <d v="1899-12-30T18:16:05"/>
    <s v="&quot;CNR5570582&quot;"/>
    <s v="Cancelled by Customer"/>
    <s v="&quot;CID2427555&quot;"/>
    <x v="4"/>
    <s v="Kanhaiya Nagar"/>
    <s v="Jhilmil"/>
    <n v="16"/>
    <s v="null"/>
    <n v="1"/>
    <s v="Driver is not moving towards pickup location"/>
    <s v="null"/>
    <s v="null"/>
    <s v="null"/>
    <s v="null"/>
    <s v="null"/>
    <s v="null"/>
    <s v="null"/>
    <s v="null"/>
    <s v="null"/>
  </r>
  <r>
    <d v="2024-12-16T00:00:00"/>
    <s v="December"/>
    <d v="1899-12-30T07:31:12"/>
    <s v="&quot;CNR7024605&quot;"/>
    <s v="No Driver Found"/>
    <s v="&quot;CID4006049&quot;"/>
    <x v="1"/>
    <s v="Basai Dhankot"/>
    <s v="Bhiwadi"/>
    <s v="null"/>
    <s v="null"/>
    <s v="null"/>
    <s v="null"/>
    <s v="null"/>
    <s v="null"/>
    <s v="null"/>
    <s v="null"/>
    <s v="null"/>
    <s v="null"/>
    <s v="null"/>
    <s v="null"/>
    <s v="null"/>
  </r>
  <r>
    <d v="2024-07-13T00:00:00"/>
    <s v="July"/>
    <d v="1899-12-30T15:43:01"/>
    <s v="&quot;CNR6762189&quot;"/>
    <s v="Completed"/>
    <s v="&quot;CID7839425&quot;"/>
    <x v="5"/>
    <s v="India Gate"/>
    <s v="Hauz Khas"/>
    <n v="9.6"/>
    <n v="24.4"/>
    <s v="null"/>
    <s v="null"/>
    <s v="null"/>
    <s v="null"/>
    <s v="null"/>
    <s v="null"/>
    <n v="1088"/>
    <n v="7.24"/>
    <n v="4.8"/>
    <n v="4.3"/>
    <s v="Uber Wallet"/>
  </r>
  <r>
    <d v="2024-06-15T00:00:00"/>
    <s v="June"/>
    <d v="1899-12-30T20:58:00"/>
    <s v="&quot;CNR7426325&quot;"/>
    <s v="Completed"/>
    <s v="&quot;CID2558426&quot;"/>
    <x v="3"/>
    <s v="Gurgaon Sector 56"/>
    <s v="Vishwavidyalaya"/>
    <n v="13.5"/>
    <n v="31.2"/>
    <s v="null"/>
    <s v="null"/>
    <s v="null"/>
    <s v="null"/>
    <s v="null"/>
    <s v="null"/>
    <n v="125"/>
    <n v="22.82"/>
    <n v="4.3"/>
    <n v="4"/>
    <s v="Credit Card"/>
  </r>
  <r>
    <d v="2024-01-31T00:00:00"/>
    <s v="January"/>
    <d v="1899-12-30T14:01:27"/>
    <s v="&quot;CNR3731180&quot;"/>
    <s v="Cancelled by Driver"/>
    <s v="&quot;CID3771080&quot;"/>
    <x v="0"/>
    <s v="South Extension"/>
    <s v="IMT Manesar"/>
    <n v="7.1"/>
    <s v="null"/>
    <s v="null"/>
    <s v="null"/>
    <n v="1"/>
    <s v="More than permitted people in there"/>
    <s v="null"/>
    <s v="null"/>
    <s v="null"/>
    <s v="null"/>
    <s v="null"/>
    <s v="null"/>
    <s v="null"/>
  </r>
  <r>
    <d v="2024-03-25T00:00:00"/>
    <s v="March"/>
    <d v="1899-12-30T18:49:36"/>
    <s v="&quot;CNR6182286&quot;"/>
    <s v="Completed"/>
    <s v="&quot;CID6352567&quot;"/>
    <x v="3"/>
    <s v="Lajpat Nagar"/>
    <s v="Ashram"/>
    <n v="10.9"/>
    <n v="33.4"/>
    <s v="null"/>
    <s v="null"/>
    <s v="null"/>
    <s v="null"/>
    <s v="null"/>
    <s v="null"/>
    <n v="401"/>
    <n v="29.63"/>
    <n v="4.3"/>
    <n v="4.8"/>
    <s v="Debit Card"/>
  </r>
  <r>
    <d v="2024-03-25T00:00:00"/>
    <s v="March"/>
    <d v="1899-12-30T10:36:09"/>
    <s v="&quot;CNR9359877&quot;"/>
    <s v="Completed"/>
    <s v="&quot;CID5125295&quot;"/>
    <x v="4"/>
    <s v="South Extension"/>
    <s v="Udyog Vihar"/>
    <n v="11.9"/>
    <n v="24.7"/>
    <s v="null"/>
    <s v="null"/>
    <s v="null"/>
    <s v="null"/>
    <s v="null"/>
    <s v="null"/>
    <n v="333"/>
    <n v="42.74"/>
    <n v="4.3"/>
    <n v="4.8"/>
    <s v="UPI"/>
  </r>
  <r>
    <d v="2024-12-21T00:00:00"/>
    <s v="December"/>
    <d v="1899-12-30T11:44:59"/>
    <s v="&quot;CNR6855361&quot;"/>
    <s v="Completed"/>
    <s v="&quot;CID2487666&quot;"/>
    <x v="5"/>
    <s v="Connaught Place"/>
    <s v="Akshardham"/>
    <n v="9.6999999999999993"/>
    <n v="23.2"/>
    <s v="null"/>
    <s v="null"/>
    <s v="null"/>
    <s v="null"/>
    <s v="null"/>
    <s v="null"/>
    <n v="491"/>
    <n v="40.47"/>
    <n v="4.5999999999999996"/>
    <n v="4.5"/>
    <s v="Uber Wallet"/>
  </r>
  <r>
    <d v="2024-01-30T00:00:00"/>
    <s v="January"/>
    <d v="1899-12-30T20:40:19"/>
    <s v="&quot;CNR4636041&quot;"/>
    <s v="Incomplete"/>
    <s v="&quot;CID1673362&quot;"/>
    <x v="3"/>
    <s v="Nirman Vihar"/>
    <s v="Ghitorni"/>
    <n v="6"/>
    <n v="16"/>
    <s v="null"/>
    <s v="null"/>
    <s v="null"/>
    <s v="null"/>
    <n v="1"/>
    <s v="Customer Demand"/>
    <n v="408"/>
    <n v="11.22"/>
    <s v="null"/>
    <s v="null"/>
    <s v="Credit Card"/>
  </r>
  <r>
    <d v="2024-08-01T00:00:00"/>
    <s v="August"/>
    <d v="1899-12-30T16:53:40"/>
    <s v="&quot;CNR4790339&quot;"/>
    <s v="Cancelled by Driver"/>
    <s v="&quot;CID6630984&quot;"/>
    <x v="0"/>
    <s v="South Extension"/>
    <s v="Kanhaiya Nagar"/>
    <n v="12"/>
    <s v="null"/>
    <s v="null"/>
    <s v="null"/>
    <n v="1"/>
    <s v="The customer was coughing/sick"/>
    <s v="null"/>
    <s v="null"/>
    <s v="null"/>
    <s v="null"/>
    <s v="null"/>
    <s v="null"/>
    <s v="null"/>
  </r>
  <r>
    <d v="2024-07-16T00:00:00"/>
    <s v="July"/>
    <d v="1899-12-30T15:12:49"/>
    <s v="&quot;CNR1362779&quot;"/>
    <s v="Completed"/>
    <s v="&quot;CID3411520&quot;"/>
    <x v="5"/>
    <s v="Chanakyapuri"/>
    <s v="Khan Market"/>
    <n v="5.9"/>
    <n v="32.799999999999997"/>
    <s v="null"/>
    <s v="null"/>
    <s v="null"/>
    <s v="null"/>
    <s v="null"/>
    <s v="null"/>
    <n v="482"/>
    <n v="33.450000000000003"/>
    <n v="3.8"/>
    <n v="4.5999999999999996"/>
    <s v="UPI"/>
  </r>
  <r>
    <d v="2024-05-25T00:00:00"/>
    <s v="May"/>
    <d v="1899-12-30T19:04:57"/>
    <s v="&quot;CNR5510909&quot;"/>
    <s v="Completed"/>
    <s v="&quot;CID2429512&quot;"/>
    <x v="3"/>
    <s v="Chandni Chowk"/>
    <s v="RK Puram"/>
    <n v="13"/>
    <n v="27.4"/>
    <s v="null"/>
    <s v="null"/>
    <s v="null"/>
    <s v="null"/>
    <s v="null"/>
    <s v="null"/>
    <n v="777"/>
    <n v="36.700000000000003"/>
    <n v="3.8"/>
    <n v="3.5"/>
    <s v="UPI"/>
  </r>
  <r>
    <d v="2024-09-03T00:00:00"/>
    <s v="September"/>
    <d v="1899-12-30T02:38:25"/>
    <s v="&quot;CNR5740266&quot;"/>
    <s v="Completed"/>
    <s v="&quot;CID2202498&quot;"/>
    <x v="4"/>
    <s v="Azadpur"/>
    <s v="Vaishali"/>
    <n v="7.6"/>
    <n v="43.3"/>
    <s v="null"/>
    <s v="null"/>
    <s v="null"/>
    <s v="null"/>
    <s v="null"/>
    <s v="null"/>
    <n v="649"/>
    <n v="15.88"/>
    <n v="3"/>
    <n v="4.2"/>
    <s v="UPI"/>
  </r>
  <r>
    <d v="2024-01-01T00:00:00"/>
    <s v="January"/>
    <d v="1899-12-30T18:39:09"/>
    <s v="&quot;CNR6304210&quot;"/>
    <s v="Completed"/>
    <s v="&quot;CID7004065&quot;"/>
    <x v="6"/>
    <s v="IGI Airport"/>
    <s v="Udyog Bhawan"/>
    <n v="7.5"/>
    <n v="33.200000000000003"/>
    <s v="null"/>
    <s v="null"/>
    <s v="null"/>
    <s v="null"/>
    <s v="null"/>
    <s v="null"/>
    <n v="616"/>
    <n v="26.14"/>
    <n v="4.8"/>
    <n v="4.5999999999999996"/>
    <s v="UPI"/>
  </r>
  <r>
    <d v="2024-10-10T00:00:00"/>
    <s v="October"/>
    <d v="1899-12-30T10:20:22"/>
    <s v="&quot;CNR4764357&quot;"/>
    <s v="Completed"/>
    <s v="&quot;CID5332461&quot;"/>
    <x v="3"/>
    <s v="Saket"/>
    <s v="Yamuna Bank"/>
    <n v="14.4"/>
    <n v="25.4"/>
    <s v="null"/>
    <s v="null"/>
    <s v="null"/>
    <s v="null"/>
    <s v="null"/>
    <s v="null"/>
    <n v="304"/>
    <n v="17.22"/>
    <n v="4.5999999999999996"/>
    <n v="4.2"/>
    <s v="Debit Card"/>
  </r>
  <r>
    <d v="2024-06-06T00:00:00"/>
    <s v="June"/>
    <d v="1899-12-30T16:32:05"/>
    <s v="&quot;CNR4785403&quot;"/>
    <s v="Completed"/>
    <s v="&quot;CID5902697&quot;"/>
    <x v="0"/>
    <s v="Model Town"/>
    <s v="Udyog Vihar Phase 4"/>
    <n v="8.4"/>
    <n v="27.6"/>
    <s v="null"/>
    <s v="null"/>
    <s v="null"/>
    <s v="null"/>
    <s v="null"/>
    <s v="null"/>
    <n v="119"/>
    <n v="13.99"/>
    <n v="4.3"/>
    <n v="4.2"/>
    <s v="UPI"/>
  </r>
  <r>
    <d v="2024-06-06T00:00:00"/>
    <s v="June"/>
    <d v="1899-12-30T15:16:39"/>
    <s v="&quot;CNR4542629&quot;"/>
    <s v="Cancelled by Customer"/>
    <s v="&quot;CID3041962&quot;"/>
    <x v="3"/>
    <s v="Seelampur"/>
    <s v="Delhi Gate"/>
    <n v="12.6"/>
    <s v="null"/>
    <n v="1"/>
    <s v="Driver is not moving towards pickup location"/>
    <s v="null"/>
    <s v="null"/>
    <s v="null"/>
    <s v="null"/>
    <s v="null"/>
    <s v="null"/>
    <s v="null"/>
    <s v="null"/>
    <s v="null"/>
  </r>
  <r>
    <d v="2024-02-23T00:00:00"/>
    <s v="February"/>
    <d v="1899-12-30T20:09:45"/>
    <s v="&quot;CNR8278867&quot;"/>
    <s v="Completed"/>
    <s v="&quot;CID3812415&quot;"/>
    <x v="2"/>
    <s v="Noida Sector 62"/>
    <s v="Vasant Kunj"/>
    <n v="10.1"/>
    <n v="26.6"/>
    <s v="null"/>
    <s v="null"/>
    <s v="null"/>
    <s v="null"/>
    <s v="null"/>
    <s v="null"/>
    <n v="124"/>
    <n v="41.64"/>
    <n v="3.8"/>
    <n v="4.5999999999999996"/>
    <s v="Debit Card"/>
  </r>
  <r>
    <d v="2024-12-06T00:00:00"/>
    <s v="December"/>
    <d v="1899-12-30T16:53:20"/>
    <s v="&quot;CNR2802162&quot;"/>
    <s v="Completed"/>
    <s v="&quot;CID7137628&quot;"/>
    <x v="5"/>
    <s v="GTB Nagar"/>
    <s v="Kherki Daula Toll"/>
    <n v="13.4"/>
    <n v="31.1"/>
    <s v="null"/>
    <s v="null"/>
    <s v="null"/>
    <s v="null"/>
    <s v="null"/>
    <s v="null"/>
    <n v="319"/>
    <n v="39.03"/>
    <n v="3.7"/>
    <n v="4.4000000000000004"/>
    <s v="UPI"/>
  </r>
  <r>
    <d v="2024-03-08T00:00:00"/>
    <s v="March"/>
    <d v="1899-12-30T20:00:55"/>
    <s v="&quot;CNR7437280&quot;"/>
    <s v="Cancelled by Driver"/>
    <s v="&quot;CID4051507&quot;"/>
    <x v="2"/>
    <s v="Bhikaji Cama Place"/>
    <s v="Faridabad Sector 15"/>
    <n v="10.8"/>
    <s v="null"/>
    <s v="null"/>
    <s v="null"/>
    <n v="1"/>
    <s v="More than permitted people in there"/>
    <s v="null"/>
    <s v="null"/>
    <s v="null"/>
    <s v="null"/>
    <s v="null"/>
    <s v="null"/>
    <s v="null"/>
  </r>
  <r>
    <d v="2024-04-24T00:00:00"/>
    <s v="April"/>
    <d v="1899-12-30T11:32:24"/>
    <s v="&quot;CNR3385883&quot;"/>
    <s v="Completed"/>
    <s v="&quot;CID2166972&quot;"/>
    <x v="5"/>
    <s v="ITO"/>
    <s v="Gurgaon Sector 56"/>
    <n v="5.3"/>
    <n v="35.4"/>
    <s v="null"/>
    <s v="null"/>
    <s v="null"/>
    <s v="null"/>
    <s v="null"/>
    <s v="null"/>
    <n v="86"/>
    <n v="45.52"/>
    <n v="4.3"/>
    <n v="4.5999999999999996"/>
    <s v="Debit Card"/>
  </r>
  <r>
    <d v="2024-12-09T00:00:00"/>
    <s v="December"/>
    <d v="1899-12-30T18:48:43"/>
    <s v="&quot;CNR5445374&quot;"/>
    <s v="Completed"/>
    <s v="&quot;CID1730965&quot;"/>
    <x v="4"/>
    <s v="Cyber Hub"/>
    <s v="Kashmere Gate"/>
    <n v="14"/>
    <n v="23.7"/>
    <s v="null"/>
    <s v="null"/>
    <s v="null"/>
    <s v="null"/>
    <s v="null"/>
    <s v="null"/>
    <n v="198"/>
    <n v="42.44"/>
    <n v="4.5999999999999996"/>
    <n v="4.4000000000000004"/>
    <s v="UPI"/>
  </r>
  <r>
    <d v="2024-06-16T00:00:00"/>
    <s v="June"/>
    <d v="1899-12-30T17:51:26"/>
    <s v="&quot;CNR1648129&quot;"/>
    <s v="Cancelled by Driver"/>
    <s v="&quot;CID2058750&quot;"/>
    <x v="1"/>
    <s v="Civil Lines Gurgaon"/>
    <s v="Azadpur"/>
    <n v="8.1999999999999993"/>
    <s v="null"/>
    <s v="null"/>
    <s v="null"/>
    <n v="1"/>
    <s v="Customer related issue"/>
    <s v="null"/>
    <s v="null"/>
    <s v="null"/>
    <s v="null"/>
    <s v="null"/>
    <s v="null"/>
    <s v="null"/>
  </r>
  <r>
    <d v="2024-10-25T00:00:00"/>
    <s v="October"/>
    <d v="1899-12-30T20:39:29"/>
    <s v="&quot;CNR9965366&quot;"/>
    <s v="Completed"/>
    <s v="&quot;CID2106484&quot;"/>
    <x v="0"/>
    <s v="Malviya Nagar"/>
    <s v="Narsinghpur"/>
    <n v="5.2"/>
    <n v="22.2"/>
    <s v="null"/>
    <s v="null"/>
    <s v="null"/>
    <s v="null"/>
    <s v="null"/>
    <s v="null"/>
    <n v="377"/>
    <n v="40.01"/>
    <n v="3.6"/>
    <n v="3.6"/>
    <s v="UPI"/>
  </r>
  <r>
    <d v="2024-09-11T00:00:00"/>
    <s v="September"/>
    <d v="1899-12-30T18:39:16"/>
    <s v="&quot;CNR1990837&quot;"/>
    <s v="Completed"/>
    <s v="&quot;CID2788415&quot;"/>
    <x v="2"/>
    <s v="Munirka"/>
    <s v="Tughlakabad"/>
    <n v="7.1"/>
    <n v="30.4"/>
    <s v="null"/>
    <s v="null"/>
    <s v="null"/>
    <s v="null"/>
    <s v="null"/>
    <s v="null"/>
    <n v="229"/>
    <n v="40.270000000000003"/>
    <n v="4.4000000000000004"/>
    <n v="4.7"/>
    <s v="Cash"/>
  </r>
  <r>
    <d v="2024-09-09T00:00:00"/>
    <s v="September"/>
    <d v="1899-12-30T10:24:51"/>
    <s v="&quot;CNR5034715&quot;"/>
    <s v="Incomplete"/>
    <s v="&quot;CID3624779&quot;"/>
    <x v="5"/>
    <s v="Vasant Kunj"/>
    <s v="Jama Masjid"/>
    <n v="7.1"/>
    <n v="18.3"/>
    <s v="null"/>
    <s v="null"/>
    <s v="null"/>
    <s v="null"/>
    <n v="1"/>
    <s v="Other Issue"/>
    <n v="865"/>
    <n v="11.78"/>
    <s v="null"/>
    <s v="null"/>
    <s v="UPI"/>
  </r>
  <r>
    <d v="2024-04-03T00:00:00"/>
    <s v="April"/>
    <d v="1899-12-30T17:27:29"/>
    <s v="&quot;CNR2892299&quot;"/>
    <s v="Completed"/>
    <s v="&quot;CID4979310&quot;"/>
    <x v="5"/>
    <s v="Dwarka Sector 21"/>
    <s v="Khandsa"/>
    <n v="10"/>
    <n v="25.9"/>
    <s v="null"/>
    <s v="null"/>
    <s v="null"/>
    <s v="null"/>
    <s v="null"/>
    <s v="null"/>
    <n v="300"/>
    <n v="18.059999999999999"/>
    <n v="4.0999999999999996"/>
    <n v="4.2"/>
    <s v="Credit Card"/>
  </r>
  <r>
    <d v="2024-03-26T00:00:00"/>
    <s v="March"/>
    <d v="1899-12-30T13:34:54"/>
    <s v="&quot;CNR3248907&quot;"/>
    <s v="Completed"/>
    <s v="&quot;CID3684089&quot;"/>
    <x v="2"/>
    <s v="Connaught Place"/>
    <s v="Mandi House"/>
    <n v="3.2"/>
    <n v="30.6"/>
    <s v="null"/>
    <s v="null"/>
    <s v="null"/>
    <s v="null"/>
    <s v="null"/>
    <s v="null"/>
    <n v="285"/>
    <n v="48.15"/>
    <n v="4.2"/>
    <n v="4.9000000000000004"/>
    <s v="Credit Card"/>
  </r>
  <r>
    <d v="2024-09-28T00:00:00"/>
    <s v="September"/>
    <d v="1899-12-30T10:38:18"/>
    <s v="&quot;CNR8369327&quot;"/>
    <s v="Completed"/>
    <s v="&quot;CID8127113&quot;"/>
    <x v="5"/>
    <s v="Shivaji Park"/>
    <s v="Ghitorni"/>
    <n v="3.3"/>
    <n v="31.8"/>
    <s v="null"/>
    <s v="null"/>
    <s v="null"/>
    <s v="null"/>
    <s v="null"/>
    <s v="null"/>
    <n v="411"/>
    <n v="44.04"/>
    <n v="4.3"/>
    <n v="4.8"/>
    <s v="Cash"/>
  </r>
  <r>
    <d v="2024-10-18T00:00:00"/>
    <s v="October"/>
    <d v="1899-12-30T11:56:25"/>
    <s v="&quot;CNR4031538&quot;"/>
    <s v="Cancelled by Customer"/>
    <s v="&quot;CID6739418&quot;"/>
    <x v="2"/>
    <s v="Vaishali"/>
    <s v="Gurgaon Sector 56"/>
    <n v="11.1"/>
    <s v="null"/>
    <n v="1"/>
    <s v="Wrong Address"/>
    <s v="null"/>
    <s v="null"/>
    <s v="null"/>
    <s v="null"/>
    <s v="null"/>
    <s v="null"/>
    <s v="null"/>
    <s v="null"/>
    <s v="null"/>
  </r>
  <r>
    <d v="2024-05-20T00:00:00"/>
    <s v="May"/>
    <d v="1899-12-30T12:37:53"/>
    <s v="&quot;CNR1931320&quot;"/>
    <s v="Completed"/>
    <s v="&quot;CID5516242&quot;"/>
    <x v="0"/>
    <s v="Indraprastha"/>
    <s v="Jasola"/>
    <n v="12"/>
    <n v="23.6"/>
    <s v="null"/>
    <s v="null"/>
    <s v="null"/>
    <s v="null"/>
    <s v="null"/>
    <s v="null"/>
    <n v="406"/>
    <n v="17.11"/>
    <n v="4.4000000000000004"/>
    <n v="4.4000000000000004"/>
    <s v="Cash"/>
  </r>
  <r>
    <d v="2024-01-09T00:00:00"/>
    <s v="January"/>
    <d v="1899-12-30T18:28:06"/>
    <s v="&quot;CNR4641142&quot;"/>
    <s v="No Driver Found"/>
    <s v="&quot;CID3158671&quot;"/>
    <x v="3"/>
    <s v="Ghaziabad"/>
    <s v="Saidulajab"/>
    <s v="null"/>
    <s v="null"/>
    <s v="null"/>
    <s v="null"/>
    <s v="null"/>
    <s v="null"/>
    <s v="null"/>
    <s v="null"/>
    <s v="null"/>
    <s v="null"/>
    <s v="null"/>
    <s v="null"/>
    <s v="null"/>
  </r>
  <r>
    <d v="2024-05-16T00:00:00"/>
    <s v="May"/>
    <d v="1899-12-30T09:04:04"/>
    <s v="&quot;CNR9372443&quot;"/>
    <s v="Completed"/>
    <s v="&quot;CID7501871&quot;"/>
    <x v="5"/>
    <s v="Gurgaon Sector 56"/>
    <s v="Noida Extension"/>
    <n v="4.4000000000000004"/>
    <n v="32.9"/>
    <s v="null"/>
    <s v="null"/>
    <s v="null"/>
    <s v="null"/>
    <s v="null"/>
    <s v="null"/>
    <n v="400"/>
    <n v="25.85"/>
    <n v="3.4"/>
    <n v="4.3"/>
    <s v="Credit Card"/>
  </r>
  <r>
    <d v="2024-02-04T00:00:00"/>
    <s v="February"/>
    <d v="1899-12-30T07:23:59"/>
    <s v="&quot;CNR9256359&quot;"/>
    <s v="Incomplete"/>
    <s v="&quot;CID8953854&quot;"/>
    <x v="5"/>
    <s v="Shivaji Park"/>
    <s v="Ghaziabad"/>
    <n v="4.7"/>
    <n v="10.7"/>
    <s v="null"/>
    <s v="null"/>
    <s v="null"/>
    <s v="null"/>
    <n v="1"/>
    <s v="Other Issue"/>
    <n v="315"/>
    <n v="13.73"/>
    <s v="null"/>
    <s v="null"/>
    <s v="UPI"/>
  </r>
  <r>
    <d v="2024-08-09T00:00:00"/>
    <s v="August"/>
    <d v="1899-12-30T14:24:32"/>
    <s v="&quot;CNR6429493&quot;"/>
    <s v="Cancelled by Driver"/>
    <s v="&quot;CID9957540&quot;"/>
    <x v="6"/>
    <s v="Kalkaji"/>
    <s v="Gurgaon Sector 56"/>
    <n v="6.3"/>
    <s v="null"/>
    <s v="null"/>
    <s v="null"/>
    <n v="1"/>
    <s v="The customer was coughing/sick"/>
    <s v="null"/>
    <s v="null"/>
    <s v="null"/>
    <s v="null"/>
    <s v="null"/>
    <s v="null"/>
    <s v="null"/>
  </r>
  <r>
    <d v="2024-02-13T00:00:00"/>
    <s v="February"/>
    <d v="1899-12-30T06:34:37"/>
    <s v="&quot;CNR4194098&quot;"/>
    <s v="Completed"/>
    <s v="&quot;CID2914610&quot;"/>
    <x v="1"/>
    <s v="Ghitorni"/>
    <s v="India Gate"/>
    <n v="8.6"/>
    <n v="42.5"/>
    <s v="null"/>
    <s v="null"/>
    <s v="null"/>
    <s v="null"/>
    <s v="null"/>
    <s v="null"/>
    <n v="187"/>
    <n v="45.78"/>
    <n v="4.5999999999999996"/>
    <n v="4.5"/>
    <s v="UPI"/>
  </r>
  <r>
    <d v="2024-12-19T00:00:00"/>
    <s v="December"/>
    <d v="1899-12-30T22:52:28"/>
    <s v="&quot;CNR1282969&quot;"/>
    <s v="Completed"/>
    <s v="&quot;CID7750154&quot;"/>
    <x v="2"/>
    <s v="Mundka"/>
    <s v="Sarojini Nagar"/>
    <n v="15"/>
    <n v="25.2"/>
    <s v="null"/>
    <s v="null"/>
    <s v="null"/>
    <s v="null"/>
    <s v="null"/>
    <s v="null"/>
    <n v="166"/>
    <n v="7.81"/>
    <n v="3.8"/>
    <n v="4.2"/>
    <s v="UPI"/>
  </r>
  <r>
    <d v="2024-08-28T00:00:00"/>
    <s v="August"/>
    <d v="1899-12-30T18:00:39"/>
    <s v="&quot;CNR2448512&quot;"/>
    <s v="Completed"/>
    <s v="&quot;CID3737693&quot;"/>
    <x v="3"/>
    <s v="Bhikaji Cama Place"/>
    <s v="Qutub Minar"/>
    <n v="12.4"/>
    <n v="28.2"/>
    <s v="null"/>
    <s v="null"/>
    <s v="null"/>
    <s v="null"/>
    <s v="null"/>
    <s v="null"/>
    <n v="221"/>
    <n v="27.16"/>
    <n v="3.8"/>
    <n v="3.8"/>
    <s v="UPI"/>
  </r>
  <r>
    <d v="2024-04-17T00:00:00"/>
    <s v="April"/>
    <d v="1899-12-30T11:43:48"/>
    <s v="&quot;CNR8842621&quot;"/>
    <s v="Completed"/>
    <s v="&quot;CID8490992&quot;"/>
    <x v="5"/>
    <s v="Anand Vihar"/>
    <s v="Vidhan Sabha"/>
    <n v="14.9"/>
    <n v="18.100000000000001"/>
    <s v="null"/>
    <s v="null"/>
    <s v="null"/>
    <s v="null"/>
    <s v="null"/>
    <s v="null"/>
    <n v="832"/>
    <n v="3.41"/>
    <n v="4.2"/>
    <n v="4.5999999999999996"/>
    <s v="UPI"/>
  </r>
  <r>
    <d v="2024-11-02T00:00:00"/>
    <s v="November"/>
    <d v="1899-12-30T09:58:05"/>
    <s v="&quot;CNR4083802&quot;"/>
    <s v="Completed"/>
    <s v="&quot;CID8084093&quot;"/>
    <x v="1"/>
    <s v="Noida Sector 62"/>
    <s v="Ashok Vihar"/>
    <n v="11.5"/>
    <n v="27.5"/>
    <s v="null"/>
    <s v="null"/>
    <s v="null"/>
    <s v="null"/>
    <s v="null"/>
    <s v="null"/>
    <n v="855"/>
    <n v="24.18"/>
    <n v="4.3"/>
    <n v="4.8"/>
    <s v="UPI"/>
  </r>
  <r>
    <d v="2024-03-20T00:00:00"/>
    <s v="March"/>
    <d v="1899-12-30T10:44:13"/>
    <s v="&quot;CNR8860563&quot;"/>
    <s v="Completed"/>
    <s v="&quot;CID4960065&quot;"/>
    <x v="3"/>
    <s v="Preet Vihar"/>
    <s v="Sikanderpur"/>
    <n v="8.6999999999999993"/>
    <n v="27.5"/>
    <s v="null"/>
    <s v="null"/>
    <s v="null"/>
    <s v="null"/>
    <s v="null"/>
    <s v="null"/>
    <n v="528"/>
    <n v="39.51"/>
    <n v="4"/>
    <n v="4.3"/>
    <s v="Uber Wallet"/>
  </r>
  <r>
    <d v="2024-05-20T00:00:00"/>
    <s v="May"/>
    <d v="1899-12-30T17:25:31"/>
    <s v="&quot;CNR4065157&quot;"/>
    <s v="Completed"/>
    <s v="&quot;CID7828273&quot;"/>
    <x v="2"/>
    <s v="Ashok Vihar"/>
    <s v="Punjabi Bagh"/>
    <n v="12.4"/>
    <n v="41.5"/>
    <s v="null"/>
    <s v="null"/>
    <s v="null"/>
    <s v="null"/>
    <s v="null"/>
    <s v="null"/>
    <n v="869"/>
    <n v="28.97"/>
    <n v="4.0999999999999996"/>
    <n v="4.2"/>
    <s v="UPI"/>
  </r>
  <r>
    <d v="2024-12-07T00:00:00"/>
    <s v="December"/>
    <d v="1899-12-30T22:00:30"/>
    <s v="&quot;CNR8924549&quot;"/>
    <s v="Completed"/>
    <s v="&quot;CID3674208&quot;"/>
    <x v="5"/>
    <s v="IGNOU Road"/>
    <s v="Adarsh Nagar"/>
    <n v="5.6"/>
    <n v="20.399999999999999"/>
    <s v="null"/>
    <s v="null"/>
    <s v="null"/>
    <s v="null"/>
    <s v="null"/>
    <s v="null"/>
    <n v="445"/>
    <n v="19.86"/>
    <n v="4.0999999999999996"/>
    <n v="4.5999999999999996"/>
    <s v="UPI"/>
  </r>
  <r>
    <d v="2024-05-27T00:00:00"/>
    <s v="May"/>
    <d v="1899-12-30T17:13:41"/>
    <s v="&quot;CNR5204972&quot;"/>
    <s v="Cancelled by Driver"/>
    <s v="&quot;CID3125304&quot;"/>
    <x v="1"/>
    <s v="Ghitorni"/>
    <s v="Ashok Vihar"/>
    <n v="10.9"/>
    <s v="null"/>
    <s v="null"/>
    <s v="null"/>
    <n v="1"/>
    <s v="The customer was coughing/sick"/>
    <s v="null"/>
    <s v="null"/>
    <s v="null"/>
    <s v="null"/>
    <s v="null"/>
    <s v="null"/>
    <s v="null"/>
  </r>
  <r>
    <d v="2024-07-06T00:00:00"/>
    <s v="July"/>
    <d v="1899-12-30T17:13:09"/>
    <s v="&quot;CNR5375834&quot;"/>
    <s v="Cancelled by Driver"/>
    <s v="&quot;CID3954735&quot;"/>
    <x v="5"/>
    <s v="Green Park"/>
    <s v="Welcome"/>
    <n v="10.199999999999999"/>
    <s v="null"/>
    <s v="null"/>
    <s v="null"/>
    <n v="1"/>
    <s v="Personal &amp; Car related issues"/>
    <s v="null"/>
    <s v="null"/>
    <s v="null"/>
    <s v="null"/>
    <s v="null"/>
    <s v="null"/>
    <s v="null"/>
  </r>
  <r>
    <d v="2024-11-09T00:00:00"/>
    <s v="November"/>
    <d v="1899-12-30T01:56:24"/>
    <s v="&quot;CNR1363917&quot;"/>
    <s v="No Driver Found"/>
    <s v="&quot;CID7018987&quot;"/>
    <x v="0"/>
    <s v="Shahdara"/>
    <s v="RK Puram"/>
    <s v="null"/>
    <s v="null"/>
    <s v="null"/>
    <s v="null"/>
    <s v="null"/>
    <s v="null"/>
    <s v="null"/>
    <s v="null"/>
    <s v="null"/>
    <s v="null"/>
    <s v="null"/>
    <s v="null"/>
    <s v="null"/>
  </r>
  <r>
    <d v="2024-09-25T00:00:00"/>
    <s v="September"/>
    <d v="1899-12-30T10:08:22"/>
    <s v="&quot;CNR2163400&quot;"/>
    <s v="Incomplete"/>
    <s v="&quot;CID3016035&quot;"/>
    <x v="3"/>
    <s v="Rajiv Chowk"/>
    <s v="Dwarka Sector 21"/>
    <n v="9"/>
    <n v="24.8"/>
    <s v="null"/>
    <s v="null"/>
    <s v="null"/>
    <s v="null"/>
    <n v="1"/>
    <s v="Vehicle Breakdown"/>
    <n v="849"/>
    <n v="13.31"/>
    <s v="null"/>
    <s v="null"/>
    <s v="Credit Card"/>
  </r>
  <r>
    <d v="2024-08-24T00:00:00"/>
    <s v="August"/>
    <d v="1899-12-30T17:03:40"/>
    <s v="&quot;CNR4743276&quot;"/>
    <s v="Completed"/>
    <s v="&quot;CID7689074&quot;"/>
    <x v="5"/>
    <s v="Azadpur"/>
    <s v="Raj Nagar Extension"/>
    <n v="13.1"/>
    <n v="23.9"/>
    <s v="null"/>
    <s v="null"/>
    <s v="null"/>
    <s v="null"/>
    <s v="null"/>
    <s v="null"/>
    <n v="1267"/>
    <n v="46.24"/>
    <n v="4.5"/>
    <n v="4.5999999999999996"/>
    <s v="UPI"/>
  </r>
  <r>
    <d v="2024-06-25T00:00:00"/>
    <s v="June"/>
    <d v="1899-12-30T17:09:21"/>
    <s v="&quot;CNR4086024&quot;"/>
    <s v="Completed"/>
    <s v="&quot;CID3851083&quot;"/>
    <x v="4"/>
    <s v="Ambience Mall"/>
    <s v="Yamuna Bank"/>
    <n v="3.7"/>
    <n v="20.100000000000001"/>
    <s v="null"/>
    <s v="null"/>
    <s v="null"/>
    <s v="null"/>
    <s v="null"/>
    <s v="null"/>
    <n v="428"/>
    <n v="20.37"/>
    <n v="4.3"/>
    <n v="3.8"/>
    <s v="Uber Wallet"/>
  </r>
  <r>
    <d v="2024-10-31T00:00:00"/>
    <s v="October"/>
    <d v="1899-12-30T07:22:05"/>
    <s v="&quot;CNR5063044&quot;"/>
    <s v="Cancelled by Driver"/>
    <s v="&quot;CID6199612&quot;"/>
    <x v="2"/>
    <s v="MG Road"/>
    <s v="Subhash Nagar"/>
    <n v="10.3"/>
    <s v="null"/>
    <s v="null"/>
    <s v="null"/>
    <n v="1"/>
    <s v="The customer was coughing/sick"/>
    <s v="null"/>
    <s v="null"/>
    <s v="null"/>
    <s v="null"/>
    <s v="null"/>
    <s v="null"/>
    <s v="null"/>
  </r>
  <r>
    <d v="2024-04-18T00:00:00"/>
    <s v="April"/>
    <d v="1899-12-30T21:30:26"/>
    <s v="&quot;CNR2695805&quot;"/>
    <s v="Completed"/>
    <s v="&quot;CID8486542&quot;"/>
    <x v="3"/>
    <s v="Gwal Pahari"/>
    <s v="Shivaji Park"/>
    <n v="8.6"/>
    <n v="41.4"/>
    <s v="null"/>
    <s v="null"/>
    <s v="null"/>
    <s v="null"/>
    <s v="null"/>
    <s v="null"/>
    <n v="324"/>
    <n v="19.13"/>
    <n v="4.5"/>
    <n v="4.5999999999999996"/>
    <s v="Uber Wallet"/>
  </r>
  <r>
    <d v="2024-03-04T00:00:00"/>
    <s v="March"/>
    <d v="1899-12-30T09:17:04"/>
    <s v="&quot;CNR1586231&quot;"/>
    <s v="Completed"/>
    <s v="&quot;CID9858226&quot;"/>
    <x v="1"/>
    <s v="Palam Vihar"/>
    <s v="Moolchand"/>
    <n v="3.2"/>
    <n v="36.5"/>
    <s v="null"/>
    <s v="null"/>
    <s v="null"/>
    <s v="null"/>
    <s v="null"/>
    <s v="null"/>
    <n v="89"/>
    <n v="30.85"/>
    <n v="3.3"/>
    <n v="4.5999999999999996"/>
    <s v="Credit Card"/>
  </r>
  <r>
    <d v="2024-09-25T00:00:00"/>
    <s v="September"/>
    <d v="1899-12-30T18:44:09"/>
    <s v="&quot;CNR3409271&quot;"/>
    <s v="Completed"/>
    <s v="&quot;CID8598402&quot;"/>
    <x v="5"/>
    <s v="Govindpuri"/>
    <s v="MG Road"/>
    <n v="5"/>
    <n v="20.7"/>
    <s v="null"/>
    <s v="null"/>
    <s v="null"/>
    <s v="null"/>
    <s v="null"/>
    <s v="null"/>
    <n v="898"/>
    <n v="34.42"/>
    <n v="3"/>
    <n v="4.9000000000000004"/>
    <s v="UPI"/>
  </r>
  <r>
    <d v="2024-01-23T00:00:00"/>
    <s v="January"/>
    <d v="1899-12-30T16:16:44"/>
    <s v="&quot;CNR8876033&quot;"/>
    <s v="Completed"/>
    <s v="&quot;CID8559952&quot;"/>
    <x v="5"/>
    <s v="Kashmere Gate ISBT"/>
    <s v="Mayur Vihar"/>
    <n v="3.6"/>
    <n v="38"/>
    <s v="null"/>
    <s v="null"/>
    <s v="null"/>
    <s v="null"/>
    <s v="null"/>
    <s v="null"/>
    <n v="855"/>
    <n v="6.11"/>
    <n v="3.8"/>
    <n v="4.2"/>
    <s v="Cash"/>
  </r>
  <r>
    <d v="2024-12-17T00:00:00"/>
    <s v="December"/>
    <d v="1899-12-30T22:33:25"/>
    <s v="&quot;CNR5745393&quot;"/>
    <s v="Incomplete"/>
    <s v="&quot;CID4805616&quot;"/>
    <x v="5"/>
    <s v="Kashmere Gate"/>
    <s v="Mehrauli"/>
    <n v="2"/>
    <n v="21.1"/>
    <s v="null"/>
    <s v="null"/>
    <s v="null"/>
    <s v="null"/>
    <n v="1"/>
    <s v="Other Issue"/>
    <n v="494"/>
    <n v="2.97"/>
    <s v="null"/>
    <s v="null"/>
    <s v="Debit Card"/>
  </r>
  <r>
    <d v="2024-09-18T00:00:00"/>
    <s v="September"/>
    <d v="1899-12-30T09:56:09"/>
    <s v="&quot;CNR4760449&quot;"/>
    <s v="Completed"/>
    <s v="&quot;CID2823760&quot;"/>
    <x v="3"/>
    <s v="Vaishali"/>
    <s v="Panipat"/>
    <n v="11.1"/>
    <n v="30.1"/>
    <s v="null"/>
    <s v="null"/>
    <s v="null"/>
    <s v="null"/>
    <s v="null"/>
    <s v="null"/>
    <n v="821"/>
    <n v="33.72"/>
    <n v="4.2"/>
    <n v="4.9000000000000004"/>
    <s v="Uber Wallet"/>
  </r>
  <r>
    <d v="2024-06-09T00:00:00"/>
    <s v="June"/>
    <d v="1899-12-30T07:27:28"/>
    <s v="&quot;CNR3766529&quot;"/>
    <s v="Cancelled by Customer"/>
    <s v="&quot;CID7083860&quot;"/>
    <x v="2"/>
    <s v="Seelampur"/>
    <s v="RK Puram"/>
    <n v="16.399999999999999"/>
    <s v="null"/>
    <n v="1"/>
    <s v="Wrong Address"/>
    <s v="null"/>
    <s v="null"/>
    <s v="null"/>
    <s v="null"/>
    <s v="null"/>
    <s v="null"/>
    <s v="null"/>
    <s v="null"/>
    <s v="null"/>
  </r>
  <r>
    <d v="2024-10-27T00:00:00"/>
    <s v="October"/>
    <d v="1899-12-30T14:04:21"/>
    <s v="&quot;CNR5133492&quot;"/>
    <s v="Cancelled by Driver"/>
    <s v="&quot;CID1145516&quot;"/>
    <x v="2"/>
    <s v="Netaji Subhash Place"/>
    <s v="Tilak Nagar"/>
    <n v="6.4"/>
    <s v="null"/>
    <s v="null"/>
    <s v="null"/>
    <n v="1"/>
    <s v="Personal &amp; Car related issues"/>
    <s v="null"/>
    <s v="null"/>
    <s v="null"/>
    <s v="null"/>
    <s v="null"/>
    <s v="null"/>
    <s v="null"/>
  </r>
  <r>
    <d v="2024-02-21T00:00:00"/>
    <s v="February"/>
    <d v="1899-12-30T18:00:46"/>
    <s v="&quot;CNR7831079&quot;"/>
    <s v="Completed"/>
    <s v="&quot;CID5660745&quot;"/>
    <x v="0"/>
    <s v="Sadar Bazar Gurgaon"/>
    <s v="Malviya Nagar"/>
    <n v="14.1"/>
    <n v="24.8"/>
    <s v="null"/>
    <s v="null"/>
    <s v="null"/>
    <s v="null"/>
    <s v="null"/>
    <s v="null"/>
    <n v="371"/>
    <n v="42.86"/>
    <n v="4.3"/>
    <n v="4.5999999999999996"/>
    <s v="UPI"/>
  </r>
  <r>
    <d v="2024-11-01T00:00:00"/>
    <s v="November"/>
    <d v="1899-12-30T10:40:42"/>
    <s v="&quot;CNR1918071&quot;"/>
    <s v="Completed"/>
    <s v="&quot;CID9391046&quot;"/>
    <x v="5"/>
    <s v="Noida Sector 62"/>
    <s v="Hero Honda Chowk"/>
    <n v="7.7"/>
    <n v="17"/>
    <s v="null"/>
    <s v="null"/>
    <s v="null"/>
    <s v="null"/>
    <s v="null"/>
    <s v="null"/>
    <n v="503"/>
    <n v="26.78"/>
    <n v="4.5"/>
    <n v="4.3"/>
    <s v="Credit Card"/>
  </r>
  <r>
    <d v="2024-09-28T00:00:00"/>
    <s v="September"/>
    <d v="1899-12-30T00:26:22"/>
    <s v="&quot;CNR7845680&quot;"/>
    <s v="Completed"/>
    <s v="&quot;CID5618918&quot;"/>
    <x v="1"/>
    <s v="Patel Chowk"/>
    <s v="Udyog Bhawan"/>
    <n v="11.9"/>
    <n v="32"/>
    <s v="null"/>
    <s v="null"/>
    <s v="null"/>
    <s v="null"/>
    <s v="null"/>
    <s v="null"/>
    <n v="664"/>
    <n v="15.41"/>
    <n v="4.9000000000000004"/>
    <n v="4.7"/>
    <s v="Cash"/>
  </r>
  <r>
    <d v="2024-08-26T00:00:00"/>
    <s v="August"/>
    <d v="1899-12-30T17:36:58"/>
    <s v="&quot;CNR1370763&quot;"/>
    <s v="No Driver Found"/>
    <s v="&quot;CID3460596&quot;"/>
    <x v="2"/>
    <s v="Faridabad Sector 15"/>
    <s v="Ardee City"/>
    <s v="null"/>
    <s v="null"/>
    <s v="null"/>
    <s v="null"/>
    <s v="null"/>
    <s v="null"/>
    <s v="null"/>
    <s v="null"/>
    <s v="null"/>
    <s v="null"/>
    <s v="null"/>
    <s v="null"/>
    <s v="null"/>
  </r>
  <r>
    <d v="2024-03-15T00:00:00"/>
    <s v="March"/>
    <d v="1899-12-30T18:14:12"/>
    <s v="&quot;CNR6115856&quot;"/>
    <s v="Cancelled by Driver"/>
    <s v="&quot;CID7934261&quot;"/>
    <x v="2"/>
    <s v="Panchsheel Park"/>
    <s v="Govindpuri"/>
    <n v="10.6"/>
    <s v="null"/>
    <s v="null"/>
    <s v="null"/>
    <n v="1"/>
    <s v="Customer related issue"/>
    <s v="null"/>
    <s v="null"/>
    <s v="null"/>
    <s v="null"/>
    <s v="null"/>
    <s v="null"/>
    <s v="null"/>
  </r>
  <r>
    <d v="2024-08-18T00:00:00"/>
    <s v="August"/>
    <d v="1899-12-30T09:10:52"/>
    <s v="&quot;CNR1501051&quot;"/>
    <s v="Cancelled by Driver"/>
    <s v="&quot;CID7576837&quot;"/>
    <x v="4"/>
    <s v="Kherki Daula Toll"/>
    <s v="Ardee City"/>
    <n v="10.7"/>
    <s v="null"/>
    <s v="null"/>
    <s v="null"/>
    <n v="1"/>
    <s v="The customer was coughing/sick"/>
    <s v="null"/>
    <s v="null"/>
    <s v="null"/>
    <s v="null"/>
    <s v="null"/>
    <s v="null"/>
    <s v="null"/>
  </r>
  <r>
    <d v="2024-08-14T00:00:00"/>
    <s v="August"/>
    <d v="1899-12-30T18:00:52"/>
    <s v="&quot;CNR2711067&quot;"/>
    <s v="Completed"/>
    <s v="&quot;CID2346632&quot;"/>
    <x v="2"/>
    <s v="DLF Phase 3"/>
    <s v="Pataudi Chowk"/>
    <n v="11.7"/>
    <n v="37.4"/>
    <s v="null"/>
    <s v="null"/>
    <s v="null"/>
    <s v="null"/>
    <s v="null"/>
    <s v="null"/>
    <n v="259"/>
    <n v="40.299999999999997"/>
    <n v="4.5999999999999996"/>
    <n v="4.8"/>
    <s v="UPI"/>
  </r>
  <r>
    <d v="2024-08-23T00:00:00"/>
    <s v="August"/>
    <d v="1899-12-30T09:17:22"/>
    <s v="&quot;CNR7515327&quot;"/>
    <s v="Completed"/>
    <s v="&quot;CID5012342&quot;"/>
    <x v="5"/>
    <s v="Nirman Vihar"/>
    <s v="IGI Airport"/>
    <n v="7.6"/>
    <n v="29.5"/>
    <s v="null"/>
    <s v="null"/>
    <s v="null"/>
    <s v="null"/>
    <s v="null"/>
    <s v="null"/>
    <n v="161"/>
    <n v="49.38"/>
    <n v="3.8"/>
    <n v="3.8"/>
    <s v="UPI"/>
  </r>
  <r>
    <d v="2024-05-09T00:00:00"/>
    <s v="May"/>
    <d v="1899-12-30T05:57:31"/>
    <s v="&quot;CNR2286625&quot;"/>
    <s v="Completed"/>
    <s v="&quot;CID3500853&quot;"/>
    <x v="1"/>
    <s v="Saket"/>
    <s v="Karkarduma"/>
    <n v="7.7"/>
    <n v="25.2"/>
    <s v="null"/>
    <s v="null"/>
    <s v="null"/>
    <s v="null"/>
    <s v="null"/>
    <s v="null"/>
    <n v="230"/>
    <n v="21.07"/>
    <n v="4.5999999999999996"/>
    <n v="4.7"/>
    <s v="Credit Card"/>
  </r>
  <r>
    <d v="2024-11-14T00:00:00"/>
    <s v="November"/>
    <d v="1899-12-30T17:24:38"/>
    <s v="&quot;CNR3188026&quot;"/>
    <s v="Incomplete"/>
    <s v="&quot;CID9149724&quot;"/>
    <x v="3"/>
    <s v="Vasant Kunj"/>
    <s v="Adarsh Nagar"/>
    <n v="5.0999999999999996"/>
    <n v="18.600000000000001"/>
    <s v="null"/>
    <s v="null"/>
    <s v="null"/>
    <s v="null"/>
    <n v="1"/>
    <s v="Other Issue"/>
    <n v="301"/>
    <n v="17"/>
    <s v="null"/>
    <s v="null"/>
    <s v="UPI"/>
  </r>
  <r>
    <d v="2024-02-03T00:00:00"/>
    <s v="February"/>
    <d v="1899-12-30T22:10:31"/>
    <s v="&quot;CNR7969903&quot;"/>
    <s v="Cancelled by Driver"/>
    <s v="&quot;CID5405393&quot;"/>
    <x v="4"/>
    <s v="Shastri Nagar"/>
    <s v="RK Puram"/>
    <n v="10.1"/>
    <s v="null"/>
    <s v="null"/>
    <s v="null"/>
    <n v="1"/>
    <s v="The customer was coughing/sick"/>
    <s v="null"/>
    <s v="null"/>
    <s v="null"/>
    <s v="null"/>
    <s v="null"/>
    <s v="null"/>
    <s v="null"/>
  </r>
  <r>
    <d v="2024-03-03T00:00:00"/>
    <s v="March"/>
    <d v="1899-12-30T19:39:07"/>
    <s v="&quot;CNR8373252&quot;"/>
    <s v="Completed"/>
    <s v="&quot;CID8974140&quot;"/>
    <x v="4"/>
    <s v="Shastri Park"/>
    <s v="Ashok Park Main"/>
    <n v="14.3"/>
    <n v="44.5"/>
    <s v="null"/>
    <s v="null"/>
    <s v="null"/>
    <s v="null"/>
    <s v="null"/>
    <s v="null"/>
    <n v="91"/>
    <n v="27.72"/>
    <n v="4.2"/>
    <n v="4.9000000000000004"/>
    <s v="Uber Wallet"/>
  </r>
  <r>
    <d v="2024-11-25T00:00:00"/>
    <s v="November"/>
    <d v="1899-12-30T16:12:45"/>
    <s v="&quot;CNR9166609&quot;"/>
    <s v="Cancelled by Customer"/>
    <s v="&quot;CID3533817&quot;"/>
    <x v="2"/>
    <s v="Vishwavidyalaya"/>
    <s v="Moolchand"/>
    <n v="14.1"/>
    <s v="null"/>
    <n v="1"/>
    <s v="Wrong Address"/>
    <s v="null"/>
    <s v="null"/>
    <s v="null"/>
    <s v="null"/>
    <s v="null"/>
    <s v="null"/>
    <s v="null"/>
    <s v="null"/>
    <s v="null"/>
  </r>
  <r>
    <d v="2024-11-22T00:00:00"/>
    <s v="November"/>
    <d v="1899-12-30T17:31:59"/>
    <s v="&quot;CNR1935956&quot;"/>
    <s v="Completed"/>
    <s v="&quot;CID9140298&quot;"/>
    <x v="3"/>
    <s v="Pitampura"/>
    <s v="Badarpur"/>
    <n v="8.4"/>
    <n v="31.6"/>
    <s v="null"/>
    <s v="null"/>
    <s v="null"/>
    <s v="null"/>
    <s v="null"/>
    <s v="null"/>
    <n v="152"/>
    <n v="26.81"/>
    <n v="4.0999999999999996"/>
    <n v="4.3"/>
    <s v="Credit Card"/>
  </r>
  <r>
    <d v="2024-02-26T00:00:00"/>
    <s v="February"/>
    <d v="1899-12-30T15:41:04"/>
    <s v="&quot;CNR5659221&quot;"/>
    <s v="Completed"/>
    <s v="&quot;CID7389969&quot;"/>
    <x v="2"/>
    <s v="Connaught Place"/>
    <s v="Ramesh Nagar"/>
    <n v="13.1"/>
    <n v="27.8"/>
    <s v="null"/>
    <s v="null"/>
    <s v="null"/>
    <s v="null"/>
    <s v="null"/>
    <s v="null"/>
    <n v="408"/>
    <n v="4.17"/>
    <n v="3.7"/>
    <n v="4.3"/>
    <s v="UPI"/>
  </r>
  <r>
    <d v="2024-12-12T00:00:00"/>
    <s v="December"/>
    <d v="1899-12-30T21:07:18"/>
    <s v="&quot;CNR8474273&quot;"/>
    <s v="Completed"/>
    <s v="&quot;CID3360451&quot;"/>
    <x v="1"/>
    <s v="Kanhaiya Nagar"/>
    <s v="Kaushambi"/>
    <n v="4.8"/>
    <n v="29.7"/>
    <s v="null"/>
    <s v="null"/>
    <s v="null"/>
    <s v="null"/>
    <s v="null"/>
    <s v="null"/>
    <n v="713"/>
    <n v="12.72"/>
    <n v="3.9"/>
    <n v="3.8"/>
    <s v="Cash"/>
  </r>
  <r>
    <d v="2024-02-02T00:00:00"/>
    <s v="February"/>
    <d v="1899-12-30T10:17:06"/>
    <s v="&quot;CNR1279739&quot;"/>
    <s v="Cancelled by Driver"/>
    <s v="&quot;CID5138488&quot;"/>
    <x v="5"/>
    <s v="Dwarka Mor"/>
    <s v="Seelampur"/>
    <n v="6.5"/>
    <s v="null"/>
    <s v="null"/>
    <s v="null"/>
    <n v="1"/>
    <s v="Personal &amp; Car related issues"/>
    <s v="null"/>
    <s v="null"/>
    <s v="null"/>
    <s v="null"/>
    <s v="null"/>
    <s v="null"/>
    <s v="null"/>
  </r>
  <r>
    <d v="2024-01-24T00:00:00"/>
    <s v="January"/>
    <d v="1899-12-30T21:49:08"/>
    <s v="&quot;CNR4613271&quot;"/>
    <s v="Completed"/>
    <s v="&quot;CID7247748&quot;"/>
    <x v="3"/>
    <s v="Azadpur"/>
    <s v="Raj Nagar Extension"/>
    <n v="4.7"/>
    <n v="37.799999999999997"/>
    <s v="null"/>
    <s v="null"/>
    <s v="null"/>
    <s v="null"/>
    <s v="null"/>
    <s v="null"/>
    <n v="275"/>
    <n v="48.78"/>
    <n v="3.4"/>
    <n v="4.3"/>
    <s v="Credit Card"/>
  </r>
  <r>
    <d v="2024-05-16T00:00:00"/>
    <s v="May"/>
    <d v="1899-12-30T14:53:21"/>
    <s v="&quot;CNR1846576&quot;"/>
    <s v="Completed"/>
    <s v="&quot;CID1498694&quot;"/>
    <x v="3"/>
    <s v="Model Town"/>
    <s v="Paharganj"/>
    <n v="7.6"/>
    <n v="33.5"/>
    <s v="null"/>
    <s v="null"/>
    <s v="null"/>
    <s v="null"/>
    <s v="null"/>
    <s v="null"/>
    <n v="245"/>
    <n v="48.48"/>
    <n v="4.4000000000000004"/>
    <n v="4.5"/>
    <s v="UPI"/>
  </r>
  <r>
    <d v="2024-02-16T00:00:00"/>
    <s v="February"/>
    <d v="1899-12-30T18:45:08"/>
    <s v="&quot;CNR2689700&quot;"/>
    <s v="Completed"/>
    <s v="&quot;CID1448742&quot;"/>
    <x v="5"/>
    <s v="Noida Film City"/>
    <s v="Vatika Chowk"/>
    <n v="14.2"/>
    <n v="15.8"/>
    <s v="null"/>
    <s v="null"/>
    <s v="null"/>
    <s v="null"/>
    <s v="null"/>
    <s v="null"/>
    <n v="496"/>
    <n v="35.380000000000003"/>
    <n v="3.6"/>
    <n v="3.7"/>
    <s v="UPI"/>
  </r>
  <r>
    <d v="2024-11-13T00:00:00"/>
    <s v="November"/>
    <d v="1899-12-30T17:31:44"/>
    <s v="&quot;CNR4825679&quot;"/>
    <s v="Completed"/>
    <s v="&quot;CID4709121&quot;"/>
    <x v="0"/>
    <s v="South Extension"/>
    <s v="Subhash Nagar"/>
    <n v="6.9"/>
    <n v="32.299999999999997"/>
    <s v="null"/>
    <s v="null"/>
    <s v="null"/>
    <s v="null"/>
    <s v="null"/>
    <s v="null"/>
    <n v="1544"/>
    <n v="20.2"/>
    <n v="4.2"/>
    <n v="4"/>
    <s v="UPI"/>
  </r>
  <r>
    <d v="2024-05-13T00:00:00"/>
    <s v="May"/>
    <d v="1899-12-30T19:37:23"/>
    <s v="&quot;CNR5766161&quot;"/>
    <s v="Completed"/>
    <s v="&quot;CID4882423&quot;"/>
    <x v="5"/>
    <s v="Jahangirpuri"/>
    <s v="Mayur Vihar"/>
    <n v="7.6"/>
    <n v="15.5"/>
    <s v="null"/>
    <s v="null"/>
    <s v="null"/>
    <s v="null"/>
    <s v="null"/>
    <s v="null"/>
    <n v="392"/>
    <n v="40.53"/>
    <n v="4.3"/>
    <n v="3.8"/>
    <s v="UPI"/>
  </r>
  <r>
    <d v="2024-05-03T00:00:00"/>
    <s v="May"/>
    <d v="1899-12-30T02:53:03"/>
    <s v="&quot;CNR8703209&quot;"/>
    <s v="Completed"/>
    <s v="&quot;CID1396836&quot;"/>
    <x v="5"/>
    <s v="Dwarka Mor"/>
    <s v="Vishwavidyalaya"/>
    <n v="10.6"/>
    <n v="22.2"/>
    <s v="null"/>
    <s v="null"/>
    <s v="null"/>
    <s v="null"/>
    <s v="null"/>
    <s v="null"/>
    <n v="90"/>
    <n v="26.1"/>
    <n v="3.7"/>
    <n v="4.9000000000000004"/>
    <s v="Cash"/>
  </r>
  <r>
    <d v="2024-11-16T00:00:00"/>
    <s v="November"/>
    <d v="1899-12-30T05:44:58"/>
    <s v="&quot;CNR3578253&quot;"/>
    <s v="Completed"/>
    <s v="&quot;CID2458793&quot;"/>
    <x v="1"/>
    <s v="Netaji Subhash Place"/>
    <s v="IFFCO Chowk"/>
    <n v="13.8"/>
    <n v="35.4"/>
    <s v="null"/>
    <s v="null"/>
    <s v="null"/>
    <s v="null"/>
    <s v="null"/>
    <s v="null"/>
    <n v="363"/>
    <n v="9.16"/>
    <n v="4.3"/>
    <n v="4.9000000000000004"/>
    <s v="Uber Wallet"/>
  </r>
  <r>
    <d v="2024-06-14T00:00:00"/>
    <s v="June"/>
    <d v="1899-12-30T07:36:04"/>
    <s v="&quot;CNR7204316&quot;"/>
    <s v="Completed"/>
    <s v="&quot;CID9883071&quot;"/>
    <x v="4"/>
    <s v="Jhilmil"/>
    <s v="Ashok Park Main"/>
    <n v="5.5"/>
    <n v="40.1"/>
    <s v="null"/>
    <s v="null"/>
    <s v="null"/>
    <s v="null"/>
    <s v="null"/>
    <s v="null"/>
    <n v="371"/>
    <n v="36.159999999999997"/>
    <n v="3.9"/>
    <n v="4.5999999999999996"/>
    <s v="UPI"/>
  </r>
  <r>
    <d v="2024-11-20T00:00:00"/>
    <s v="November"/>
    <d v="1899-12-30T17:41:29"/>
    <s v="&quot;CNR9612899&quot;"/>
    <s v="Cancelled by Driver"/>
    <s v="&quot;CID4773093&quot;"/>
    <x v="5"/>
    <s v="Ramesh Nagar"/>
    <s v="Rohini West"/>
    <n v="10.3"/>
    <s v="null"/>
    <s v="null"/>
    <s v="null"/>
    <n v="1"/>
    <s v="The customer was coughing/sick"/>
    <s v="null"/>
    <s v="null"/>
    <s v="null"/>
    <s v="null"/>
    <s v="null"/>
    <s v="null"/>
    <s v="null"/>
  </r>
  <r>
    <d v="2024-12-01T00:00:00"/>
    <s v="December"/>
    <d v="1899-12-30T08:26:17"/>
    <s v="&quot;CNR9097201&quot;"/>
    <s v="Completed"/>
    <s v="&quot;CID6570391&quot;"/>
    <x v="2"/>
    <s v="Anand Vihar ISBT"/>
    <s v="Mansarovar Park"/>
    <n v="7.4"/>
    <n v="37.799999999999997"/>
    <s v="null"/>
    <s v="null"/>
    <s v="null"/>
    <s v="null"/>
    <s v="null"/>
    <s v="null"/>
    <n v="740"/>
    <n v="47.44"/>
    <n v="4.5999999999999996"/>
    <n v="4.2"/>
    <s v="UPI"/>
  </r>
  <r>
    <d v="2024-08-03T00:00:00"/>
    <s v="August"/>
    <d v="1899-12-30T09:31:39"/>
    <s v="&quot;CNR8358204&quot;"/>
    <s v="Completed"/>
    <s v="&quot;CID2994001&quot;"/>
    <x v="3"/>
    <s v="Barakhamba Road"/>
    <s v="Sohna Road"/>
    <n v="2.4"/>
    <n v="22"/>
    <s v="null"/>
    <s v="null"/>
    <s v="null"/>
    <s v="null"/>
    <s v="null"/>
    <s v="null"/>
    <n v="1029"/>
    <n v="34.51"/>
    <n v="5"/>
    <n v="4.4000000000000004"/>
    <s v="Uber Wallet"/>
  </r>
  <r>
    <d v="2024-08-12T00:00:00"/>
    <s v="August"/>
    <d v="1899-12-30T19:50:10"/>
    <s v="&quot;CNR4435906&quot;"/>
    <s v="Cancelled by Customer"/>
    <s v="&quot;CID5907798&quot;"/>
    <x v="3"/>
    <s v="Vinobapuri"/>
    <s v="Inderlok"/>
    <n v="6.1"/>
    <s v="null"/>
    <n v="1"/>
    <s v="Change of plans"/>
    <s v="null"/>
    <s v="null"/>
    <s v="null"/>
    <s v="null"/>
    <s v="null"/>
    <s v="null"/>
    <s v="null"/>
    <s v="null"/>
    <s v="null"/>
  </r>
  <r>
    <d v="2024-06-01T00:00:00"/>
    <s v="June"/>
    <d v="1899-12-30T07:31:14"/>
    <s v="&quot;CNR9515948&quot;"/>
    <s v="Completed"/>
    <s v="&quot;CID2133117&quot;"/>
    <x v="5"/>
    <s v="Jasola"/>
    <s v="Welcome"/>
    <n v="3.4"/>
    <n v="20"/>
    <s v="null"/>
    <s v="null"/>
    <s v="null"/>
    <s v="null"/>
    <s v="null"/>
    <s v="null"/>
    <n v="357"/>
    <n v="31.62"/>
    <n v="3.9"/>
    <n v="4.5999999999999996"/>
    <s v="UPI"/>
  </r>
  <r>
    <d v="2024-09-25T00:00:00"/>
    <s v="September"/>
    <d v="1899-12-30T10:22:28"/>
    <s v="&quot;CNR3369312&quot;"/>
    <s v="Completed"/>
    <s v="&quot;CID6510470&quot;"/>
    <x v="1"/>
    <s v="Anand Vihar ISBT"/>
    <s v="Govindpuri"/>
    <n v="8.5"/>
    <n v="39.6"/>
    <s v="null"/>
    <s v="null"/>
    <s v="null"/>
    <s v="null"/>
    <s v="null"/>
    <s v="null"/>
    <n v="141"/>
    <n v="5.47"/>
    <n v="4.3"/>
    <n v="4.9000000000000004"/>
    <s v="Cash"/>
  </r>
  <r>
    <d v="2024-03-12T00:00:00"/>
    <s v="March"/>
    <d v="1899-12-30T12:35:13"/>
    <s v="&quot;CNR2910062&quot;"/>
    <s v="Completed"/>
    <s v="&quot;CID3436001&quot;"/>
    <x v="5"/>
    <s v="Kalkaji"/>
    <s v="Pitampura"/>
    <n v="11.1"/>
    <n v="16.8"/>
    <s v="null"/>
    <s v="null"/>
    <s v="null"/>
    <s v="null"/>
    <s v="null"/>
    <s v="null"/>
    <n v="674"/>
    <n v="35.28"/>
    <n v="3.8"/>
    <n v="4.8"/>
    <s v="Debit Card"/>
  </r>
  <r>
    <d v="2024-04-07T00:00:00"/>
    <s v="April"/>
    <d v="1899-12-30T19:51:50"/>
    <s v="&quot;CNR6214573&quot;"/>
    <s v="Cancelled by Driver"/>
    <s v="&quot;CID8049463&quot;"/>
    <x v="5"/>
    <s v="Subhash Nagar"/>
    <s v="Ambience Mall"/>
    <n v="3.8"/>
    <s v="null"/>
    <s v="null"/>
    <s v="null"/>
    <n v="1"/>
    <s v="Customer related issue"/>
    <s v="null"/>
    <s v="null"/>
    <s v="null"/>
    <s v="null"/>
    <s v="null"/>
    <s v="null"/>
    <s v="null"/>
  </r>
  <r>
    <d v="2024-05-21T00:00:00"/>
    <s v="May"/>
    <d v="1899-12-30T21:30:20"/>
    <s v="&quot;CNR9066953&quot;"/>
    <s v="Cancelled by Driver"/>
    <s v="&quot;CID9062877&quot;"/>
    <x v="0"/>
    <s v="Nirman Vihar"/>
    <s v="Vatika Chowk"/>
    <n v="3.7"/>
    <s v="null"/>
    <s v="null"/>
    <s v="null"/>
    <n v="1"/>
    <s v="The customer was coughing/sick"/>
    <s v="null"/>
    <s v="null"/>
    <s v="null"/>
    <s v="null"/>
    <s v="null"/>
    <s v="null"/>
    <s v="null"/>
  </r>
  <r>
    <d v="2024-02-04T00:00:00"/>
    <s v="February"/>
    <d v="1899-12-30T11:04:14"/>
    <s v="&quot;CNR9616067&quot;"/>
    <s v="Completed"/>
    <s v="&quot;CID6112424&quot;"/>
    <x v="5"/>
    <s v="Hauz Khas"/>
    <s v="Central Secretariat"/>
    <n v="11.1"/>
    <n v="44.4"/>
    <s v="null"/>
    <s v="null"/>
    <s v="null"/>
    <s v="null"/>
    <s v="null"/>
    <s v="null"/>
    <n v="931"/>
    <n v="29.23"/>
    <n v="4.7"/>
    <n v="4.2"/>
    <s v="Cash"/>
  </r>
  <r>
    <d v="2024-01-29T00:00:00"/>
    <s v="January"/>
    <d v="1899-12-30T21:01:26"/>
    <s v="&quot;CNR6238968&quot;"/>
    <s v="Cancelled by Driver"/>
    <s v="&quot;CID3500396&quot;"/>
    <x v="4"/>
    <s v="India Gate"/>
    <s v="Rohini"/>
    <n v="3.7"/>
    <s v="null"/>
    <s v="null"/>
    <s v="null"/>
    <n v="1"/>
    <s v="Personal &amp; Car related issues"/>
    <s v="null"/>
    <s v="null"/>
    <s v="null"/>
    <s v="null"/>
    <s v="null"/>
    <s v="null"/>
    <s v="null"/>
  </r>
  <r>
    <d v="2024-05-08T00:00:00"/>
    <s v="May"/>
    <d v="1899-12-30T07:44:58"/>
    <s v="&quot;CNR1646725&quot;"/>
    <s v="Completed"/>
    <s v="&quot;CID7157628&quot;"/>
    <x v="5"/>
    <s v="Adarsh Nagar"/>
    <s v="Vasant Kunj"/>
    <n v="7"/>
    <n v="17"/>
    <s v="null"/>
    <s v="null"/>
    <s v="null"/>
    <s v="null"/>
    <s v="null"/>
    <s v="null"/>
    <n v="664"/>
    <n v="22.18"/>
    <n v="3.2"/>
    <n v="5"/>
    <s v="Cash"/>
  </r>
  <r>
    <d v="2024-09-20T00:00:00"/>
    <s v="September"/>
    <d v="1899-12-30T15:49:18"/>
    <s v="&quot;CNR2727388&quot;"/>
    <s v="Cancelled by Driver"/>
    <s v="&quot;CID6495062&quot;"/>
    <x v="2"/>
    <s v="GTB Nagar"/>
    <s v="Mandi House"/>
    <n v="9.9"/>
    <s v="null"/>
    <s v="null"/>
    <s v="null"/>
    <n v="1"/>
    <s v="Customer related issue"/>
    <s v="null"/>
    <s v="null"/>
    <s v="null"/>
    <s v="null"/>
    <s v="null"/>
    <s v="null"/>
    <s v="null"/>
  </r>
  <r>
    <d v="2024-10-30T00:00:00"/>
    <s v="October"/>
    <d v="1899-12-30T20:43:12"/>
    <s v="&quot;CNR3986964&quot;"/>
    <s v="Completed"/>
    <s v="&quot;CID5509253&quot;"/>
    <x v="3"/>
    <s v="Jahangirpuri"/>
    <s v="Subhash Nagar"/>
    <n v="9.6999999999999993"/>
    <n v="31.5"/>
    <s v="null"/>
    <s v="null"/>
    <s v="null"/>
    <s v="null"/>
    <s v="null"/>
    <s v="null"/>
    <n v="63"/>
    <n v="15.38"/>
    <n v="4.4000000000000004"/>
    <n v="4.2"/>
    <s v="Debit Card"/>
  </r>
  <r>
    <d v="2024-12-05T00:00:00"/>
    <s v="December"/>
    <d v="1899-12-30T20:43:29"/>
    <s v="&quot;CNR4446975&quot;"/>
    <s v="Completed"/>
    <s v="&quot;CID6311427&quot;"/>
    <x v="3"/>
    <s v="Moti Nagar"/>
    <s v="Mundka"/>
    <n v="10.199999999999999"/>
    <n v="18.2"/>
    <s v="null"/>
    <s v="null"/>
    <s v="null"/>
    <s v="null"/>
    <s v="null"/>
    <s v="null"/>
    <n v="212"/>
    <n v="20.399999999999999"/>
    <n v="4.3"/>
    <n v="4.7"/>
    <s v="UPI"/>
  </r>
  <r>
    <d v="2024-04-19T00:00:00"/>
    <s v="April"/>
    <d v="1899-12-30T17:00:59"/>
    <s v="&quot;CNR6362039&quot;"/>
    <s v="Cancelled by Driver"/>
    <s v="&quot;CID1477494&quot;"/>
    <x v="2"/>
    <s v="Patel Chowk"/>
    <s v="Punjabi Bagh"/>
    <n v="6.5"/>
    <s v="null"/>
    <s v="null"/>
    <s v="null"/>
    <n v="1"/>
    <s v="Customer related issue"/>
    <s v="null"/>
    <s v="null"/>
    <s v="null"/>
    <s v="null"/>
    <s v="null"/>
    <s v="null"/>
    <s v="null"/>
  </r>
  <r>
    <d v="2024-01-24T00:00:00"/>
    <s v="January"/>
    <d v="1899-12-30T18:50:22"/>
    <s v="&quot;CNR9426012&quot;"/>
    <s v="Completed"/>
    <s v="&quot;CID7989784&quot;"/>
    <x v="2"/>
    <s v="Delhi Gate"/>
    <s v="Madipur"/>
    <n v="12.1"/>
    <n v="19.3"/>
    <s v="null"/>
    <s v="null"/>
    <s v="null"/>
    <s v="null"/>
    <s v="null"/>
    <s v="null"/>
    <n v="488"/>
    <n v="37.229999999999997"/>
    <n v="3.1"/>
    <n v="4.4000000000000004"/>
    <s v="Cash"/>
  </r>
  <r>
    <d v="2024-02-06T00:00:00"/>
    <s v="February"/>
    <d v="1899-12-30T10:04:20"/>
    <s v="&quot;CNR1224485&quot;"/>
    <s v="Completed"/>
    <s v="&quot;CID9385201&quot;"/>
    <x v="2"/>
    <s v="Arjangarh"/>
    <s v="Khan Market"/>
    <n v="13.7"/>
    <n v="36.6"/>
    <s v="null"/>
    <s v="null"/>
    <s v="null"/>
    <s v="null"/>
    <s v="null"/>
    <s v="null"/>
    <n v="483"/>
    <n v="40.76"/>
    <n v="4.4000000000000004"/>
    <n v="4.4000000000000004"/>
    <s v="UPI"/>
  </r>
  <r>
    <d v="2024-11-18T00:00:00"/>
    <s v="November"/>
    <d v="1899-12-30T00:52:57"/>
    <s v="&quot;CNR7359854&quot;"/>
    <s v="Completed"/>
    <s v="&quot;CID6374906&quot;"/>
    <x v="3"/>
    <s v="Indraprastha"/>
    <s v="Noida Sector 18"/>
    <n v="4.4000000000000004"/>
    <n v="15.8"/>
    <s v="null"/>
    <s v="null"/>
    <s v="null"/>
    <s v="null"/>
    <s v="null"/>
    <s v="null"/>
    <n v="400"/>
    <n v="8.34"/>
    <n v="4.3"/>
    <n v="4.4000000000000004"/>
    <s v="Credit Card"/>
  </r>
  <r>
    <d v="2024-07-10T00:00:00"/>
    <s v="July"/>
    <d v="1899-12-30T15:35:17"/>
    <s v="&quot;CNR8465345&quot;"/>
    <s v="Completed"/>
    <s v="&quot;CID1674359&quot;"/>
    <x v="2"/>
    <s v="Govindpuri"/>
    <s v="ITO"/>
    <n v="5.5"/>
    <n v="36.299999999999997"/>
    <s v="null"/>
    <s v="null"/>
    <s v="null"/>
    <s v="null"/>
    <s v="null"/>
    <s v="null"/>
    <n v="218"/>
    <n v="38.96"/>
    <n v="3.7"/>
    <n v="4.9000000000000004"/>
    <s v="UPI"/>
  </r>
  <r>
    <d v="2024-09-02T00:00:00"/>
    <s v="September"/>
    <d v="1899-12-30T02:17:47"/>
    <s v="&quot;CNR6623045&quot;"/>
    <s v="No Driver Found"/>
    <s v="&quot;CID9202066&quot;"/>
    <x v="2"/>
    <s v="Lajpat Nagar"/>
    <s v="Panchsheel Park"/>
    <s v="null"/>
    <s v="null"/>
    <s v="null"/>
    <s v="null"/>
    <s v="null"/>
    <s v="null"/>
    <s v="null"/>
    <s v="null"/>
    <s v="null"/>
    <s v="null"/>
    <s v="null"/>
    <s v="null"/>
    <s v="null"/>
  </r>
  <r>
    <d v="2024-07-07T00:00:00"/>
    <s v="July"/>
    <d v="1899-12-30T21:13:12"/>
    <s v="&quot;CNR1632782&quot;"/>
    <s v="No Driver Found"/>
    <s v="&quot;CID2967332&quot;"/>
    <x v="2"/>
    <s v="AIIMS"/>
    <s v="Preet Vihar"/>
    <s v="null"/>
    <s v="null"/>
    <s v="null"/>
    <s v="null"/>
    <s v="null"/>
    <s v="null"/>
    <s v="null"/>
    <s v="null"/>
    <s v="null"/>
    <s v="null"/>
    <s v="null"/>
    <s v="null"/>
    <s v="null"/>
  </r>
  <r>
    <d v="2024-10-10T00:00:00"/>
    <s v="October"/>
    <d v="1899-12-30T12:56:23"/>
    <s v="&quot;CNR6336375&quot;"/>
    <s v="Cancelled by Customer"/>
    <s v="&quot;CID7874381&quot;"/>
    <x v="2"/>
    <s v="Laxmi Nagar"/>
    <s v="IGNOU Road"/>
    <n v="13.8"/>
    <s v="null"/>
    <n v="1"/>
    <s v="Change of plans"/>
    <s v="null"/>
    <s v="null"/>
    <s v="null"/>
    <s v="null"/>
    <s v="null"/>
    <s v="null"/>
    <s v="null"/>
    <s v="null"/>
    <s v="null"/>
  </r>
  <r>
    <d v="2024-05-09T00:00:00"/>
    <s v="May"/>
    <d v="1899-12-30T09:31:51"/>
    <s v="&quot;CNR3866256&quot;"/>
    <s v="Completed"/>
    <s v="&quot;CID4531726&quot;"/>
    <x v="1"/>
    <s v="Chandni Chowk"/>
    <s v="Gurgaon Sector 29"/>
    <n v="9.5"/>
    <n v="41.2"/>
    <s v="null"/>
    <s v="null"/>
    <s v="null"/>
    <s v="null"/>
    <s v="null"/>
    <s v="null"/>
    <n v="407"/>
    <n v="36.880000000000003"/>
    <n v="4.7"/>
    <n v="4.9000000000000004"/>
    <s v="Cash"/>
  </r>
  <r>
    <d v="2024-07-30T00:00:00"/>
    <s v="July"/>
    <d v="1899-12-30T10:39:07"/>
    <s v="&quot;CNR1997739&quot;"/>
    <s v="Cancelled by Customer"/>
    <s v="&quot;CID3565599&quot;"/>
    <x v="2"/>
    <s v="Seelampur"/>
    <s v="Kalkaji"/>
    <n v="5.2"/>
    <s v="null"/>
    <n v="1"/>
    <s v="Change of plans"/>
    <s v="null"/>
    <s v="null"/>
    <s v="null"/>
    <s v="null"/>
    <s v="null"/>
    <s v="null"/>
    <s v="null"/>
    <s v="null"/>
    <s v="null"/>
  </r>
  <r>
    <d v="2024-07-16T00:00:00"/>
    <s v="July"/>
    <d v="1899-12-30T12:22:49"/>
    <s v="&quot;CNR1518008&quot;"/>
    <s v="No Driver Found"/>
    <s v="&quot;CID4659358&quot;"/>
    <x v="2"/>
    <s v="Chhatarpur"/>
    <s v="Greater Noida"/>
    <s v="null"/>
    <s v="null"/>
    <s v="null"/>
    <s v="null"/>
    <s v="null"/>
    <s v="null"/>
    <s v="null"/>
    <s v="null"/>
    <s v="null"/>
    <s v="null"/>
    <s v="null"/>
    <s v="null"/>
    <s v="null"/>
  </r>
  <r>
    <d v="2024-09-05T00:00:00"/>
    <s v="September"/>
    <d v="1899-12-30T09:22:56"/>
    <s v="&quot;CNR2158909&quot;"/>
    <s v="Completed"/>
    <s v="&quot;CID5757692&quot;"/>
    <x v="0"/>
    <s v="Vidhan Sabha"/>
    <s v="Greater Noida"/>
    <n v="11.4"/>
    <n v="39.6"/>
    <s v="null"/>
    <s v="null"/>
    <s v="null"/>
    <s v="null"/>
    <s v="null"/>
    <s v="null"/>
    <n v="904"/>
    <n v="13.76"/>
    <n v="4.7"/>
    <n v="4.4000000000000004"/>
    <s v="Cash"/>
  </r>
  <r>
    <d v="2024-09-25T00:00:00"/>
    <s v="September"/>
    <d v="1899-12-30T16:16:00"/>
    <s v="&quot;CNR3511683&quot;"/>
    <s v="Cancelled by Driver"/>
    <s v="&quot;CID8777017&quot;"/>
    <x v="5"/>
    <s v="Nirman Vihar"/>
    <s v="Uttam Nagar"/>
    <n v="4.3"/>
    <s v="null"/>
    <s v="null"/>
    <s v="null"/>
    <n v="1"/>
    <s v="Personal &amp; Car related issues"/>
    <s v="null"/>
    <s v="null"/>
    <s v="null"/>
    <s v="null"/>
    <s v="null"/>
    <s v="null"/>
    <s v="null"/>
  </r>
  <r>
    <d v="2024-07-18T00:00:00"/>
    <s v="July"/>
    <d v="1899-12-30T13:49:54"/>
    <s v="&quot;CNR5288660&quot;"/>
    <s v="Incomplete"/>
    <s v="&quot;CID1276785&quot;"/>
    <x v="1"/>
    <s v="Ramesh Nagar"/>
    <s v="Dwarka Mor"/>
    <n v="4"/>
    <n v="11.3"/>
    <s v="null"/>
    <s v="null"/>
    <s v="null"/>
    <s v="null"/>
    <n v="1"/>
    <s v="Customer Demand"/>
    <n v="120"/>
    <n v="17.46"/>
    <s v="null"/>
    <s v="null"/>
    <s v="Cash"/>
  </r>
  <r>
    <d v="2024-12-09T00:00:00"/>
    <s v="December"/>
    <d v="1899-12-30T18:44:18"/>
    <s v="&quot;CNR3682388&quot;"/>
    <s v="Completed"/>
    <s v="&quot;CID8866263&quot;"/>
    <x v="2"/>
    <s v="Mansarovar Park"/>
    <s v="Pulbangash"/>
    <n v="11"/>
    <n v="21.4"/>
    <s v="null"/>
    <s v="null"/>
    <s v="null"/>
    <s v="null"/>
    <s v="null"/>
    <s v="null"/>
    <n v="125"/>
    <n v="13.91"/>
    <n v="3.7"/>
    <n v="4.9000000000000004"/>
    <s v="Cash"/>
  </r>
  <r>
    <d v="2024-05-10T00:00:00"/>
    <s v="May"/>
    <d v="1899-12-30T13:55:23"/>
    <s v="&quot;CNR6864738&quot;"/>
    <s v="Completed"/>
    <s v="&quot;CID3777174&quot;"/>
    <x v="4"/>
    <s v="DLF Phase 3"/>
    <s v="Sarai Kale Khan"/>
    <n v="12"/>
    <n v="32.799999999999997"/>
    <s v="null"/>
    <s v="null"/>
    <s v="null"/>
    <s v="null"/>
    <s v="null"/>
    <s v="null"/>
    <n v="410"/>
    <n v="42.95"/>
    <n v="3.9"/>
    <n v="4.2"/>
    <s v="Cash"/>
  </r>
  <r>
    <d v="2024-11-11T00:00:00"/>
    <s v="November"/>
    <d v="1899-12-30T16:39:56"/>
    <s v="&quot;CNR6463043&quot;"/>
    <s v="Cancelled by Driver"/>
    <s v="&quot;CID5894772&quot;"/>
    <x v="2"/>
    <s v="Maidan Garhi"/>
    <s v="Madipur"/>
    <n v="8.5"/>
    <s v="null"/>
    <s v="null"/>
    <s v="null"/>
    <n v="1"/>
    <s v="Personal &amp; Car related issues"/>
    <s v="null"/>
    <s v="null"/>
    <s v="null"/>
    <s v="null"/>
    <s v="null"/>
    <s v="null"/>
    <s v="null"/>
  </r>
  <r>
    <d v="2024-05-01T00:00:00"/>
    <s v="May"/>
    <d v="1899-12-30T17:03:00"/>
    <s v="&quot;CNR4122330&quot;"/>
    <s v="Completed"/>
    <s v="&quot;CID3999654&quot;"/>
    <x v="2"/>
    <s v="Udyog Vihar Phase 4"/>
    <s v="Noida Sector 18"/>
    <n v="11.6"/>
    <n v="32.5"/>
    <s v="null"/>
    <s v="null"/>
    <s v="null"/>
    <s v="null"/>
    <s v="null"/>
    <s v="null"/>
    <n v="983"/>
    <n v="25.42"/>
    <n v="4.3"/>
    <n v="4.8"/>
    <s v="UPI"/>
  </r>
  <r>
    <d v="2024-01-11T00:00:00"/>
    <s v="January"/>
    <d v="1899-12-30T08:31:17"/>
    <s v="&quot;CNR4377050&quot;"/>
    <s v="Completed"/>
    <s v="&quot;CID1142441&quot;"/>
    <x v="3"/>
    <s v="Hauz Rani"/>
    <s v="Arjangarh"/>
    <n v="6"/>
    <n v="22.3"/>
    <s v="null"/>
    <s v="null"/>
    <s v="null"/>
    <s v="null"/>
    <s v="null"/>
    <s v="null"/>
    <n v="149"/>
    <n v="9.86"/>
    <n v="4.2"/>
    <n v="4.5"/>
    <s v="UPI"/>
  </r>
  <r>
    <d v="2024-01-17T00:00:00"/>
    <s v="January"/>
    <d v="1899-12-30T12:35:59"/>
    <s v="&quot;CNR2485485&quot;"/>
    <s v="Completed"/>
    <s v="&quot;CID4562133&quot;"/>
    <x v="4"/>
    <s v="Tilak Nagar"/>
    <s v="Ashram"/>
    <n v="3.4"/>
    <n v="28.4"/>
    <s v="null"/>
    <s v="null"/>
    <s v="null"/>
    <s v="null"/>
    <s v="null"/>
    <s v="null"/>
    <n v="243"/>
    <n v="7.36"/>
    <n v="4.7"/>
    <n v="4.5"/>
    <s v="UPI"/>
  </r>
  <r>
    <d v="2024-03-29T00:00:00"/>
    <s v="March"/>
    <d v="1899-12-30T15:42:54"/>
    <s v="&quot;CNR9850998&quot;"/>
    <s v="Completed"/>
    <s v="&quot;CID7150305&quot;"/>
    <x v="5"/>
    <s v="Anand Vihar"/>
    <s v="Paschim Vihar"/>
    <n v="10.1"/>
    <n v="17.600000000000001"/>
    <s v="null"/>
    <s v="null"/>
    <s v="null"/>
    <s v="null"/>
    <s v="null"/>
    <s v="null"/>
    <n v="1087"/>
    <n v="42.75"/>
    <n v="4.3"/>
    <n v="4.4000000000000004"/>
    <s v="UPI"/>
  </r>
  <r>
    <d v="2024-08-21T00:00:00"/>
    <s v="August"/>
    <d v="1899-12-30T19:27:36"/>
    <s v="&quot;CNR7750650&quot;"/>
    <s v="No Driver Found"/>
    <s v="&quot;CID4681551&quot;"/>
    <x v="2"/>
    <s v="Noida Extension"/>
    <s v="Satguru Ram Singh Marg"/>
    <s v="null"/>
    <s v="null"/>
    <s v="null"/>
    <s v="null"/>
    <s v="null"/>
    <s v="null"/>
    <s v="null"/>
    <s v="null"/>
    <s v="null"/>
    <s v="null"/>
    <s v="null"/>
    <s v="null"/>
    <s v="null"/>
  </r>
  <r>
    <d v="2024-11-13T00:00:00"/>
    <s v="November"/>
    <d v="1899-12-30T14:21:46"/>
    <s v="&quot;CNR4233198&quot;"/>
    <s v="Cancelled by Customer"/>
    <s v="&quot;CID5829748&quot;"/>
    <x v="1"/>
    <s v="Paharganj"/>
    <s v="Kirti Nagar"/>
    <n v="18.7"/>
    <s v="null"/>
    <n v="1"/>
    <s v="Change of plans"/>
    <s v="null"/>
    <s v="null"/>
    <s v="null"/>
    <s v="null"/>
    <s v="null"/>
    <s v="null"/>
    <s v="null"/>
    <s v="null"/>
    <s v="null"/>
  </r>
  <r>
    <d v="2024-10-08T00:00:00"/>
    <s v="October"/>
    <d v="1899-12-30T17:07:24"/>
    <s v="&quot;CNR5271440&quot;"/>
    <s v="Cancelled by Driver"/>
    <s v="&quot;CID5739102&quot;"/>
    <x v="3"/>
    <s v="Sarai Kale Khan"/>
    <s v="South Extension"/>
    <n v="5.0999999999999996"/>
    <s v="null"/>
    <s v="null"/>
    <s v="null"/>
    <n v="1"/>
    <s v="More than permitted people in there"/>
    <s v="null"/>
    <s v="null"/>
    <s v="null"/>
    <s v="null"/>
    <s v="null"/>
    <s v="null"/>
    <s v="null"/>
  </r>
  <r>
    <d v="2024-07-07T00:00:00"/>
    <s v="July"/>
    <d v="1899-12-30T10:34:20"/>
    <s v="&quot;CNR3150116&quot;"/>
    <s v="No Driver Found"/>
    <s v="&quot;CID6616144&quot;"/>
    <x v="2"/>
    <s v="Shahdara"/>
    <s v="Greater Kailash"/>
    <s v="null"/>
    <s v="null"/>
    <s v="null"/>
    <s v="null"/>
    <s v="null"/>
    <s v="null"/>
    <s v="null"/>
    <s v="null"/>
    <s v="null"/>
    <s v="null"/>
    <s v="null"/>
    <s v="null"/>
    <s v="null"/>
  </r>
  <r>
    <d v="2024-10-11T00:00:00"/>
    <s v="October"/>
    <d v="1899-12-30T18:30:43"/>
    <s v="&quot;CNR7095548&quot;"/>
    <s v="Completed"/>
    <s v="&quot;CID4174760&quot;"/>
    <x v="1"/>
    <s v="Subhash Chowk"/>
    <s v="Maidan Garhi"/>
    <n v="11.5"/>
    <n v="17.8"/>
    <s v="null"/>
    <s v="null"/>
    <s v="null"/>
    <s v="null"/>
    <s v="null"/>
    <s v="null"/>
    <n v="854"/>
    <n v="32.22"/>
    <n v="4.7"/>
    <n v="3.9"/>
    <s v="Debit Card"/>
  </r>
  <r>
    <d v="2024-04-09T00:00:00"/>
    <s v="April"/>
    <d v="1899-12-30T19:41:53"/>
    <s v="&quot;CNR8936413&quot;"/>
    <s v="Completed"/>
    <s v="&quot;CID7138023&quot;"/>
    <x v="4"/>
    <s v="Hauz Khas"/>
    <s v="Old Gurgaon"/>
    <n v="5.8"/>
    <n v="29.8"/>
    <s v="null"/>
    <s v="null"/>
    <s v="null"/>
    <s v="null"/>
    <s v="null"/>
    <s v="null"/>
    <n v="818"/>
    <n v="35.24"/>
    <n v="4.5999999999999996"/>
    <n v="4.5999999999999996"/>
    <s v="Cash"/>
  </r>
  <r>
    <d v="2024-08-04T00:00:00"/>
    <s v="August"/>
    <d v="1899-12-30T11:30:02"/>
    <s v="&quot;CNR3698954&quot;"/>
    <s v="Cancelled by Customer"/>
    <s v="&quot;CID4375770&quot;"/>
    <x v="4"/>
    <s v="Gwal Pahari"/>
    <s v="Palam Vihar"/>
    <n v="17"/>
    <s v="null"/>
    <n v="1"/>
    <s v="Change of plans"/>
    <s v="null"/>
    <s v="null"/>
    <s v="null"/>
    <s v="null"/>
    <s v="null"/>
    <s v="null"/>
    <s v="null"/>
    <s v="null"/>
    <s v="null"/>
  </r>
  <r>
    <d v="2024-08-13T00:00:00"/>
    <s v="August"/>
    <d v="1899-12-30T14:22:19"/>
    <s v="&quot;CNR7660356&quot;"/>
    <s v="Completed"/>
    <s v="&quot;CID3275292&quot;"/>
    <x v="2"/>
    <s v="Botanical Garden"/>
    <s v="Subhash Nagar"/>
    <n v="4.4000000000000004"/>
    <n v="23.6"/>
    <s v="null"/>
    <s v="null"/>
    <s v="null"/>
    <s v="null"/>
    <s v="null"/>
    <s v="null"/>
    <n v="620"/>
    <n v="17.63"/>
    <n v="3.1"/>
    <n v="4.9000000000000004"/>
    <s v="Debit Card"/>
  </r>
  <r>
    <d v="2024-06-08T00:00:00"/>
    <s v="June"/>
    <d v="1899-12-30T20:19:34"/>
    <s v="&quot;CNR1879548&quot;"/>
    <s v="Completed"/>
    <s v="&quot;CID3383998&quot;"/>
    <x v="1"/>
    <s v="Vaishali"/>
    <s v="Sushant Lok"/>
    <n v="14.6"/>
    <n v="40.299999999999997"/>
    <s v="null"/>
    <s v="null"/>
    <s v="null"/>
    <s v="null"/>
    <s v="null"/>
    <s v="null"/>
    <n v="556"/>
    <n v="11.56"/>
    <n v="3.2"/>
    <n v="4.5999999999999996"/>
    <s v="UPI"/>
  </r>
  <r>
    <d v="2024-09-11T00:00:00"/>
    <s v="September"/>
    <d v="1899-12-30T12:30:28"/>
    <s v="&quot;CNR7758297&quot;"/>
    <s v="Cancelled by Driver"/>
    <s v="&quot;CID2361664&quot;"/>
    <x v="4"/>
    <s v="Patel Chowk"/>
    <s v="Ghitorni Village"/>
    <n v="3.6"/>
    <s v="null"/>
    <s v="null"/>
    <s v="null"/>
    <n v="1"/>
    <s v="More than permitted people in there"/>
    <s v="null"/>
    <s v="null"/>
    <s v="null"/>
    <s v="null"/>
    <s v="null"/>
    <s v="null"/>
    <s v="null"/>
  </r>
  <r>
    <d v="2024-06-12T00:00:00"/>
    <s v="June"/>
    <d v="1899-12-30T21:04:26"/>
    <s v="&quot;CNR4271932&quot;"/>
    <s v="Cancelled by Driver"/>
    <s v="&quot;CID2081167&quot;"/>
    <x v="2"/>
    <s v="DLF Phase 3"/>
    <s v="Delhi Gate"/>
    <n v="11.1"/>
    <s v="null"/>
    <s v="null"/>
    <s v="null"/>
    <n v="1"/>
    <s v="The customer was coughing/sick"/>
    <s v="null"/>
    <s v="null"/>
    <s v="null"/>
    <s v="null"/>
    <s v="null"/>
    <s v="null"/>
    <s v="null"/>
  </r>
  <r>
    <d v="2024-07-02T00:00:00"/>
    <s v="July"/>
    <d v="1899-12-30T06:54:15"/>
    <s v="&quot;CNR1862594&quot;"/>
    <s v="Cancelled by Driver"/>
    <s v="&quot;CID6087146&quot;"/>
    <x v="4"/>
    <s v="Kirti Nagar"/>
    <s v="Malviya Nagar"/>
    <n v="11.8"/>
    <s v="null"/>
    <s v="null"/>
    <s v="null"/>
    <n v="1"/>
    <s v="Personal &amp; Car related issues"/>
    <s v="null"/>
    <s v="null"/>
    <s v="null"/>
    <s v="null"/>
    <s v="null"/>
    <s v="null"/>
    <s v="null"/>
  </r>
  <r>
    <d v="2024-05-27T00:00:00"/>
    <s v="May"/>
    <d v="1899-12-30T12:02:42"/>
    <s v="&quot;CNR1850833&quot;"/>
    <s v="Cancelled by Customer"/>
    <s v="&quot;CID5491749&quot;"/>
    <x v="1"/>
    <s v="Okhla"/>
    <s v="Mehrauli"/>
    <n v="15.5"/>
    <s v="null"/>
    <n v="1"/>
    <s v="Wrong Address"/>
    <s v="null"/>
    <s v="null"/>
    <s v="null"/>
    <s v="null"/>
    <s v="null"/>
    <s v="null"/>
    <s v="null"/>
    <s v="null"/>
    <s v="null"/>
  </r>
  <r>
    <d v="2024-12-02T00:00:00"/>
    <s v="December"/>
    <d v="1899-12-30T22:09:03"/>
    <s v="&quot;CNR1339167&quot;"/>
    <s v="Completed"/>
    <s v="&quot;CID8972009&quot;"/>
    <x v="2"/>
    <s v="Ashok Vihar"/>
    <s v="Sarai Kale Khan"/>
    <n v="7.3"/>
    <n v="24.6"/>
    <s v="null"/>
    <s v="null"/>
    <s v="null"/>
    <s v="null"/>
    <s v="null"/>
    <s v="null"/>
    <n v="652"/>
    <n v="47.1"/>
    <n v="4.2"/>
    <n v="4.3"/>
    <s v="Cash"/>
  </r>
  <r>
    <d v="2024-07-30T00:00:00"/>
    <s v="July"/>
    <d v="1899-12-30T06:26:20"/>
    <s v="&quot;CNR6633026&quot;"/>
    <s v="No Driver Found"/>
    <s v="&quot;CID7704764&quot;"/>
    <x v="5"/>
    <s v="Pitampura"/>
    <s v="GTB Nagar"/>
    <s v="null"/>
    <s v="null"/>
    <s v="null"/>
    <s v="null"/>
    <s v="null"/>
    <s v="null"/>
    <s v="null"/>
    <s v="null"/>
    <s v="null"/>
    <s v="null"/>
    <s v="null"/>
    <s v="null"/>
    <s v="null"/>
  </r>
  <r>
    <d v="2024-02-19T00:00:00"/>
    <s v="February"/>
    <d v="1899-12-30T19:22:22"/>
    <s v="&quot;CNR8471962&quot;"/>
    <s v="Completed"/>
    <s v="&quot;CID8507268&quot;"/>
    <x v="5"/>
    <s v="Satguru Ram Singh Marg"/>
    <s v="Dwarka Mor"/>
    <n v="4"/>
    <n v="40.700000000000003"/>
    <s v="null"/>
    <s v="null"/>
    <s v="null"/>
    <s v="null"/>
    <s v="null"/>
    <s v="null"/>
    <n v="399"/>
    <n v="14.59"/>
    <n v="4.3"/>
    <n v="4.3"/>
    <s v="Uber Wallet"/>
  </r>
  <r>
    <d v="2024-10-29T00:00:00"/>
    <s v="October"/>
    <d v="1899-12-30T16:58:45"/>
    <s v="&quot;CNR2065228&quot;"/>
    <s v="Completed"/>
    <s v="&quot;CID5475464&quot;"/>
    <x v="5"/>
    <s v="Shahdara"/>
    <s v="Ashok Vihar"/>
    <n v="2.6"/>
    <n v="23.8"/>
    <s v="null"/>
    <s v="null"/>
    <s v="null"/>
    <s v="null"/>
    <s v="null"/>
    <s v="null"/>
    <n v="662"/>
    <n v="7.96"/>
    <n v="4.5999999999999996"/>
    <n v="3.2"/>
    <s v="UPI"/>
  </r>
  <r>
    <d v="2024-03-08T00:00:00"/>
    <s v="March"/>
    <d v="1899-12-30T12:22:03"/>
    <s v="&quot;CNR6094728&quot;"/>
    <s v="Completed"/>
    <s v="&quot;CID6723202&quot;"/>
    <x v="5"/>
    <s v="IGNOU Road"/>
    <s v="Bhikaji Cama Place"/>
    <n v="8.3000000000000007"/>
    <n v="42.8"/>
    <s v="null"/>
    <s v="null"/>
    <s v="null"/>
    <s v="null"/>
    <s v="null"/>
    <s v="null"/>
    <n v="743"/>
    <n v="46.76"/>
    <n v="4.3"/>
    <n v="3.5"/>
    <s v="UPI"/>
  </r>
  <r>
    <d v="2024-04-08T00:00:00"/>
    <s v="April"/>
    <d v="1899-12-30T12:24:11"/>
    <s v="&quot;CNR9293589&quot;"/>
    <s v="Completed"/>
    <s v="&quot;CID3024780&quot;"/>
    <x v="1"/>
    <s v="Noida Extension"/>
    <s v="Karol Bagh"/>
    <n v="8.8000000000000007"/>
    <n v="36"/>
    <s v="null"/>
    <s v="null"/>
    <s v="null"/>
    <s v="null"/>
    <s v="null"/>
    <s v="null"/>
    <n v="865"/>
    <n v="24.67"/>
    <n v="4.5999999999999996"/>
    <n v="4.8"/>
    <s v="Credit Card"/>
  </r>
  <r>
    <d v="2024-07-24T00:00:00"/>
    <s v="July"/>
    <d v="1899-12-30T17:43:59"/>
    <s v="&quot;CNR3988951&quot;"/>
    <s v="Completed"/>
    <s v="&quot;CID2055059&quot;"/>
    <x v="3"/>
    <s v="IGI Airport"/>
    <s v="Manesar"/>
    <n v="7.6"/>
    <n v="44.2"/>
    <s v="null"/>
    <s v="null"/>
    <s v="null"/>
    <s v="null"/>
    <s v="null"/>
    <s v="null"/>
    <n v="222"/>
    <n v="24.33"/>
    <n v="4.0999999999999996"/>
    <n v="4.9000000000000004"/>
    <s v="UPI"/>
  </r>
  <r>
    <d v="2024-09-08T00:00:00"/>
    <s v="September"/>
    <d v="1899-12-30T09:10:58"/>
    <s v="&quot;CNR8509244&quot;"/>
    <s v="Cancelled by Customer"/>
    <s v="&quot;CID9196634&quot;"/>
    <x v="3"/>
    <s v="Botanical Garden"/>
    <s v="Kadarpur"/>
    <n v="7.3"/>
    <s v="null"/>
    <n v="1"/>
    <s v="Change of plans"/>
    <s v="null"/>
    <s v="null"/>
    <s v="null"/>
    <s v="null"/>
    <s v="null"/>
    <s v="null"/>
    <s v="null"/>
    <s v="null"/>
    <s v="null"/>
  </r>
  <r>
    <d v="2024-04-05T00:00:00"/>
    <s v="April"/>
    <d v="1899-12-30T15:49:47"/>
    <s v="&quot;CNR2416583&quot;"/>
    <s v="Completed"/>
    <s v="&quot;CID3611450&quot;"/>
    <x v="2"/>
    <s v="Model Town"/>
    <s v="Ashok Park Main"/>
    <n v="9.8000000000000007"/>
    <n v="35.700000000000003"/>
    <s v="null"/>
    <s v="null"/>
    <s v="null"/>
    <s v="null"/>
    <s v="null"/>
    <s v="null"/>
    <n v="57"/>
    <n v="28.51"/>
    <n v="4.5"/>
    <n v="4.9000000000000004"/>
    <s v="Debit Card"/>
  </r>
  <r>
    <d v="2024-08-26T00:00:00"/>
    <s v="August"/>
    <d v="1899-12-30T19:12:18"/>
    <s v="&quot;CNR2876939&quot;"/>
    <s v="Completed"/>
    <s v="&quot;CID4237098&quot;"/>
    <x v="1"/>
    <s v="Sonipat"/>
    <s v="Kanhaiya Nagar"/>
    <n v="13.7"/>
    <n v="39.5"/>
    <s v="null"/>
    <s v="null"/>
    <s v="null"/>
    <s v="null"/>
    <s v="null"/>
    <s v="null"/>
    <n v="104"/>
    <n v="43.67"/>
    <n v="4.3"/>
    <n v="4"/>
    <s v="UPI"/>
  </r>
  <r>
    <d v="2024-11-05T00:00:00"/>
    <s v="November"/>
    <d v="1899-12-30T19:26:40"/>
    <s v="&quot;CNR4779728&quot;"/>
    <s v="No Driver Found"/>
    <s v="&quot;CID9557780&quot;"/>
    <x v="1"/>
    <s v="Kashmere Gate ISBT"/>
    <s v="Pragati Maidan"/>
    <s v="null"/>
    <s v="null"/>
    <s v="null"/>
    <s v="null"/>
    <s v="null"/>
    <s v="null"/>
    <s v="null"/>
    <s v="null"/>
    <s v="null"/>
    <s v="null"/>
    <s v="null"/>
    <s v="null"/>
    <s v="null"/>
  </r>
  <r>
    <d v="2024-06-30T00:00:00"/>
    <s v="June"/>
    <d v="1899-12-30T19:31:04"/>
    <s v="&quot;CNR1906607&quot;"/>
    <s v="Completed"/>
    <s v="&quot;CID8863025&quot;"/>
    <x v="4"/>
    <s v="Mehrauli"/>
    <s v="Tis Hazari"/>
    <n v="10.8"/>
    <n v="42.1"/>
    <s v="null"/>
    <s v="null"/>
    <s v="null"/>
    <s v="null"/>
    <s v="null"/>
    <s v="null"/>
    <n v="1241"/>
    <n v="29.38"/>
    <n v="4.2"/>
    <n v="4.2"/>
    <s v="Debit Card"/>
  </r>
  <r>
    <d v="2024-07-18T00:00:00"/>
    <s v="July"/>
    <d v="1899-12-30T15:24:49"/>
    <s v="&quot;CNR4652883&quot;"/>
    <s v="Cancelled by Driver"/>
    <s v="&quot;CID3266133&quot;"/>
    <x v="2"/>
    <s v="Hauz Khas"/>
    <s v="Manesar"/>
    <n v="7.4"/>
    <s v="null"/>
    <s v="null"/>
    <s v="null"/>
    <n v="1"/>
    <s v="More than permitted people in there"/>
    <s v="null"/>
    <s v="null"/>
    <s v="null"/>
    <s v="null"/>
    <s v="null"/>
    <s v="null"/>
    <s v="null"/>
  </r>
  <r>
    <d v="2024-05-02T00:00:00"/>
    <s v="May"/>
    <d v="1899-12-30T18:18:28"/>
    <s v="&quot;CNR7174467&quot;"/>
    <s v="Completed"/>
    <s v="&quot;CID5465827&quot;"/>
    <x v="1"/>
    <s v="Kashmere Gate"/>
    <s v="Gurgaon Sector 56"/>
    <n v="14.1"/>
    <n v="20.5"/>
    <s v="null"/>
    <s v="null"/>
    <s v="null"/>
    <s v="null"/>
    <s v="null"/>
    <s v="null"/>
    <n v="95"/>
    <n v="25.04"/>
    <n v="3.8"/>
    <n v="4.5999999999999996"/>
    <s v="Credit Card"/>
  </r>
  <r>
    <d v="2024-06-03T00:00:00"/>
    <s v="June"/>
    <d v="1899-12-30T08:35:40"/>
    <s v="&quot;CNR5474402&quot;"/>
    <s v="Completed"/>
    <s v="&quot;CID6900692&quot;"/>
    <x v="2"/>
    <s v="Lajpat Nagar"/>
    <s v="Noida Sector 18"/>
    <n v="7.8"/>
    <n v="21.8"/>
    <s v="null"/>
    <s v="null"/>
    <s v="null"/>
    <s v="null"/>
    <s v="null"/>
    <s v="null"/>
    <n v="266"/>
    <n v="28.28"/>
    <n v="4.7"/>
    <n v="4.3"/>
    <s v="Uber Wallet"/>
  </r>
  <r>
    <d v="2024-10-22T00:00:00"/>
    <s v="October"/>
    <d v="1899-12-30T18:56:04"/>
    <s v="&quot;CNR2187888&quot;"/>
    <s v="Completed"/>
    <s v="&quot;CID1586071&quot;"/>
    <x v="0"/>
    <s v="Chanakyapuri"/>
    <s v="Qutub Minar"/>
    <n v="7.3"/>
    <n v="15.5"/>
    <s v="null"/>
    <s v="null"/>
    <s v="null"/>
    <s v="null"/>
    <s v="null"/>
    <s v="null"/>
    <n v="694"/>
    <n v="28.75"/>
    <n v="4.4000000000000004"/>
    <n v="4.7"/>
    <s v="Credit Card"/>
  </r>
  <r>
    <d v="2024-02-16T00:00:00"/>
    <s v="February"/>
    <d v="1899-12-30T17:55:21"/>
    <s v="&quot;CNR8403061&quot;"/>
    <s v="Completed"/>
    <s v="&quot;CID5865925&quot;"/>
    <x v="3"/>
    <s v="Narsinghpur"/>
    <s v="Udyog Vihar"/>
    <n v="12.6"/>
    <n v="27.7"/>
    <s v="null"/>
    <s v="null"/>
    <s v="null"/>
    <s v="null"/>
    <s v="null"/>
    <s v="null"/>
    <n v="375"/>
    <n v="31.28"/>
    <n v="4.0999999999999996"/>
    <n v="4.3"/>
    <s v="Uber Wallet"/>
  </r>
  <r>
    <d v="2024-01-22T00:00:00"/>
    <s v="January"/>
    <d v="1899-12-30T16:42:51"/>
    <s v="&quot;CNR6078220&quot;"/>
    <s v="Cancelled by Customer"/>
    <s v="&quot;CID6744764&quot;"/>
    <x v="3"/>
    <s v="Faridabad Sector 15"/>
    <s v="Tagore Garden"/>
    <n v="20"/>
    <s v="null"/>
    <n v="1"/>
    <s v="Change of plans"/>
    <s v="null"/>
    <s v="null"/>
    <s v="null"/>
    <s v="null"/>
    <s v="null"/>
    <s v="null"/>
    <s v="null"/>
    <s v="null"/>
    <s v="null"/>
  </r>
  <r>
    <d v="2024-12-22T00:00:00"/>
    <s v="December"/>
    <d v="1899-12-30T08:16:21"/>
    <s v="&quot;CNR3131454&quot;"/>
    <s v="Completed"/>
    <s v="&quot;CID8718968&quot;"/>
    <x v="1"/>
    <s v="INA Market"/>
    <s v="Gurgaon Sector 56"/>
    <n v="10"/>
    <n v="41.1"/>
    <s v="null"/>
    <s v="null"/>
    <s v="null"/>
    <s v="null"/>
    <s v="null"/>
    <s v="null"/>
    <n v="1459"/>
    <n v="38.97"/>
    <n v="4.5"/>
    <n v="4.3"/>
    <s v="Credit Card"/>
  </r>
  <r>
    <d v="2024-12-09T00:00:00"/>
    <s v="December"/>
    <d v="1899-12-30T10:10:46"/>
    <s v="&quot;CNR1063019&quot;"/>
    <s v="Completed"/>
    <s v="&quot;CID3475910&quot;"/>
    <x v="2"/>
    <s v="Udyog Bhawan"/>
    <s v="Akshardham"/>
    <n v="2.2999999999999998"/>
    <n v="16.5"/>
    <s v="null"/>
    <s v="null"/>
    <s v="null"/>
    <s v="null"/>
    <s v="null"/>
    <s v="null"/>
    <n v="174"/>
    <n v="41.64"/>
    <n v="4.3"/>
    <n v="4.2"/>
    <s v="UPI"/>
  </r>
  <r>
    <d v="2024-03-17T00:00:00"/>
    <s v="March"/>
    <d v="1899-12-30T10:46:51"/>
    <s v="&quot;CNR9098064&quot;"/>
    <s v="Cancelled by Driver"/>
    <s v="&quot;CID4848656&quot;"/>
    <x v="2"/>
    <s v="Kashmere Gate ISBT"/>
    <s v="Sarojini Nagar"/>
    <n v="10.8"/>
    <s v="null"/>
    <s v="null"/>
    <s v="null"/>
    <n v="1"/>
    <s v="Personal &amp; Car related issues"/>
    <s v="null"/>
    <s v="null"/>
    <s v="null"/>
    <s v="null"/>
    <s v="null"/>
    <s v="null"/>
    <s v="null"/>
  </r>
  <r>
    <d v="2024-07-02T00:00:00"/>
    <s v="July"/>
    <d v="1899-12-30T13:51:45"/>
    <s v="&quot;CNR3487507&quot;"/>
    <s v="Completed"/>
    <s v="&quot;CID5113216&quot;"/>
    <x v="0"/>
    <s v="Kashmere Gate ISBT"/>
    <s v="Patel Chowk"/>
    <n v="8"/>
    <n v="18.600000000000001"/>
    <s v="null"/>
    <s v="null"/>
    <s v="null"/>
    <s v="null"/>
    <s v="null"/>
    <s v="null"/>
    <n v="416"/>
    <n v="22.34"/>
    <n v="4.0999999999999996"/>
    <n v="3.5"/>
    <s v="Cash"/>
  </r>
  <r>
    <d v="2024-02-14T00:00:00"/>
    <s v="February"/>
    <d v="1899-12-30T09:41:43"/>
    <s v="&quot;CNR7344928&quot;"/>
    <s v="Completed"/>
    <s v="&quot;CID6662231&quot;"/>
    <x v="2"/>
    <s v="Vidhan Sabha"/>
    <s v="Badarpur"/>
    <n v="7.9"/>
    <n v="23.4"/>
    <s v="null"/>
    <s v="null"/>
    <s v="null"/>
    <s v="null"/>
    <s v="null"/>
    <s v="null"/>
    <n v="1077"/>
    <n v="28.53"/>
    <n v="4.4000000000000004"/>
    <n v="4.8"/>
    <s v="Cash"/>
  </r>
  <r>
    <d v="2024-07-20T00:00:00"/>
    <s v="July"/>
    <d v="1899-12-30T12:37:54"/>
    <s v="&quot;CNR4208370&quot;"/>
    <s v="Cancelled by Driver"/>
    <s v="&quot;CID5296529&quot;"/>
    <x v="4"/>
    <s v="Kadarpur"/>
    <s v="Kashmere Gate"/>
    <n v="7.3"/>
    <s v="null"/>
    <s v="null"/>
    <s v="null"/>
    <n v="1"/>
    <s v="The customer was coughing/sick"/>
    <s v="null"/>
    <s v="null"/>
    <s v="null"/>
    <s v="null"/>
    <s v="null"/>
    <s v="null"/>
    <s v="null"/>
  </r>
  <r>
    <d v="2024-01-01T00:00:00"/>
    <s v="January"/>
    <d v="1899-12-30T17:26:26"/>
    <s v="&quot;CNR4423001&quot;"/>
    <s v="Cancelled by Driver"/>
    <s v="&quot;CID6188095&quot;"/>
    <x v="4"/>
    <s v="IGNOU Road"/>
    <s v="Bhikaji Cama Place"/>
    <n v="7.8"/>
    <s v="null"/>
    <s v="null"/>
    <s v="null"/>
    <n v="1"/>
    <s v="The customer was coughing/sick"/>
    <s v="null"/>
    <s v="null"/>
    <s v="null"/>
    <s v="null"/>
    <s v="null"/>
    <s v="null"/>
    <s v="null"/>
  </r>
  <r>
    <d v="2024-02-12T00:00:00"/>
    <s v="February"/>
    <d v="1899-12-30T10:54:27"/>
    <s v="&quot;CNR4562372&quot;"/>
    <s v="Incomplete"/>
    <s v="&quot;CID9991179&quot;"/>
    <x v="3"/>
    <s v="Karol Bagh"/>
    <s v="Kalkaji"/>
    <n v="5.6"/>
    <n v="23.2"/>
    <s v="null"/>
    <s v="null"/>
    <s v="null"/>
    <s v="null"/>
    <n v="1"/>
    <s v="Customer Demand"/>
    <n v="278"/>
    <n v="14.22"/>
    <s v="null"/>
    <s v="null"/>
    <s v="UPI"/>
  </r>
  <r>
    <d v="2024-11-18T00:00:00"/>
    <s v="November"/>
    <d v="1899-12-30T21:36:15"/>
    <s v="&quot;CNR7979297&quot;"/>
    <s v="No Driver Found"/>
    <s v="&quot;CID7031065&quot;"/>
    <x v="3"/>
    <s v="Preet Vihar"/>
    <s v="Kalkaji"/>
    <s v="null"/>
    <s v="null"/>
    <s v="null"/>
    <s v="null"/>
    <s v="null"/>
    <s v="null"/>
    <s v="null"/>
    <s v="null"/>
    <s v="null"/>
    <s v="null"/>
    <s v="null"/>
    <s v="null"/>
    <s v="null"/>
  </r>
  <r>
    <d v="2024-03-14T00:00:00"/>
    <s v="March"/>
    <d v="1899-12-30T11:19:54"/>
    <s v="&quot;CNR2590172&quot;"/>
    <s v="Completed"/>
    <s v="&quot;CID2731380&quot;"/>
    <x v="5"/>
    <s v="Chhatarpur"/>
    <s v="Akshardham"/>
    <n v="7.2"/>
    <n v="42.1"/>
    <s v="null"/>
    <s v="null"/>
    <s v="null"/>
    <s v="null"/>
    <s v="null"/>
    <s v="null"/>
    <n v="491"/>
    <n v="10.77"/>
    <n v="4.2"/>
    <n v="4.3"/>
    <s v="UPI"/>
  </r>
  <r>
    <d v="2024-01-10T00:00:00"/>
    <s v="January"/>
    <d v="1899-12-30T18:26:30"/>
    <s v="&quot;CNR8331775&quot;"/>
    <s v="Completed"/>
    <s v="&quot;CID6450159&quot;"/>
    <x v="2"/>
    <s v="Netaji Subhash Place"/>
    <s v="Indirapuram"/>
    <n v="4.7"/>
    <n v="39.700000000000003"/>
    <s v="null"/>
    <s v="null"/>
    <s v="null"/>
    <s v="null"/>
    <s v="null"/>
    <s v="null"/>
    <n v="394"/>
    <n v="45.56"/>
    <n v="4.7"/>
    <n v="4.8"/>
    <s v="Cash"/>
  </r>
  <r>
    <d v="2024-04-15T00:00:00"/>
    <s v="April"/>
    <d v="1899-12-30T10:45:59"/>
    <s v="&quot;CNR6285364&quot;"/>
    <s v="Cancelled by Driver"/>
    <s v="&quot;CID3279345&quot;"/>
    <x v="3"/>
    <s v="Ramesh Nagar"/>
    <s v="Civil Lines Gurgaon"/>
    <n v="9.5"/>
    <s v="null"/>
    <s v="null"/>
    <s v="null"/>
    <n v="1"/>
    <s v="More than permitted people in there"/>
    <s v="null"/>
    <s v="null"/>
    <s v="null"/>
    <s v="null"/>
    <s v="null"/>
    <s v="null"/>
    <s v="null"/>
  </r>
  <r>
    <d v="2024-01-19T00:00:00"/>
    <s v="January"/>
    <d v="1899-12-30T19:44:00"/>
    <s v="&quot;CNR3527441&quot;"/>
    <s v="Completed"/>
    <s v="&quot;CID1361921&quot;"/>
    <x v="4"/>
    <s v="Madipur"/>
    <s v="Gurgaon Sector 29"/>
    <n v="3.8"/>
    <n v="15.5"/>
    <s v="null"/>
    <s v="null"/>
    <s v="null"/>
    <s v="null"/>
    <s v="null"/>
    <s v="null"/>
    <n v="325"/>
    <n v="34.049999999999997"/>
    <n v="4.9000000000000004"/>
    <n v="4.5"/>
    <s v="Credit Card"/>
  </r>
  <r>
    <d v="2024-09-09T00:00:00"/>
    <s v="September"/>
    <d v="1899-12-30T09:59:19"/>
    <s v="&quot;CNR5408466&quot;"/>
    <s v="Completed"/>
    <s v="&quot;CID1868442&quot;"/>
    <x v="2"/>
    <s v="Badshahpur"/>
    <s v="Faridabad Sector 15"/>
    <n v="9.1999999999999993"/>
    <n v="20.399999999999999"/>
    <s v="null"/>
    <s v="null"/>
    <s v="null"/>
    <s v="null"/>
    <s v="null"/>
    <s v="null"/>
    <n v="956"/>
    <n v="7"/>
    <n v="4.7"/>
    <n v="4.0999999999999996"/>
    <s v="Cash"/>
  </r>
  <r>
    <d v="2024-03-13T00:00:00"/>
    <s v="March"/>
    <d v="1899-12-30T12:22:15"/>
    <s v="&quot;CNR5851466&quot;"/>
    <s v="Completed"/>
    <s v="&quot;CID8072951&quot;"/>
    <x v="5"/>
    <s v="Anand Vihar ISBT"/>
    <s v="Raj Nagar Extension"/>
    <n v="11.3"/>
    <n v="31.7"/>
    <s v="null"/>
    <s v="null"/>
    <s v="null"/>
    <s v="null"/>
    <s v="null"/>
    <s v="null"/>
    <n v="214"/>
    <n v="18.39"/>
    <n v="4.2"/>
    <n v="4.2"/>
    <s v="UPI"/>
  </r>
  <r>
    <d v="2024-02-14T00:00:00"/>
    <s v="February"/>
    <d v="1899-12-30T10:46:31"/>
    <s v="&quot;CNR8311436&quot;"/>
    <s v="Completed"/>
    <s v="&quot;CID5650687&quot;"/>
    <x v="2"/>
    <s v="Jasola"/>
    <s v="Pitampura"/>
    <n v="11"/>
    <n v="37.700000000000003"/>
    <s v="null"/>
    <s v="null"/>
    <s v="null"/>
    <s v="null"/>
    <s v="null"/>
    <s v="null"/>
    <n v="352"/>
    <n v="2.65"/>
    <n v="4.3"/>
    <n v="4.2"/>
    <s v="Debit Card"/>
  </r>
  <r>
    <d v="2024-07-17T00:00:00"/>
    <s v="July"/>
    <d v="1899-12-30T10:09:27"/>
    <s v="&quot;CNR7867304&quot;"/>
    <s v="Completed"/>
    <s v="&quot;CID7382209&quot;"/>
    <x v="1"/>
    <s v="Ashok Vihar"/>
    <s v="Raj Nagar Extension"/>
    <n v="8.8000000000000007"/>
    <n v="39.200000000000003"/>
    <s v="null"/>
    <s v="null"/>
    <s v="null"/>
    <s v="null"/>
    <s v="null"/>
    <s v="null"/>
    <n v="561"/>
    <n v="7.47"/>
    <n v="4.5999999999999996"/>
    <n v="4"/>
    <s v="UPI"/>
  </r>
  <r>
    <d v="2024-03-11T00:00:00"/>
    <s v="March"/>
    <d v="1899-12-30T17:04:31"/>
    <s v="&quot;CNR7389701&quot;"/>
    <s v="Completed"/>
    <s v="&quot;CID5092129&quot;"/>
    <x v="5"/>
    <s v="India Gate"/>
    <s v="Akshardham"/>
    <n v="5"/>
    <n v="37.1"/>
    <s v="null"/>
    <s v="null"/>
    <s v="null"/>
    <s v="null"/>
    <s v="null"/>
    <s v="null"/>
    <n v="109"/>
    <n v="49.32"/>
    <n v="4.2"/>
    <n v="4.8"/>
    <s v="Uber Wallet"/>
  </r>
  <r>
    <d v="2024-04-13T00:00:00"/>
    <s v="April"/>
    <d v="1899-12-30T20:34:55"/>
    <s v="&quot;CNR8658191&quot;"/>
    <s v="Completed"/>
    <s v="&quot;CID4667107&quot;"/>
    <x v="5"/>
    <s v="Jhilmil"/>
    <s v="Chanakyapuri"/>
    <n v="2.7"/>
    <n v="42.3"/>
    <s v="null"/>
    <s v="null"/>
    <s v="null"/>
    <s v="null"/>
    <s v="null"/>
    <s v="null"/>
    <n v="1268"/>
    <n v="30.38"/>
    <n v="3.9"/>
    <n v="3.8"/>
    <s v="Uber Wallet"/>
  </r>
  <r>
    <d v="2024-02-06T00:00:00"/>
    <s v="February"/>
    <d v="1899-12-30T23:00:40"/>
    <s v="&quot;CNR8721367&quot;"/>
    <s v="Cancelled by Driver"/>
    <s v="&quot;CID8035793&quot;"/>
    <x v="4"/>
    <s v="RK Puram"/>
    <s v="Saket"/>
    <n v="4.3"/>
    <s v="null"/>
    <s v="null"/>
    <s v="null"/>
    <n v="1"/>
    <s v="Personal &amp; Car related issues"/>
    <s v="null"/>
    <s v="null"/>
    <s v="null"/>
    <s v="null"/>
    <s v="null"/>
    <s v="null"/>
    <s v="null"/>
  </r>
  <r>
    <d v="2024-06-21T00:00:00"/>
    <s v="June"/>
    <d v="1899-12-30T20:22:38"/>
    <s v="&quot;CNR3884384&quot;"/>
    <s v="Completed"/>
    <s v="&quot;CID8014396&quot;"/>
    <x v="2"/>
    <s v="Greater Kailash"/>
    <s v="Delhi Gate"/>
    <n v="13.7"/>
    <n v="18.399999999999999"/>
    <s v="null"/>
    <s v="null"/>
    <s v="null"/>
    <s v="null"/>
    <s v="null"/>
    <s v="null"/>
    <n v="83"/>
    <n v="39.83"/>
    <n v="4.0999999999999996"/>
    <n v="4.3"/>
    <s v="Cash"/>
  </r>
  <r>
    <d v="2024-11-22T00:00:00"/>
    <s v="November"/>
    <d v="1899-12-30T06:34:46"/>
    <s v="&quot;CNR3905714&quot;"/>
    <s v="No Driver Found"/>
    <s v="&quot;CID8931547&quot;"/>
    <x v="2"/>
    <s v="Janakpuri"/>
    <s v="Rajiv Chowk"/>
    <s v="null"/>
    <s v="null"/>
    <s v="null"/>
    <s v="null"/>
    <s v="null"/>
    <s v="null"/>
    <s v="null"/>
    <s v="null"/>
    <s v="null"/>
    <s v="null"/>
    <s v="null"/>
    <s v="null"/>
    <s v="null"/>
  </r>
  <r>
    <d v="2024-01-09T00:00:00"/>
    <s v="January"/>
    <d v="1899-12-30T23:46:48"/>
    <s v="&quot;CNR6152848&quot;"/>
    <s v="No Driver Found"/>
    <s v="&quot;CID3821860&quot;"/>
    <x v="5"/>
    <s v="Ghaziabad"/>
    <s v="Green Park"/>
    <s v="null"/>
    <s v="null"/>
    <s v="null"/>
    <s v="null"/>
    <s v="null"/>
    <s v="null"/>
    <s v="null"/>
    <s v="null"/>
    <s v="null"/>
    <s v="null"/>
    <s v="null"/>
    <s v="null"/>
    <s v="null"/>
  </r>
  <r>
    <d v="2024-11-08T00:00:00"/>
    <s v="November"/>
    <d v="1899-12-30T18:33:27"/>
    <s v="&quot;CNR2200859&quot;"/>
    <s v="Completed"/>
    <s v="&quot;CID6727040&quot;"/>
    <x v="4"/>
    <s v="Palam Vihar"/>
    <s v="Jama Masjid"/>
    <n v="12.6"/>
    <n v="17.7"/>
    <s v="null"/>
    <s v="null"/>
    <s v="null"/>
    <s v="null"/>
    <s v="null"/>
    <s v="null"/>
    <n v="300"/>
    <n v="36.450000000000003"/>
    <n v="4.9000000000000004"/>
    <n v="4.5999999999999996"/>
    <s v="Debit Card"/>
  </r>
  <r>
    <d v="2024-06-04T00:00:00"/>
    <s v="June"/>
    <d v="1899-12-30T23:48:15"/>
    <s v="&quot;CNR6640473&quot;"/>
    <s v="Cancelled by Driver"/>
    <s v="&quot;CID2669162&quot;"/>
    <x v="2"/>
    <s v="Akshardham"/>
    <s v="Karkarduma"/>
    <n v="8.6999999999999993"/>
    <s v="null"/>
    <s v="null"/>
    <s v="null"/>
    <n v="1"/>
    <s v="The customer was coughing/sick"/>
    <s v="null"/>
    <s v="null"/>
    <s v="null"/>
    <s v="null"/>
    <s v="null"/>
    <s v="null"/>
    <s v="null"/>
  </r>
  <r>
    <d v="2024-09-20T00:00:00"/>
    <s v="September"/>
    <d v="1899-12-30T04:02:11"/>
    <s v="&quot;CNR8602745&quot;"/>
    <s v="Cancelled by Driver"/>
    <s v="&quot;CID6173644&quot;"/>
    <x v="5"/>
    <s v="Badarpur"/>
    <s v="Nawada"/>
    <n v="3.3"/>
    <s v="null"/>
    <s v="null"/>
    <s v="null"/>
    <n v="1"/>
    <s v="Customer related issue"/>
    <s v="null"/>
    <s v="null"/>
    <s v="null"/>
    <s v="null"/>
    <s v="null"/>
    <s v="null"/>
    <s v="null"/>
  </r>
  <r>
    <d v="2024-06-15T00:00:00"/>
    <s v="June"/>
    <d v="1899-12-30T08:37:03"/>
    <s v="&quot;CNR9352835&quot;"/>
    <s v="Cancelled by Customer"/>
    <s v="&quot;CID4457487&quot;"/>
    <x v="2"/>
    <s v="Manesar"/>
    <s v="Old Gurgaon"/>
    <n v="8.4"/>
    <s v="null"/>
    <n v="1"/>
    <s v="Change of plans"/>
    <s v="null"/>
    <s v="null"/>
    <s v="null"/>
    <s v="null"/>
    <s v="null"/>
    <s v="null"/>
    <s v="null"/>
    <s v="null"/>
    <s v="null"/>
  </r>
  <r>
    <d v="2024-05-21T00:00:00"/>
    <s v="May"/>
    <d v="1899-12-30T12:39:47"/>
    <s v="&quot;CNR8100419&quot;"/>
    <s v="Cancelled by Driver"/>
    <s v="&quot;CID6692588&quot;"/>
    <x v="4"/>
    <s v="DLF Phase 3"/>
    <s v="GTB Nagar"/>
    <n v="4.9000000000000004"/>
    <s v="null"/>
    <s v="null"/>
    <s v="null"/>
    <n v="1"/>
    <s v="Customer related issue"/>
    <s v="null"/>
    <s v="null"/>
    <s v="null"/>
    <s v="null"/>
    <s v="null"/>
    <s v="null"/>
    <s v="null"/>
  </r>
  <r>
    <d v="2024-08-19T00:00:00"/>
    <s v="August"/>
    <d v="1899-12-30T16:08:28"/>
    <s v="&quot;CNR2814652&quot;"/>
    <s v="Completed"/>
    <s v="&quot;CID4581539&quot;"/>
    <x v="5"/>
    <s v="Gurgaon Sector 56"/>
    <s v="Civil Lines Gurgaon"/>
    <n v="7.7"/>
    <n v="43.8"/>
    <s v="null"/>
    <s v="null"/>
    <s v="null"/>
    <s v="null"/>
    <s v="null"/>
    <s v="null"/>
    <n v="275"/>
    <n v="23.54"/>
    <n v="4.5999999999999996"/>
    <n v="3.7"/>
    <s v="Cash"/>
  </r>
  <r>
    <d v="2024-06-12T00:00:00"/>
    <s v="June"/>
    <d v="1899-12-30T10:43:04"/>
    <s v="&quot;CNR8035837&quot;"/>
    <s v="Cancelled by Customer"/>
    <s v="&quot;CID8265637&quot;"/>
    <x v="2"/>
    <s v="Narsinghpur"/>
    <s v="Rajiv Chowk"/>
    <n v="16.8"/>
    <s v="null"/>
    <n v="1"/>
    <s v="Driver asked to cancel"/>
    <s v="null"/>
    <s v="null"/>
    <s v="null"/>
    <s v="null"/>
    <s v="null"/>
    <s v="null"/>
    <s v="null"/>
    <s v="null"/>
    <s v="null"/>
  </r>
  <r>
    <d v="2024-12-15T00:00:00"/>
    <s v="December"/>
    <d v="1899-12-30T19:35:52"/>
    <s v="&quot;CNR1848296&quot;"/>
    <s v="Cancelled by Customer"/>
    <s v="&quot;CID8604615&quot;"/>
    <x v="1"/>
    <s v="RK Puram"/>
    <s v="Arjangarh"/>
    <n v="8.9"/>
    <s v="null"/>
    <n v="1"/>
    <s v="Change of plans"/>
    <s v="null"/>
    <s v="null"/>
    <s v="null"/>
    <s v="null"/>
    <s v="null"/>
    <s v="null"/>
    <s v="null"/>
    <s v="null"/>
    <s v="null"/>
  </r>
  <r>
    <d v="2024-08-03T00:00:00"/>
    <s v="August"/>
    <d v="1899-12-30T19:40:06"/>
    <s v="&quot;CNR3979470&quot;"/>
    <s v="Completed"/>
    <s v="&quot;CID2119463&quot;"/>
    <x v="2"/>
    <s v="Mansarovar Park"/>
    <s v="Indraprastha"/>
    <n v="6.1"/>
    <n v="44.7"/>
    <s v="null"/>
    <s v="null"/>
    <s v="null"/>
    <s v="null"/>
    <s v="null"/>
    <s v="null"/>
    <n v="557"/>
    <n v="26.49"/>
    <n v="4.5"/>
    <n v="5"/>
    <s v="Debit Card"/>
  </r>
  <r>
    <d v="2024-03-18T00:00:00"/>
    <s v="March"/>
    <d v="1899-12-30T17:51:37"/>
    <s v="&quot;CNR2318755&quot;"/>
    <s v="No Driver Found"/>
    <s v="&quot;CID7837406&quot;"/>
    <x v="1"/>
    <s v="Kalkaji"/>
    <s v="Rohini West"/>
    <s v="null"/>
    <s v="null"/>
    <s v="null"/>
    <s v="null"/>
    <s v="null"/>
    <s v="null"/>
    <s v="null"/>
    <s v="null"/>
    <s v="null"/>
    <s v="null"/>
    <s v="null"/>
    <s v="null"/>
    <s v="null"/>
  </r>
  <r>
    <d v="2024-08-02T00:00:00"/>
    <s v="August"/>
    <d v="1899-12-30T17:22:18"/>
    <s v="&quot;CNR3360741&quot;"/>
    <s v="Completed"/>
    <s v="&quot;CID6511674&quot;"/>
    <x v="4"/>
    <s v="Rohini"/>
    <s v="Sadar Bazar Gurgaon"/>
    <n v="7.4"/>
    <n v="35.200000000000003"/>
    <s v="null"/>
    <s v="null"/>
    <s v="null"/>
    <s v="null"/>
    <s v="null"/>
    <s v="null"/>
    <n v="919"/>
    <n v="2.14"/>
    <n v="3.8"/>
    <n v="4.5999999999999996"/>
    <s v="Cash"/>
  </r>
  <r>
    <d v="2024-10-26T00:00:00"/>
    <s v="October"/>
    <d v="1899-12-30T16:45:01"/>
    <s v="&quot;CNR7710350&quot;"/>
    <s v="Cancelled by Driver"/>
    <s v="&quot;CID7033162&quot;"/>
    <x v="6"/>
    <s v="Welcome"/>
    <s v="Inderlok"/>
    <n v="8.9"/>
    <s v="null"/>
    <s v="null"/>
    <s v="null"/>
    <n v="1"/>
    <s v="Customer related issue"/>
    <s v="null"/>
    <s v="null"/>
    <s v="null"/>
    <s v="null"/>
    <s v="null"/>
    <s v="null"/>
    <s v="null"/>
  </r>
  <r>
    <d v="2024-05-11T00:00:00"/>
    <s v="May"/>
    <d v="1899-12-30T19:13:04"/>
    <s v="&quot;CNR6077256&quot;"/>
    <s v="Cancelled by Driver"/>
    <s v="&quot;CID8753757&quot;"/>
    <x v="5"/>
    <s v="Kirti Nagar"/>
    <s v="Punjabi Bagh"/>
    <n v="3.1"/>
    <s v="null"/>
    <s v="null"/>
    <s v="null"/>
    <n v="1"/>
    <s v="More than permitted people in there"/>
    <s v="null"/>
    <s v="null"/>
    <s v="null"/>
    <s v="null"/>
    <s v="null"/>
    <s v="null"/>
    <s v="null"/>
  </r>
  <r>
    <d v="2024-07-23T00:00:00"/>
    <s v="July"/>
    <d v="1899-12-30T18:21:40"/>
    <s v="&quot;CNR9047135&quot;"/>
    <s v="Completed"/>
    <s v="&quot;CID6857695&quot;"/>
    <x v="5"/>
    <s v="RK Puram"/>
    <s v="Arjangarh"/>
    <n v="14.9"/>
    <n v="30.5"/>
    <s v="null"/>
    <s v="null"/>
    <s v="null"/>
    <s v="null"/>
    <s v="null"/>
    <s v="null"/>
    <n v="135"/>
    <n v="43.35"/>
    <n v="4.2"/>
    <n v="4.5999999999999996"/>
    <s v="UPI"/>
  </r>
  <r>
    <d v="2024-05-28T00:00:00"/>
    <s v="May"/>
    <d v="1899-12-30T17:17:39"/>
    <s v="&quot;CNR2829477&quot;"/>
    <s v="Incomplete"/>
    <s v="&quot;CID8764825&quot;"/>
    <x v="0"/>
    <s v="India Gate"/>
    <s v="Mehrauli"/>
    <n v="5.0999999999999996"/>
    <n v="25.1"/>
    <s v="null"/>
    <s v="null"/>
    <s v="null"/>
    <s v="null"/>
    <n v="1"/>
    <s v="Other Issue"/>
    <n v="191"/>
    <n v="13.69"/>
    <s v="null"/>
    <s v="null"/>
    <s v="Uber Wallet"/>
  </r>
  <r>
    <d v="2024-12-18T00:00:00"/>
    <s v="December"/>
    <d v="1899-12-30T11:51:56"/>
    <s v="&quot;CNR6570807&quot;"/>
    <s v="Cancelled by Driver"/>
    <s v="&quot;CID5965629&quot;"/>
    <x v="1"/>
    <s v="Shivaji Park"/>
    <s v="Aya Nagar"/>
    <n v="3.8"/>
    <s v="null"/>
    <s v="null"/>
    <s v="null"/>
    <n v="1"/>
    <s v="Personal &amp; Car related issues"/>
    <s v="null"/>
    <s v="null"/>
    <s v="null"/>
    <s v="null"/>
    <s v="null"/>
    <s v="null"/>
    <s v="null"/>
  </r>
  <r>
    <d v="2024-12-28T00:00:00"/>
    <s v="December"/>
    <d v="1899-12-30T09:33:34"/>
    <s v="&quot;CNR4783118&quot;"/>
    <s v="Completed"/>
    <s v="&quot;CID3710964&quot;"/>
    <x v="6"/>
    <s v="Sadar Bazar Gurgaon"/>
    <s v="Arjangarh"/>
    <n v="10.8"/>
    <n v="24.9"/>
    <s v="null"/>
    <s v="null"/>
    <s v="null"/>
    <s v="null"/>
    <s v="null"/>
    <s v="null"/>
    <n v="1052"/>
    <n v="37.619999999999997"/>
    <n v="4.2"/>
    <n v="4.2"/>
    <s v="Uber Wallet"/>
  </r>
  <r>
    <d v="2024-07-09T00:00:00"/>
    <s v="July"/>
    <d v="1899-12-30T17:13:52"/>
    <s v="&quot;CNR3920468&quot;"/>
    <s v="Completed"/>
    <s v="&quot;CID9192106&quot;"/>
    <x v="4"/>
    <s v="Khan Market"/>
    <s v="Jama Masjid"/>
    <n v="9.1999999999999993"/>
    <n v="37.9"/>
    <s v="null"/>
    <s v="null"/>
    <s v="null"/>
    <s v="null"/>
    <s v="null"/>
    <s v="null"/>
    <n v="484"/>
    <n v="31.48"/>
    <n v="3.7"/>
    <n v="4.3"/>
    <s v="Credit Card"/>
  </r>
  <r>
    <d v="2024-03-23T00:00:00"/>
    <s v="March"/>
    <d v="1899-12-30T16:30:40"/>
    <s v="&quot;CNR8734614&quot;"/>
    <s v="Completed"/>
    <s v="&quot;CID5457947&quot;"/>
    <x v="2"/>
    <s v="Nirman Vihar"/>
    <s v="Kashmere Gate ISBT"/>
    <n v="6.1"/>
    <n v="30"/>
    <s v="null"/>
    <s v="null"/>
    <s v="null"/>
    <s v="null"/>
    <s v="null"/>
    <s v="null"/>
    <n v="849"/>
    <n v="34.049999999999997"/>
    <n v="4.3"/>
    <n v="5"/>
    <s v="Cash"/>
  </r>
  <r>
    <d v="2024-03-22T00:00:00"/>
    <s v="March"/>
    <d v="1899-12-30T18:20:08"/>
    <s v="&quot;CNR2940039&quot;"/>
    <s v="Completed"/>
    <s v="&quot;CID5570675&quot;"/>
    <x v="3"/>
    <s v="Samaypur Badli"/>
    <s v="IMT Manesar"/>
    <n v="5.6"/>
    <n v="21.3"/>
    <s v="null"/>
    <s v="null"/>
    <s v="null"/>
    <s v="null"/>
    <s v="null"/>
    <s v="null"/>
    <n v="407"/>
    <n v="14.91"/>
    <n v="4.4000000000000004"/>
    <n v="4.5999999999999996"/>
    <s v="UPI"/>
  </r>
  <r>
    <d v="2024-03-17T00:00:00"/>
    <s v="March"/>
    <d v="1899-12-30T21:39:40"/>
    <s v="&quot;CNR5977963&quot;"/>
    <s v="Completed"/>
    <s v="&quot;CID4969846&quot;"/>
    <x v="2"/>
    <s v="Uttam Nagar"/>
    <s v="Kashmere Gate"/>
    <n v="2.6"/>
    <n v="28"/>
    <s v="null"/>
    <s v="null"/>
    <s v="null"/>
    <s v="null"/>
    <s v="null"/>
    <s v="null"/>
    <n v="542"/>
    <n v="26.7"/>
    <n v="3.8"/>
    <n v="4.0999999999999996"/>
    <s v="Cash"/>
  </r>
  <r>
    <d v="2024-10-12T00:00:00"/>
    <s v="October"/>
    <d v="1899-12-30T18:46:11"/>
    <s v="&quot;CNR7404881&quot;"/>
    <s v="Completed"/>
    <s v="&quot;CID2753595&quot;"/>
    <x v="3"/>
    <s v="Udyog Vihar Phase 4"/>
    <s v="Dwarka Mor"/>
    <n v="9.1"/>
    <n v="38.1"/>
    <s v="null"/>
    <s v="null"/>
    <s v="null"/>
    <s v="null"/>
    <s v="null"/>
    <s v="null"/>
    <n v="1461"/>
    <n v="44.3"/>
    <n v="4.4000000000000004"/>
    <n v="5"/>
    <s v="Cash"/>
  </r>
  <r>
    <d v="2024-04-30T00:00:00"/>
    <s v="April"/>
    <d v="1899-12-30T10:07:08"/>
    <s v="&quot;CNR4266422&quot;"/>
    <s v="Completed"/>
    <s v="&quot;CID4272727&quot;"/>
    <x v="2"/>
    <s v="IIT Delhi"/>
    <s v="INA Market"/>
    <n v="12.2"/>
    <n v="36.700000000000003"/>
    <s v="null"/>
    <s v="null"/>
    <s v="null"/>
    <s v="null"/>
    <s v="null"/>
    <s v="null"/>
    <n v="298"/>
    <n v="31.23"/>
    <n v="4.3"/>
    <n v="4.7"/>
    <s v="Cash"/>
  </r>
  <r>
    <d v="2024-02-02T00:00:00"/>
    <s v="February"/>
    <d v="1899-12-30T17:54:01"/>
    <s v="&quot;CNR2422547&quot;"/>
    <s v="Completed"/>
    <s v="&quot;CID7269888&quot;"/>
    <x v="2"/>
    <s v="Udyog Vihar Phase 4"/>
    <s v="Seelampur"/>
    <n v="7.4"/>
    <n v="33.700000000000003"/>
    <s v="null"/>
    <s v="null"/>
    <s v="null"/>
    <s v="null"/>
    <s v="null"/>
    <s v="null"/>
    <n v="139"/>
    <n v="41.91"/>
    <n v="4.2"/>
    <n v="4.2"/>
    <s v="Credit Card"/>
  </r>
  <r>
    <d v="2024-10-10T00:00:00"/>
    <s v="October"/>
    <d v="1899-12-30T14:33:11"/>
    <s v="&quot;CNR6461404&quot;"/>
    <s v="Completed"/>
    <s v="&quot;CID6823770&quot;"/>
    <x v="3"/>
    <s v="Panchsheel Park"/>
    <s v="Keshav Puram"/>
    <n v="9.4"/>
    <n v="16.5"/>
    <s v="null"/>
    <s v="null"/>
    <s v="null"/>
    <s v="null"/>
    <s v="null"/>
    <s v="null"/>
    <n v="297"/>
    <n v="30.75"/>
    <n v="3.9"/>
    <n v="4.3"/>
    <s v="Debit Card"/>
  </r>
  <r>
    <d v="2024-01-21T00:00:00"/>
    <s v="January"/>
    <d v="1899-12-30T08:42:08"/>
    <s v="&quot;CNR6414402&quot;"/>
    <s v="Cancelled by Customer"/>
    <s v="&quot;CID3449198&quot;"/>
    <x v="2"/>
    <s v="New Colony"/>
    <s v="Tis Hazari"/>
    <n v="5.4"/>
    <s v="null"/>
    <n v="1"/>
    <s v="Change of plans"/>
    <s v="null"/>
    <s v="null"/>
    <s v="null"/>
    <s v="null"/>
    <s v="null"/>
    <s v="null"/>
    <s v="null"/>
    <s v="null"/>
    <s v="null"/>
  </r>
  <r>
    <d v="2024-03-14T00:00:00"/>
    <s v="March"/>
    <d v="1899-12-30T19:01:47"/>
    <s v="&quot;CNR2682037&quot;"/>
    <s v="Cancelled by Driver"/>
    <s v="&quot;CID8280197&quot;"/>
    <x v="1"/>
    <s v="Sohna Road"/>
    <s v="Paharganj"/>
    <n v="8.3000000000000007"/>
    <s v="null"/>
    <s v="null"/>
    <s v="null"/>
    <n v="1"/>
    <s v="More than permitted people in there"/>
    <s v="null"/>
    <s v="null"/>
    <s v="null"/>
    <s v="null"/>
    <s v="null"/>
    <s v="null"/>
    <s v="null"/>
  </r>
  <r>
    <d v="2024-01-17T00:00:00"/>
    <s v="January"/>
    <d v="1899-12-30T18:43:30"/>
    <s v="&quot;CNR2412683&quot;"/>
    <s v="Completed"/>
    <s v="&quot;CID6579742&quot;"/>
    <x v="4"/>
    <s v="Maidan Garhi"/>
    <s v="Vishwavidyalaya"/>
    <n v="6"/>
    <n v="41.6"/>
    <s v="null"/>
    <s v="null"/>
    <s v="null"/>
    <s v="null"/>
    <s v="null"/>
    <s v="null"/>
    <n v="331"/>
    <n v="31.38"/>
    <n v="4.2"/>
    <n v="4.3"/>
    <s v="Debit Card"/>
  </r>
  <r>
    <d v="2024-12-19T00:00:00"/>
    <s v="December"/>
    <d v="1899-12-30T22:02:10"/>
    <s v="&quot;CNR4086586&quot;"/>
    <s v="Cancelled by Driver"/>
    <s v="&quot;CID8199368&quot;"/>
    <x v="1"/>
    <s v="Netaji Subhash Place"/>
    <s v="Gurgaon Railway Station"/>
    <n v="7"/>
    <s v="null"/>
    <s v="null"/>
    <s v="null"/>
    <n v="1"/>
    <s v="More than permitted people in there"/>
    <s v="null"/>
    <s v="null"/>
    <s v="null"/>
    <s v="null"/>
    <s v="null"/>
    <s v="null"/>
    <s v="null"/>
  </r>
  <r>
    <d v="2024-01-19T00:00:00"/>
    <s v="January"/>
    <d v="1899-12-30T15:07:58"/>
    <s v="&quot;CNR7434952&quot;"/>
    <s v="Incomplete"/>
    <s v="&quot;CID3124125&quot;"/>
    <x v="5"/>
    <s v="Kalkaji"/>
    <s v="Greater Noida"/>
    <n v="7.5"/>
    <n v="18.2"/>
    <s v="null"/>
    <s v="null"/>
    <s v="null"/>
    <s v="null"/>
    <n v="1"/>
    <s v="Vehicle Breakdown"/>
    <n v="477"/>
    <n v="16.22"/>
    <s v="null"/>
    <s v="null"/>
    <s v="UPI"/>
  </r>
  <r>
    <d v="2024-01-20T00:00:00"/>
    <s v="January"/>
    <d v="1899-12-30T16:08:43"/>
    <s v="&quot;CNR5724237&quot;"/>
    <s v="Cancelled by Driver"/>
    <s v="&quot;CID5731938&quot;"/>
    <x v="5"/>
    <s v="Madipur"/>
    <s v="Basai Dhankot"/>
    <n v="5.0999999999999996"/>
    <s v="null"/>
    <s v="null"/>
    <s v="null"/>
    <n v="1"/>
    <s v="Customer related issue"/>
    <s v="null"/>
    <s v="null"/>
    <s v="null"/>
    <s v="null"/>
    <s v="null"/>
    <s v="null"/>
    <s v="null"/>
  </r>
  <r>
    <d v="2024-07-21T00:00:00"/>
    <s v="July"/>
    <d v="1899-12-30T21:35:52"/>
    <s v="&quot;CNR9105289&quot;"/>
    <s v="No Driver Found"/>
    <s v="&quot;CID5473405&quot;"/>
    <x v="1"/>
    <s v="Netaji Subhash Place"/>
    <s v="Seelampur"/>
    <s v="null"/>
    <s v="null"/>
    <s v="null"/>
    <s v="null"/>
    <s v="null"/>
    <s v="null"/>
    <s v="null"/>
    <s v="null"/>
    <s v="null"/>
    <s v="null"/>
    <s v="null"/>
    <s v="null"/>
    <s v="null"/>
  </r>
  <r>
    <d v="2024-06-12T00:00:00"/>
    <s v="June"/>
    <d v="1899-12-30T16:19:15"/>
    <s v="&quot;CNR8140892&quot;"/>
    <s v="Incomplete"/>
    <s v="&quot;CID1641337&quot;"/>
    <x v="5"/>
    <s v="Pragati Maidan"/>
    <s v="Noida Sector 18"/>
    <n v="3.6"/>
    <n v="19.600000000000001"/>
    <s v="null"/>
    <s v="null"/>
    <s v="null"/>
    <s v="null"/>
    <n v="1"/>
    <s v="Vehicle Breakdown"/>
    <n v="205"/>
    <n v="15.7"/>
    <s v="null"/>
    <s v="null"/>
    <s v="UPI"/>
  </r>
  <r>
    <d v="2024-02-19T00:00:00"/>
    <s v="February"/>
    <d v="1899-12-30T03:44:05"/>
    <s v="&quot;CNR3911009&quot;"/>
    <s v="Completed"/>
    <s v="&quot;CID6376854&quot;"/>
    <x v="5"/>
    <s v="Narsinghpur"/>
    <s v="Jahangirpuri"/>
    <n v="4.5"/>
    <n v="17.7"/>
    <s v="null"/>
    <s v="null"/>
    <s v="null"/>
    <s v="null"/>
    <s v="null"/>
    <s v="null"/>
    <n v="307"/>
    <n v="9.91"/>
    <n v="4.5999999999999996"/>
    <n v="4.5999999999999996"/>
    <s v="UPI"/>
  </r>
  <r>
    <d v="2024-12-08T00:00:00"/>
    <s v="December"/>
    <d v="1899-12-30T17:34:15"/>
    <s v="&quot;CNR7881174&quot;"/>
    <s v="Cancelled by Driver"/>
    <s v="&quot;CID1406656&quot;"/>
    <x v="4"/>
    <s v="Dilshad Garden"/>
    <s v="RK Puram"/>
    <n v="5"/>
    <s v="null"/>
    <s v="null"/>
    <s v="null"/>
    <n v="1"/>
    <s v="The customer was coughing/sick"/>
    <s v="null"/>
    <s v="null"/>
    <s v="null"/>
    <s v="null"/>
    <s v="null"/>
    <s v="null"/>
    <s v="null"/>
  </r>
  <r>
    <d v="2024-04-22T00:00:00"/>
    <s v="April"/>
    <d v="1899-12-30T20:57:18"/>
    <s v="&quot;CNR6234496&quot;"/>
    <s v="Incomplete"/>
    <s v="&quot;CID2254882&quot;"/>
    <x v="3"/>
    <s v="Netaji Subhash Place"/>
    <s v="Ramesh Nagar"/>
    <n v="7.3"/>
    <n v="24.3"/>
    <s v="null"/>
    <s v="null"/>
    <s v="null"/>
    <s v="null"/>
    <n v="1"/>
    <s v="Other Issue"/>
    <n v="849"/>
    <n v="16.34"/>
    <s v="null"/>
    <s v="null"/>
    <s v="UPI"/>
  </r>
  <r>
    <d v="2024-01-01T00:00:00"/>
    <s v="January"/>
    <d v="1899-12-30T20:22:33"/>
    <s v="&quot;CNR7294075&quot;"/>
    <s v="Completed"/>
    <s v="&quot;CID6392882&quot;"/>
    <x v="4"/>
    <s v="Qutub Minar"/>
    <s v="Kanhaiya Nagar"/>
    <n v="11.7"/>
    <n v="18.100000000000001"/>
    <s v="null"/>
    <s v="null"/>
    <s v="null"/>
    <s v="null"/>
    <s v="null"/>
    <s v="null"/>
    <n v="739"/>
    <n v="36.6"/>
    <n v="4.2"/>
    <n v="4.2"/>
    <s v="UPI"/>
  </r>
  <r>
    <d v="2024-05-31T00:00:00"/>
    <s v="May"/>
    <d v="1899-12-30T18:50:48"/>
    <s v="&quot;CNR6930200&quot;"/>
    <s v="Cancelled by Driver"/>
    <s v="&quot;CID2621252&quot;"/>
    <x v="5"/>
    <s v="Noida Sector 18"/>
    <s v="Central Secretariat"/>
    <n v="11"/>
    <s v="null"/>
    <s v="null"/>
    <s v="null"/>
    <n v="1"/>
    <s v="Customer related issue"/>
    <s v="null"/>
    <s v="null"/>
    <s v="null"/>
    <s v="null"/>
    <s v="null"/>
    <s v="null"/>
    <s v="null"/>
  </r>
  <r>
    <d v="2024-09-25T00:00:00"/>
    <s v="September"/>
    <d v="1899-12-30T19:56:38"/>
    <s v="&quot;CNR7500978&quot;"/>
    <s v="Incomplete"/>
    <s v="&quot;CID3116920&quot;"/>
    <x v="6"/>
    <s v="Sikanderpur"/>
    <s v="Shahdara"/>
    <n v="5.7"/>
    <n v="25"/>
    <s v="null"/>
    <s v="null"/>
    <s v="null"/>
    <s v="null"/>
    <n v="1"/>
    <s v="Other Issue"/>
    <n v="106"/>
    <n v="13.97"/>
    <s v="null"/>
    <s v="null"/>
    <s v="UPI"/>
  </r>
  <r>
    <d v="2024-07-07T00:00:00"/>
    <s v="July"/>
    <d v="1899-12-30T21:32:45"/>
    <s v="&quot;CNR4384581&quot;"/>
    <s v="Completed"/>
    <s v="&quot;CID6788724&quot;"/>
    <x v="1"/>
    <s v="Huda City Centre"/>
    <s v="Ghitorni"/>
    <n v="10"/>
    <n v="23.8"/>
    <s v="null"/>
    <s v="null"/>
    <s v="null"/>
    <s v="null"/>
    <s v="null"/>
    <s v="null"/>
    <n v="820"/>
    <n v="32.93"/>
    <n v="4.2"/>
    <n v="4.9000000000000004"/>
    <s v="Uber Wallet"/>
  </r>
  <r>
    <d v="2024-11-22T00:00:00"/>
    <s v="November"/>
    <d v="1899-12-30T14:40:51"/>
    <s v="&quot;CNR9213654&quot;"/>
    <s v="Incomplete"/>
    <s v="&quot;CID3125976&quot;"/>
    <x v="4"/>
    <s v="Civil Lines Gurgaon"/>
    <s v="Noida Sector 62"/>
    <n v="7.9"/>
    <n v="12.2"/>
    <s v="null"/>
    <s v="null"/>
    <s v="null"/>
    <s v="null"/>
    <n v="1"/>
    <s v="Other Issue"/>
    <n v="822"/>
    <n v="14.85"/>
    <s v="null"/>
    <s v="null"/>
    <s v="UPI"/>
  </r>
  <r>
    <d v="2024-09-07T00:00:00"/>
    <s v="September"/>
    <d v="1899-12-30T11:24:58"/>
    <s v="&quot;CNR6103117&quot;"/>
    <s v="Completed"/>
    <s v="&quot;CID7297645&quot;"/>
    <x v="2"/>
    <s v="Udyog Vihar"/>
    <s v="Meerut"/>
    <n v="6.6"/>
    <n v="19.600000000000001"/>
    <s v="null"/>
    <s v="null"/>
    <s v="null"/>
    <s v="null"/>
    <s v="null"/>
    <s v="null"/>
    <n v="2060"/>
    <n v="29.61"/>
    <n v="4.5999999999999996"/>
    <n v="4.3"/>
    <s v="Uber Wallet"/>
  </r>
  <r>
    <d v="2024-09-11T00:00:00"/>
    <s v="September"/>
    <d v="1899-12-30T19:19:40"/>
    <s v="&quot;CNR9567421&quot;"/>
    <s v="Cancelled by Customer"/>
    <s v="&quot;CID4263992&quot;"/>
    <x v="4"/>
    <s v="Mayur Vihar"/>
    <s v="INA Market"/>
    <n v="14.3"/>
    <s v="null"/>
    <n v="1"/>
    <s v="Wrong Address"/>
    <s v="null"/>
    <s v="null"/>
    <s v="null"/>
    <s v="null"/>
    <s v="null"/>
    <s v="null"/>
    <s v="null"/>
    <s v="null"/>
    <s v="null"/>
  </r>
  <r>
    <d v="2024-03-30T00:00:00"/>
    <s v="March"/>
    <d v="1899-12-30T21:31:57"/>
    <s v="&quot;CNR4440585&quot;"/>
    <s v="Completed"/>
    <s v="&quot;CID9563353&quot;"/>
    <x v="2"/>
    <s v="Badshahpur"/>
    <s v="Palam Vihar"/>
    <n v="8.3000000000000007"/>
    <n v="16.8"/>
    <s v="null"/>
    <s v="null"/>
    <s v="null"/>
    <s v="null"/>
    <s v="null"/>
    <s v="null"/>
    <n v="336"/>
    <n v="41.67"/>
    <n v="4.2"/>
    <n v="4.4000000000000004"/>
    <s v="UPI"/>
  </r>
  <r>
    <d v="2024-07-04T00:00:00"/>
    <s v="July"/>
    <d v="1899-12-30T06:59:43"/>
    <s v="&quot;CNR2126335&quot;"/>
    <s v="Cancelled by Driver"/>
    <s v="&quot;CID3268404&quot;"/>
    <x v="2"/>
    <s v="Qutub Minar"/>
    <s v="Mehrauli"/>
    <n v="11"/>
    <s v="null"/>
    <s v="null"/>
    <s v="null"/>
    <n v="1"/>
    <s v="The customer was coughing/sick"/>
    <s v="null"/>
    <s v="null"/>
    <s v="null"/>
    <s v="null"/>
    <s v="null"/>
    <s v="null"/>
    <s v="null"/>
  </r>
  <r>
    <d v="2024-08-01T00:00:00"/>
    <s v="August"/>
    <d v="1899-12-30T10:48:06"/>
    <s v="&quot;CNR4701328&quot;"/>
    <s v="Incomplete"/>
    <s v="&quot;CID3166317&quot;"/>
    <x v="1"/>
    <s v="IIT Delhi"/>
    <s v="Azadpur"/>
    <n v="4.4000000000000004"/>
    <n v="27.4"/>
    <s v="null"/>
    <s v="null"/>
    <s v="null"/>
    <s v="null"/>
    <n v="1"/>
    <s v="Other Issue"/>
    <n v="478"/>
    <n v="18.82"/>
    <s v="null"/>
    <s v="null"/>
    <s v="UPI"/>
  </r>
  <r>
    <d v="2024-09-21T00:00:00"/>
    <s v="September"/>
    <d v="1899-12-30T07:18:41"/>
    <s v="&quot;CNR2663745&quot;"/>
    <s v="Completed"/>
    <s v="&quot;CID7818797&quot;"/>
    <x v="2"/>
    <s v="Faridabad Sector 15"/>
    <s v="Paschim Vihar"/>
    <n v="4"/>
    <n v="34.6"/>
    <s v="null"/>
    <s v="null"/>
    <s v="null"/>
    <s v="null"/>
    <s v="null"/>
    <s v="null"/>
    <n v="413"/>
    <n v="4.08"/>
    <n v="4.9000000000000004"/>
    <n v="3.3"/>
    <s v="UPI"/>
  </r>
  <r>
    <d v="2024-06-07T00:00:00"/>
    <s v="June"/>
    <d v="1899-12-30T22:13:13"/>
    <s v="&quot;CNR6628353&quot;"/>
    <s v="Cancelled by Driver"/>
    <s v="&quot;CID8644192&quot;"/>
    <x v="4"/>
    <s v="Gurgaon Sector 29"/>
    <s v="Subhash Nagar"/>
    <n v="10.6"/>
    <s v="null"/>
    <s v="null"/>
    <s v="null"/>
    <n v="1"/>
    <s v="Personal &amp; Car related issues"/>
    <s v="null"/>
    <s v="null"/>
    <s v="null"/>
    <s v="null"/>
    <s v="null"/>
    <s v="null"/>
    <s v="null"/>
  </r>
  <r>
    <d v="2024-06-02T00:00:00"/>
    <s v="June"/>
    <d v="1899-12-30T22:00:56"/>
    <s v="&quot;CNR5349006&quot;"/>
    <s v="Completed"/>
    <s v="&quot;CID7801739&quot;"/>
    <x v="5"/>
    <s v="Sikanderpur"/>
    <s v="DLF Phase 3"/>
    <n v="4.5999999999999996"/>
    <n v="32.4"/>
    <s v="null"/>
    <s v="null"/>
    <s v="null"/>
    <s v="null"/>
    <s v="null"/>
    <s v="null"/>
    <n v="273"/>
    <n v="10.92"/>
    <n v="3.8"/>
    <n v="4.3"/>
    <s v="UPI"/>
  </r>
  <r>
    <d v="2024-05-28T00:00:00"/>
    <s v="May"/>
    <d v="1899-12-30T19:11:49"/>
    <s v="&quot;CNR2966974&quot;"/>
    <s v="Cancelled by Driver"/>
    <s v="&quot;CID5196326&quot;"/>
    <x v="5"/>
    <s v="Pulbangash"/>
    <s v="Kaushambi"/>
    <n v="8.5"/>
    <s v="null"/>
    <s v="null"/>
    <s v="null"/>
    <n v="1"/>
    <s v="Personal &amp; Car related issues"/>
    <s v="null"/>
    <s v="null"/>
    <s v="null"/>
    <s v="null"/>
    <s v="null"/>
    <s v="null"/>
    <s v="null"/>
  </r>
  <r>
    <d v="2024-07-30T00:00:00"/>
    <s v="July"/>
    <d v="1899-12-30T11:39:17"/>
    <s v="&quot;CNR6471732&quot;"/>
    <s v="Incomplete"/>
    <s v="&quot;CID8604432&quot;"/>
    <x v="2"/>
    <s v="Chandni Chowk"/>
    <s v="Gwal Pahari"/>
    <n v="7.4"/>
    <n v="27.5"/>
    <s v="null"/>
    <s v="null"/>
    <s v="null"/>
    <s v="null"/>
    <n v="1"/>
    <s v="Vehicle Breakdown"/>
    <n v="839"/>
    <n v="9.9"/>
    <s v="null"/>
    <s v="null"/>
    <s v="UPI"/>
  </r>
  <r>
    <d v="2024-08-05T00:00:00"/>
    <s v="August"/>
    <d v="1899-12-30T10:48:23"/>
    <s v="&quot;CNR4320305&quot;"/>
    <s v="Completed"/>
    <s v="&quot;CID1767919&quot;"/>
    <x v="5"/>
    <s v="Model Town"/>
    <s v="Kirti Nagar"/>
    <n v="10.9"/>
    <n v="32.9"/>
    <s v="null"/>
    <s v="null"/>
    <s v="null"/>
    <s v="null"/>
    <s v="null"/>
    <s v="null"/>
    <n v="947"/>
    <n v="16.52"/>
    <n v="3.9"/>
    <n v="4.2"/>
    <s v="Cash"/>
  </r>
  <r>
    <d v="2024-07-11T00:00:00"/>
    <s v="July"/>
    <d v="1899-12-30T05:46:05"/>
    <s v="&quot;CNR6955003&quot;"/>
    <s v="Completed"/>
    <s v="&quot;CID3120064&quot;"/>
    <x v="2"/>
    <s v="Indraprastha"/>
    <s v="Gurgaon Sector 29"/>
    <n v="3.8"/>
    <n v="23.5"/>
    <s v="null"/>
    <s v="null"/>
    <s v="null"/>
    <s v="null"/>
    <s v="null"/>
    <s v="null"/>
    <n v="135"/>
    <n v="18.260000000000002"/>
    <n v="4.3"/>
    <n v="4.5999999999999996"/>
    <s v="Debit Card"/>
  </r>
  <r>
    <d v="2024-07-11T00:00:00"/>
    <s v="July"/>
    <d v="1899-12-30T08:06:42"/>
    <s v="&quot;CNR6242669&quot;"/>
    <s v="No Driver Found"/>
    <s v="&quot;CID7730528&quot;"/>
    <x v="5"/>
    <s v="DLF City Court"/>
    <s v="IMT Manesar"/>
    <s v="null"/>
    <s v="null"/>
    <s v="null"/>
    <s v="null"/>
    <s v="null"/>
    <s v="null"/>
    <s v="null"/>
    <s v="null"/>
    <s v="null"/>
    <s v="null"/>
    <s v="null"/>
    <s v="null"/>
    <s v="null"/>
  </r>
  <r>
    <d v="2024-10-30T00:00:00"/>
    <s v="October"/>
    <d v="1899-12-30T20:19:18"/>
    <s v="&quot;CNR5803170&quot;"/>
    <s v="Completed"/>
    <s v="&quot;CID3781033&quot;"/>
    <x v="2"/>
    <s v="Noida Extension"/>
    <s v="Samaypur Badli"/>
    <n v="9.6"/>
    <n v="39.799999999999997"/>
    <s v="null"/>
    <s v="null"/>
    <s v="null"/>
    <s v="null"/>
    <s v="null"/>
    <s v="null"/>
    <n v="626"/>
    <n v="20.309999999999999"/>
    <n v="4.3"/>
    <n v="4.2"/>
    <s v="UPI"/>
  </r>
  <r>
    <d v="2024-09-26T00:00:00"/>
    <s v="September"/>
    <d v="1899-12-30T15:46:21"/>
    <s v="&quot;CNR2472912&quot;"/>
    <s v="Completed"/>
    <s v="&quot;CID6714573&quot;"/>
    <x v="5"/>
    <s v="ITO"/>
    <s v="Samaypur Badli"/>
    <n v="7.3"/>
    <n v="39.5"/>
    <s v="null"/>
    <s v="null"/>
    <s v="null"/>
    <s v="null"/>
    <s v="null"/>
    <s v="null"/>
    <n v="582"/>
    <n v="34.08"/>
    <n v="4.5999999999999996"/>
    <n v="4.9000000000000004"/>
    <s v="Cash"/>
  </r>
  <r>
    <d v="2024-07-19T00:00:00"/>
    <s v="July"/>
    <d v="1899-12-30T19:32:47"/>
    <s v="&quot;CNR9749536&quot;"/>
    <s v="Completed"/>
    <s v="&quot;CID9719978&quot;"/>
    <x v="2"/>
    <s v="Munirka"/>
    <s v="Paschim Vihar"/>
    <n v="14.3"/>
    <n v="17.899999999999999"/>
    <s v="null"/>
    <s v="null"/>
    <s v="null"/>
    <s v="null"/>
    <s v="null"/>
    <s v="null"/>
    <n v="332"/>
    <n v="49.36"/>
    <n v="4.5999999999999996"/>
    <n v="3.1"/>
    <s v="Cash"/>
  </r>
  <r>
    <d v="2024-10-06T00:00:00"/>
    <s v="October"/>
    <d v="1899-12-30T15:43:15"/>
    <s v="&quot;CNR5765982&quot;"/>
    <s v="Completed"/>
    <s v="&quot;CID1580809&quot;"/>
    <x v="2"/>
    <s v="Nirman Vihar"/>
    <s v="Kherki Daula Toll"/>
    <n v="14.2"/>
    <n v="44.8"/>
    <s v="null"/>
    <s v="null"/>
    <s v="null"/>
    <s v="null"/>
    <s v="null"/>
    <s v="null"/>
    <n v="741"/>
    <n v="21.11"/>
    <n v="4.5"/>
    <n v="4.8"/>
    <s v="Cash"/>
  </r>
  <r>
    <d v="2024-05-05T00:00:00"/>
    <s v="May"/>
    <d v="1899-12-30T10:03:13"/>
    <s v="&quot;CNR2386376&quot;"/>
    <s v="Completed"/>
    <s v="&quot;CID4198435&quot;"/>
    <x v="1"/>
    <s v="Kanhaiya Nagar"/>
    <s v="Kirti Nagar"/>
    <n v="2.9"/>
    <n v="22.8"/>
    <s v="null"/>
    <s v="null"/>
    <s v="null"/>
    <s v="null"/>
    <s v="null"/>
    <s v="null"/>
    <n v="148"/>
    <n v="25.88"/>
    <n v="4.2"/>
    <n v="4.4000000000000004"/>
    <s v="UPI"/>
  </r>
  <r>
    <d v="2024-12-17T00:00:00"/>
    <s v="December"/>
    <d v="1899-12-30T14:07:37"/>
    <s v="&quot;CNR6006351&quot;"/>
    <s v="Completed"/>
    <s v="&quot;CID6272410&quot;"/>
    <x v="5"/>
    <s v="Gwal Pahari"/>
    <s v="Mansarovar Park"/>
    <n v="11.5"/>
    <n v="26.9"/>
    <s v="null"/>
    <s v="null"/>
    <s v="null"/>
    <s v="null"/>
    <s v="null"/>
    <s v="null"/>
    <n v="106"/>
    <n v="43.23"/>
    <n v="4.7"/>
    <n v="4.3"/>
    <s v="Debit Card"/>
  </r>
  <r>
    <d v="2024-07-18T00:00:00"/>
    <s v="July"/>
    <d v="1899-12-30T05:52:09"/>
    <s v="&quot;CNR4696389&quot;"/>
    <s v="Cancelled by Customer"/>
    <s v="&quot;CID6634327&quot;"/>
    <x v="5"/>
    <s v="Indirapuram"/>
    <s v="IGI Airport"/>
    <n v="13"/>
    <s v="null"/>
    <n v="1"/>
    <s v="Driver asked to cancel"/>
    <s v="null"/>
    <s v="null"/>
    <s v="null"/>
    <s v="null"/>
    <s v="null"/>
    <s v="null"/>
    <s v="null"/>
    <s v="null"/>
    <s v="null"/>
  </r>
  <r>
    <d v="2024-04-28T00:00:00"/>
    <s v="April"/>
    <d v="1899-12-30T14:39:03"/>
    <s v="&quot;CNR7842897&quot;"/>
    <s v="Completed"/>
    <s v="&quot;CID9682469&quot;"/>
    <x v="3"/>
    <s v="Uttam Nagar"/>
    <s v="Manesar"/>
    <n v="6"/>
    <n v="26"/>
    <s v="null"/>
    <s v="null"/>
    <s v="null"/>
    <s v="null"/>
    <s v="null"/>
    <s v="null"/>
    <n v="1072"/>
    <n v="43.56"/>
    <n v="4.0999999999999996"/>
    <n v="4.9000000000000004"/>
    <s v="Cash"/>
  </r>
  <r>
    <d v="2024-11-20T00:00:00"/>
    <s v="November"/>
    <d v="1899-12-30T17:55:19"/>
    <s v="&quot;CNR7373817&quot;"/>
    <s v="No Driver Found"/>
    <s v="&quot;CID2106539&quot;"/>
    <x v="4"/>
    <s v="Kalkaji"/>
    <s v="Noida Film City"/>
    <s v="null"/>
    <s v="null"/>
    <s v="null"/>
    <s v="null"/>
    <s v="null"/>
    <s v="null"/>
    <s v="null"/>
    <s v="null"/>
    <s v="null"/>
    <s v="null"/>
    <s v="null"/>
    <s v="null"/>
    <s v="null"/>
  </r>
  <r>
    <d v="2024-09-08T00:00:00"/>
    <s v="September"/>
    <d v="1899-12-30T20:34:53"/>
    <s v="&quot;CNR7886440&quot;"/>
    <s v="Completed"/>
    <s v="&quot;CID9017268&quot;"/>
    <x v="5"/>
    <s v="Vatika Chowk"/>
    <s v="Mayur Vihar"/>
    <n v="6.9"/>
    <n v="15.9"/>
    <s v="null"/>
    <s v="null"/>
    <s v="null"/>
    <s v="null"/>
    <s v="null"/>
    <s v="null"/>
    <n v="3453"/>
    <n v="18.13"/>
    <n v="4.0999999999999996"/>
    <n v="4.0999999999999996"/>
    <s v="Cash"/>
  </r>
  <r>
    <d v="2024-02-13T00:00:00"/>
    <s v="February"/>
    <d v="1899-12-30T20:46:59"/>
    <s v="&quot;CNR1185434&quot;"/>
    <s v="No Driver Found"/>
    <s v="&quot;CID5838933&quot;"/>
    <x v="6"/>
    <s v="Hauz Rani"/>
    <s v="Kherki Daula Toll"/>
    <s v="null"/>
    <s v="null"/>
    <s v="null"/>
    <s v="null"/>
    <s v="null"/>
    <s v="null"/>
    <s v="null"/>
    <s v="null"/>
    <s v="null"/>
    <s v="null"/>
    <s v="null"/>
    <s v="null"/>
    <s v="null"/>
  </r>
  <r>
    <d v="2024-01-31T00:00:00"/>
    <s v="January"/>
    <d v="1899-12-30T20:13:36"/>
    <s v="&quot;CNR5201278&quot;"/>
    <s v="Cancelled by Driver"/>
    <s v="&quot;CID7536959&quot;"/>
    <x v="5"/>
    <s v="New Colony"/>
    <s v="Dwarka Sector 21"/>
    <n v="7.3"/>
    <s v="null"/>
    <s v="null"/>
    <s v="null"/>
    <n v="1"/>
    <s v="The customer was coughing/sick"/>
    <s v="null"/>
    <s v="null"/>
    <s v="null"/>
    <s v="null"/>
    <s v="null"/>
    <s v="null"/>
    <s v="null"/>
  </r>
  <r>
    <d v="2024-12-12T00:00:00"/>
    <s v="December"/>
    <d v="1899-12-30T09:40:37"/>
    <s v="&quot;CNR5636142&quot;"/>
    <s v="Completed"/>
    <s v="&quot;CID1200846&quot;"/>
    <x v="1"/>
    <s v="Connaught Place"/>
    <s v="Akshardham"/>
    <n v="3.8"/>
    <n v="39.1"/>
    <s v="null"/>
    <s v="null"/>
    <s v="null"/>
    <s v="null"/>
    <s v="null"/>
    <s v="null"/>
    <n v="164"/>
    <n v="26.19"/>
    <n v="4.0999999999999996"/>
    <n v="4.4000000000000004"/>
    <s v="Credit Card"/>
  </r>
  <r>
    <d v="2024-01-19T00:00:00"/>
    <s v="January"/>
    <d v="1899-12-30T15:39:30"/>
    <s v="&quot;CNR8588773&quot;"/>
    <s v="Completed"/>
    <s v="&quot;CID5275312&quot;"/>
    <x v="1"/>
    <s v="Greater Noida"/>
    <s v="Manesar"/>
    <n v="7.6"/>
    <n v="35.1"/>
    <s v="null"/>
    <s v="null"/>
    <s v="null"/>
    <s v="null"/>
    <s v="null"/>
    <s v="null"/>
    <n v="819"/>
    <n v="14.9"/>
    <n v="4.7"/>
    <n v="4.2"/>
    <s v="Debit Card"/>
  </r>
  <r>
    <d v="2024-12-16T00:00:00"/>
    <s v="December"/>
    <d v="1899-12-30T12:00:46"/>
    <s v="&quot;CNR1417679&quot;"/>
    <s v="Completed"/>
    <s v="&quot;CID7239882&quot;"/>
    <x v="4"/>
    <s v="Lal Quila"/>
    <s v="Subhash Nagar"/>
    <n v="12"/>
    <n v="28.8"/>
    <s v="null"/>
    <s v="null"/>
    <s v="null"/>
    <s v="null"/>
    <s v="null"/>
    <s v="null"/>
    <n v="853"/>
    <n v="25.15"/>
    <n v="4.2"/>
    <n v="3.7"/>
    <s v="UPI"/>
  </r>
  <r>
    <d v="2024-01-13T00:00:00"/>
    <s v="January"/>
    <d v="1899-12-30T11:17:38"/>
    <s v="&quot;CNR8291409&quot;"/>
    <s v="Completed"/>
    <s v="&quot;CID8280540&quot;"/>
    <x v="1"/>
    <s v="Indirapuram"/>
    <s v="Janakpuri"/>
    <n v="3.2"/>
    <n v="35.700000000000003"/>
    <s v="null"/>
    <s v="null"/>
    <s v="null"/>
    <s v="null"/>
    <s v="null"/>
    <s v="null"/>
    <n v="1384"/>
    <n v="24.35"/>
    <n v="4.5999999999999996"/>
    <n v="4.8"/>
    <s v="Credit Card"/>
  </r>
  <r>
    <d v="2024-01-25T00:00:00"/>
    <s v="January"/>
    <d v="1899-12-30T07:44:00"/>
    <s v="&quot;CNR3753381&quot;"/>
    <s v="Completed"/>
    <s v="&quot;CID9784303&quot;"/>
    <x v="2"/>
    <s v="Sushant Lok"/>
    <s v="Vishwavidyalaya"/>
    <n v="11.6"/>
    <n v="15.8"/>
    <s v="null"/>
    <s v="null"/>
    <s v="null"/>
    <s v="null"/>
    <s v="null"/>
    <s v="null"/>
    <n v="794"/>
    <n v="23.09"/>
    <n v="3.8"/>
    <n v="4.2"/>
    <s v="Uber Wallet"/>
  </r>
  <r>
    <d v="2024-04-14T00:00:00"/>
    <s v="April"/>
    <d v="1899-12-30T09:57:09"/>
    <s v="&quot;CNR5194772&quot;"/>
    <s v="Completed"/>
    <s v="&quot;CID9081249&quot;"/>
    <x v="1"/>
    <s v="Ramesh Nagar"/>
    <s v="Shivaji Park"/>
    <n v="14.7"/>
    <n v="17"/>
    <s v="null"/>
    <s v="null"/>
    <s v="null"/>
    <s v="null"/>
    <s v="null"/>
    <s v="null"/>
    <n v="92"/>
    <n v="46.1"/>
    <n v="4.4000000000000004"/>
    <n v="3.2"/>
    <s v="Cash"/>
  </r>
  <r>
    <d v="2024-08-02T00:00:00"/>
    <s v="August"/>
    <d v="1899-12-30T15:15:57"/>
    <s v="&quot;CNR5198880&quot;"/>
    <s v="Completed"/>
    <s v="&quot;CID8785925&quot;"/>
    <x v="3"/>
    <s v="DLF Phase 3"/>
    <s v="Rajouri Garden"/>
    <n v="13.8"/>
    <n v="43.6"/>
    <s v="null"/>
    <s v="null"/>
    <s v="null"/>
    <s v="null"/>
    <s v="null"/>
    <s v="null"/>
    <n v="413"/>
    <n v="18.16"/>
    <n v="4.4000000000000004"/>
    <n v="4.5"/>
    <s v="UPI"/>
  </r>
  <r>
    <d v="2024-12-23T00:00:00"/>
    <s v="December"/>
    <d v="1899-12-30T16:13:00"/>
    <s v="&quot;CNR9106369&quot;"/>
    <s v="Completed"/>
    <s v="&quot;CID7947941&quot;"/>
    <x v="5"/>
    <s v="IMT Manesar"/>
    <s v="Greater Noida"/>
    <n v="13.6"/>
    <n v="25.8"/>
    <s v="null"/>
    <s v="null"/>
    <s v="null"/>
    <s v="null"/>
    <s v="null"/>
    <s v="null"/>
    <n v="297"/>
    <n v="21.13"/>
    <n v="4.3"/>
    <n v="4.5999999999999996"/>
    <s v="Cash"/>
  </r>
  <r>
    <d v="2024-03-07T00:00:00"/>
    <s v="March"/>
    <d v="1899-12-30T08:02:04"/>
    <s v="&quot;CNR2947659&quot;"/>
    <s v="Cancelled by Customer"/>
    <s v="&quot;CID7661037&quot;"/>
    <x v="1"/>
    <s v="Uttam Nagar"/>
    <s v="Dwarka Sector 21"/>
    <n v="5.9"/>
    <s v="null"/>
    <n v="1"/>
    <s v="Wrong Address"/>
    <s v="null"/>
    <s v="null"/>
    <s v="null"/>
    <s v="null"/>
    <s v="null"/>
    <s v="null"/>
    <s v="null"/>
    <s v="null"/>
    <s v="null"/>
  </r>
  <r>
    <d v="2024-04-18T00:00:00"/>
    <s v="April"/>
    <d v="1899-12-30T09:36:20"/>
    <s v="&quot;CNR7073975&quot;"/>
    <s v="Cancelled by Customer"/>
    <s v="&quot;CID9112501&quot;"/>
    <x v="5"/>
    <s v="Botanical Garden"/>
    <s v="Meerut"/>
    <n v="14.5"/>
    <s v="null"/>
    <n v="1"/>
    <s v="Driver is not moving towards pickup location"/>
    <s v="null"/>
    <s v="null"/>
    <s v="null"/>
    <s v="null"/>
    <s v="null"/>
    <s v="null"/>
    <s v="null"/>
    <s v="null"/>
    <s v="null"/>
  </r>
  <r>
    <d v="2024-01-15T00:00:00"/>
    <s v="January"/>
    <d v="1899-12-30T09:02:07"/>
    <s v="&quot;CNR8341970&quot;"/>
    <s v="Completed"/>
    <s v="&quot;CID5343442&quot;"/>
    <x v="2"/>
    <s v="Laxmi Nagar"/>
    <s v="Udyog Vihar"/>
    <n v="14.3"/>
    <n v="17.600000000000001"/>
    <s v="null"/>
    <s v="null"/>
    <s v="null"/>
    <s v="null"/>
    <s v="null"/>
    <s v="null"/>
    <n v="1150"/>
    <n v="46.37"/>
    <n v="4.5"/>
    <n v="4.7"/>
    <s v="Debit Card"/>
  </r>
  <r>
    <d v="2024-11-06T00:00:00"/>
    <s v="November"/>
    <d v="1899-12-30T10:53:12"/>
    <s v="&quot;CNR2991923&quot;"/>
    <s v="Completed"/>
    <s v="&quot;CID2409817&quot;"/>
    <x v="0"/>
    <s v="Ambience Mall"/>
    <s v="Paharganj"/>
    <n v="14.4"/>
    <n v="27.4"/>
    <s v="null"/>
    <s v="null"/>
    <s v="null"/>
    <s v="null"/>
    <s v="null"/>
    <s v="null"/>
    <n v="701"/>
    <n v="32.57"/>
    <n v="4.4000000000000004"/>
    <n v="4.2"/>
    <s v="Uber Wallet"/>
  </r>
  <r>
    <d v="2024-06-12T00:00:00"/>
    <s v="June"/>
    <d v="1899-12-30T16:54:08"/>
    <s v="&quot;CNR6298627&quot;"/>
    <s v="No Driver Found"/>
    <s v="&quot;CID7089807&quot;"/>
    <x v="2"/>
    <s v="Panipat"/>
    <s v="Ardee City"/>
    <s v="null"/>
    <s v="null"/>
    <s v="null"/>
    <s v="null"/>
    <s v="null"/>
    <s v="null"/>
    <s v="null"/>
    <s v="null"/>
    <s v="null"/>
    <s v="null"/>
    <s v="null"/>
    <s v="null"/>
    <s v="null"/>
  </r>
  <r>
    <d v="2024-01-02T00:00:00"/>
    <s v="January"/>
    <d v="1899-12-30T12:27:41"/>
    <s v="&quot;CNR4249262&quot;"/>
    <s v="Completed"/>
    <s v="&quot;CID8165426&quot;"/>
    <x v="4"/>
    <s v="IGI Airport"/>
    <s v="Arjangarh"/>
    <n v="10.1"/>
    <n v="38.6"/>
    <s v="null"/>
    <s v="null"/>
    <s v="null"/>
    <s v="null"/>
    <s v="null"/>
    <s v="null"/>
    <n v="92"/>
    <n v="46.98"/>
    <n v="3.8"/>
    <n v="3.8"/>
    <s v="UPI"/>
  </r>
  <r>
    <d v="2024-03-19T00:00:00"/>
    <s v="March"/>
    <d v="1899-12-30T06:53:55"/>
    <s v="&quot;CNR7098808&quot;"/>
    <s v="Completed"/>
    <s v="&quot;CID5935795&quot;"/>
    <x v="1"/>
    <s v="DLF Phase 3"/>
    <s v="Kirti Nagar"/>
    <n v="12.2"/>
    <n v="31.4"/>
    <s v="null"/>
    <s v="null"/>
    <s v="null"/>
    <s v="null"/>
    <s v="null"/>
    <s v="null"/>
    <n v="52"/>
    <n v="46.04"/>
    <n v="4.7"/>
    <n v="5"/>
    <s v="Debit Card"/>
  </r>
  <r>
    <d v="2024-10-18T00:00:00"/>
    <s v="October"/>
    <d v="1899-12-30T19:46:19"/>
    <s v="&quot;CNR3874830&quot;"/>
    <s v="Completed"/>
    <s v="&quot;CID6952194&quot;"/>
    <x v="2"/>
    <s v="IGNOU Road"/>
    <s v="Panchsheel Park"/>
    <n v="7.2"/>
    <n v="23.6"/>
    <s v="null"/>
    <s v="null"/>
    <s v="null"/>
    <s v="null"/>
    <s v="null"/>
    <s v="null"/>
    <n v="317"/>
    <n v="40.549999999999997"/>
    <n v="4.3"/>
    <n v="4.2"/>
    <s v="Cash"/>
  </r>
  <r>
    <d v="2024-09-24T00:00:00"/>
    <s v="September"/>
    <d v="1899-12-30T09:27:24"/>
    <s v="&quot;CNR3438759&quot;"/>
    <s v="Cancelled by Driver"/>
    <s v="&quot;CID2196399&quot;"/>
    <x v="2"/>
    <s v="Noida Extension"/>
    <s v="Vinobapuri"/>
    <n v="8.5"/>
    <s v="null"/>
    <s v="null"/>
    <s v="null"/>
    <n v="1"/>
    <s v="The customer was coughing/sick"/>
    <s v="null"/>
    <s v="null"/>
    <s v="null"/>
    <s v="null"/>
    <s v="null"/>
    <s v="null"/>
    <s v="null"/>
  </r>
  <r>
    <d v="2024-03-31T00:00:00"/>
    <s v="March"/>
    <d v="1899-12-30T20:58:00"/>
    <s v="&quot;CNR5625585&quot;"/>
    <s v="Completed"/>
    <s v="&quot;CID4757284&quot;"/>
    <x v="2"/>
    <s v="Vinobapuri"/>
    <s v="Model Town"/>
    <n v="14.8"/>
    <n v="16"/>
    <s v="null"/>
    <s v="null"/>
    <s v="null"/>
    <s v="null"/>
    <s v="null"/>
    <s v="null"/>
    <n v="388"/>
    <n v="48.17"/>
    <n v="4.3"/>
    <n v="4.5999999999999996"/>
    <s v="UPI"/>
  </r>
  <r>
    <d v="2024-06-25T00:00:00"/>
    <s v="June"/>
    <d v="1899-12-30T00:12:53"/>
    <s v="&quot;CNR3968342&quot;"/>
    <s v="Completed"/>
    <s v="&quot;CID4252629&quot;"/>
    <x v="4"/>
    <s v="Basai Dhankot"/>
    <s v="Vishwavidyalaya"/>
    <n v="5.2"/>
    <n v="21.6"/>
    <s v="null"/>
    <s v="null"/>
    <s v="null"/>
    <s v="null"/>
    <s v="null"/>
    <s v="null"/>
    <n v="381"/>
    <n v="2.5"/>
    <n v="4.4000000000000004"/>
    <n v="4.9000000000000004"/>
    <s v="Credit Card"/>
  </r>
  <r>
    <d v="2024-01-19T00:00:00"/>
    <s v="January"/>
    <d v="1899-12-30T17:00:57"/>
    <s v="&quot;CNR1029172&quot;"/>
    <s v="Incomplete"/>
    <s v="&quot;CID2615731&quot;"/>
    <x v="4"/>
    <s v="Jhilmil"/>
    <s v="Narsinghpur"/>
    <n v="4.7"/>
    <n v="26.7"/>
    <s v="null"/>
    <s v="null"/>
    <s v="null"/>
    <s v="null"/>
    <n v="1"/>
    <s v="Customer Demand"/>
    <n v="429"/>
    <n v="16.16"/>
    <s v="null"/>
    <s v="null"/>
    <s v="UPI"/>
  </r>
  <r>
    <d v="2024-08-14T00:00:00"/>
    <s v="August"/>
    <d v="1899-12-30T14:29:34"/>
    <s v="&quot;CNR3026612&quot;"/>
    <s v="Completed"/>
    <s v="&quot;CID1685236&quot;"/>
    <x v="5"/>
    <s v="Moti Nagar"/>
    <s v="Hauz Khas"/>
    <n v="14.2"/>
    <n v="24.3"/>
    <s v="null"/>
    <s v="null"/>
    <s v="null"/>
    <s v="null"/>
    <s v="null"/>
    <s v="null"/>
    <n v="459"/>
    <n v="20.39"/>
    <n v="4.3"/>
    <n v="4.3"/>
    <s v="UPI"/>
  </r>
  <r>
    <d v="2024-06-02T00:00:00"/>
    <s v="June"/>
    <d v="1899-12-30T15:52:46"/>
    <s v="&quot;CNR1047034&quot;"/>
    <s v="Completed"/>
    <s v="&quot;CID1367246&quot;"/>
    <x v="0"/>
    <s v="Manesar"/>
    <s v="Pataudi Chowk"/>
    <n v="13.3"/>
    <n v="40.200000000000003"/>
    <s v="null"/>
    <s v="null"/>
    <s v="null"/>
    <s v="null"/>
    <s v="null"/>
    <s v="null"/>
    <n v="195"/>
    <n v="16.55"/>
    <n v="3.9"/>
    <n v="4.5"/>
    <s v="UPI"/>
  </r>
  <r>
    <d v="2024-05-11T00:00:00"/>
    <s v="May"/>
    <d v="1899-12-30T10:45:17"/>
    <s v="&quot;CNR4868449&quot;"/>
    <s v="No Driver Found"/>
    <s v="&quot;CID8654337&quot;"/>
    <x v="2"/>
    <s v="Paschim Vihar"/>
    <s v="Cyber Hub"/>
    <s v="null"/>
    <s v="null"/>
    <s v="null"/>
    <s v="null"/>
    <s v="null"/>
    <s v="null"/>
    <s v="null"/>
    <s v="null"/>
    <s v="null"/>
    <s v="null"/>
    <s v="null"/>
    <s v="null"/>
    <s v="null"/>
  </r>
  <r>
    <d v="2024-08-01T00:00:00"/>
    <s v="August"/>
    <d v="1899-12-30T10:49:47"/>
    <s v="&quot;CNR6006055&quot;"/>
    <s v="Completed"/>
    <s v="&quot;CID7101749&quot;"/>
    <x v="0"/>
    <s v="Mansarovar Park"/>
    <s v="Vasant Kunj"/>
    <n v="14.5"/>
    <n v="17.5"/>
    <s v="null"/>
    <s v="null"/>
    <s v="null"/>
    <s v="null"/>
    <s v="null"/>
    <s v="null"/>
    <n v="354"/>
    <n v="33.35"/>
    <n v="4.3"/>
    <n v="4.2"/>
    <s v="Cash"/>
  </r>
  <r>
    <d v="2024-12-23T00:00:00"/>
    <s v="December"/>
    <d v="1899-12-30T14:39:13"/>
    <s v="&quot;CNR1306540&quot;"/>
    <s v="Completed"/>
    <s v="&quot;CID9576860&quot;"/>
    <x v="4"/>
    <s v="Hero Honda Chowk"/>
    <s v="Karkarduma"/>
    <n v="3.7"/>
    <n v="24.2"/>
    <s v="null"/>
    <s v="null"/>
    <s v="null"/>
    <s v="null"/>
    <s v="null"/>
    <s v="null"/>
    <n v="145"/>
    <n v="9.09"/>
    <n v="4.4000000000000004"/>
    <n v="4.3"/>
    <s v="UPI"/>
  </r>
  <r>
    <d v="2024-04-11T00:00:00"/>
    <s v="April"/>
    <d v="1899-12-30T15:07:02"/>
    <s v="&quot;CNR1910528&quot;"/>
    <s v="Completed"/>
    <s v="&quot;CID8911619&quot;"/>
    <x v="5"/>
    <s v="Pulbangash"/>
    <s v="Mundka"/>
    <n v="6.7"/>
    <n v="28.6"/>
    <s v="null"/>
    <s v="null"/>
    <s v="null"/>
    <s v="null"/>
    <s v="null"/>
    <s v="null"/>
    <n v="386"/>
    <n v="19.309999999999999"/>
    <n v="3.8"/>
    <n v="4.0999999999999996"/>
    <s v="Cash"/>
  </r>
  <r>
    <d v="2024-11-12T00:00:00"/>
    <s v="November"/>
    <d v="1899-12-30T23:06:03"/>
    <s v="&quot;CNR6885607&quot;"/>
    <s v="Completed"/>
    <s v="&quot;CID2781979&quot;"/>
    <x v="4"/>
    <s v="Bahadurgarh"/>
    <s v="Panipat"/>
    <n v="10.6"/>
    <n v="33"/>
    <s v="null"/>
    <s v="null"/>
    <s v="null"/>
    <s v="null"/>
    <s v="null"/>
    <s v="null"/>
    <n v="198"/>
    <n v="18.04"/>
    <n v="3.8"/>
    <n v="4.3"/>
    <s v="UPI"/>
  </r>
  <r>
    <d v="2024-08-19T00:00:00"/>
    <s v="August"/>
    <d v="1899-12-30T20:27:56"/>
    <s v="&quot;CNR9370876&quot;"/>
    <s v="Completed"/>
    <s v="&quot;CID7940377&quot;"/>
    <x v="2"/>
    <s v="Dwarka Mor"/>
    <s v="Ambience Mall"/>
    <n v="9.3000000000000007"/>
    <n v="15.1"/>
    <s v="null"/>
    <s v="null"/>
    <s v="null"/>
    <s v="null"/>
    <s v="null"/>
    <s v="null"/>
    <n v="620"/>
    <n v="43.51"/>
    <n v="4.4000000000000004"/>
    <n v="4.3"/>
    <s v="UPI"/>
  </r>
  <r>
    <d v="2024-03-14T00:00:00"/>
    <s v="March"/>
    <d v="1899-12-30T09:41:19"/>
    <s v="&quot;CNR7026390&quot;"/>
    <s v="Completed"/>
    <s v="&quot;CID9883697&quot;"/>
    <x v="5"/>
    <s v="Chandni Chowk"/>
    <s v="Badshahpur"/>
    <n v="12.1"/>
    <n v="32.1"/>
    <s v="null"/>
    <s v="null"/>
    <s v="null"/>
    <s v="null"/>
    <s v="null"/>
    <s v="null"/>
    <n v="661"/>
    <n v="33.49"/>
    <n v="4.2"/>
    <n v="5"/>
    <s v="Cash"/>
  </r>
  <r>
    <d v="2024-06-27T00:00:00"/>
    <s v="June"/>
    <d v="1899-12-30T17:08:28"/>
    <s v="&quot;CNR7673925&quot;"/>
    <s v="Completed"/>
    <s v="&quot;CID6300601&quot;"/>
    <x v="0"/>
    <s v="Janakpuri"/>
    <s v="IGI Airport"/>
    <n v="6.9"/>
    <n v="44.7"/>
    <s v="null"/>
    <s v="null"/>
    <s v="null"/>
    <s v="null"/>
    <s v="null"/>
    <s v="null"/>
    <n v="354"/>
    <n v="49.59"/>
    <n v="4.3"/>
    <n v="5"/>
    <s v="Cash"/>
  </r>
  <r>
    <d v="2024-08-28T00:00:00"/>
    <s v="August"/>
    <d v="1899-12-30T15:34:35"/>
    <s v="&quot;CNR2988976&quot;"/>
    <s v="Cancelled by Customer"/>
    <s v="&quot;CID4131442&quot;"/>
    <x v="2"/>
    <s v="Mansarovar Park"/>
    <s v="Inderlok"/>
    <n v="14.7"/>
    <s v="null"/>
    <n v="1"/>
    <s v="Change of plans"/>
    <s v="null"/>
    <s v="null"/>
    <s v="null"/>
    <s v="null"/>
    <s v="null"/>
    <s v="null"/>
    <s v="null"/>
    <s v="null"/>
    <s v="null"/>
  </r>
  <r>
    <d v="2024-04-08T00:00:00"/>
    <s v="April"/>
    <d v="1899-12-30T03:51:05"/>
    <s v="&quot;CNR7826352&quot;"/>
    <s v="Completed"/>
    <s v="&quot;CID6775111&quot;"/>
    <x v="1"/>
    <s v="Sushant Lok"/>
    <s v="Tilak Nagar"/>
    <n v="7.5"/>
    <n v="37.9"/>
    <s v="null"/>
    <s v="null"/>
    <s v="null"/>
    <s v="null"/>
    <s v="null"/>
    <s v="null"/>
    <n v="390"/>
    <n v="19.149999999999999"/>
    <n v="4.2"/>
    <n v="4.0999999999999996"/>
    <s v="UPI"/>
  </r>
  <r>
    <d v="2024-09-14T00:00:00"/>
    <s v="September"/>
    <d v="1899-12-30T20:25:06"/>
    <s v="&quot;CNR1508646&quot;"/>
    <s v="Completed"/>
    <s v="&quot;CID6447979&quot;"/>
    <x v="2"/>
    <s v="Chanakyapuri"/>
    <s v="Sikanderpur"/>
    <n v="4.0999999999999996"/>
    <n v="43.4"/>
    <s v="null"/>
    <s v="null"/>
    <s v="null"/>
    <s v="null"/>
    <s v="null"/>
    <s v="null"/>
    <n v="243"/>
    <n v="25.73"/>
    <n v="3.8"/>
    <n v="4.9000000000000004"/>
    <s v="UPI"/>
  </r>
  <r>
    <d v="2024-04-21T00:00:00"/>
    <s v="April"/>
    <d v="1899-12-30T14:28:07"/>
    <s v="&quot;CNR6383214&quot;"/>
    <s v="Cancelled by Driver"/>
    <s v="&quot;CID2325586&quot;"/>
    <x v="2"/>
    <s v="Nehru Place"/>
    <s v="Rohini West"/>
    <n v="9.3000000000000007"/>
    <s v="null"/>
    <s v="null"/>
    <s v="null"/>
    <n v="1"/>
    <s v="Personal &amp; Car related issues"/>
    <s v="null"/>
    <s v="null"/>
    <s v="null"/>
    <s v="null"/>
    <s v="null"/>
    <s v="null"/>
    <s v="null"/>
  </r>
  <r>
    <d v="2024-07-07T00:00:00"/>
    <s v="July"/>
    <d v="1899-12-30T05:00:38"/>
    <s v="&quot;CNR8516982&quot;"/>
    <s v="Completed"/>
    <s v="&quot;CID2384834&quot;"/>
    <x v="3"/>
    <s v="Pulbangash"/>
    <s v="Kalkaji"/>
    <n v="14.1"/>
    <n v="17.2"/>
    <s v="null"/>
    <s v="null"/>
    <s v="null"/>
    <s v="null"/>
    <s v="null"/>
    <s v="null"/>
    <n v="865"/>
    <n v="33.96"/>
    <n v="3.6"/>
    <n v="4.5999999999999996"/>
    <s v="UPI"/>
  </r>
  <r>
    <d v="2024-03-28T00:00:00"/>
    <s v="March"/>
    <d v="1899-12-30T17:34:15"/>
    <s v="&quot;CNR6953222&quot;"/>
    <s v="Completed"/>
    <s v="&quot;CID5992493&quot;"/>
    <x v="5"/>
    <s v="DLF City Court"/>
    <s v="Ghitorni Village"/>
    <n v="8.5"/>
    <n v="19"/>
    <s v="null"/>
    <s v="null"/>
    <s v="null"/>
    <s v="null"/>
    <s v="null"/>
    <s v="null"/>
    <n v="50"/>
    <n v="37.08"/>
    <n v="3.3"/>
    <n v="4.4000000000000004"/>
    <s v="UPI"/>
  </r>
  <r>
    <d v="2024-09-29T00:00:00"/>
    <s v="September"/>
    <d v="1899-12-30T12:47:04"/>
    <s v="&quot;CNR9295063&quot;"/>
    <s v="Completed"/>
    <s v="&quot;CID3118154&quot;"/>
    <x v="4"/>
    <s v="Indirapuram"/>
    <s v="Anand Vihar ISBT"/>
    <n v="12.2"/>
    <n v="17.600000000000001"/>
    <s v="null"/>
    <s v="null"/>
    <s v="null"/>
    <s v="null"/>
    <s v="null"/>
    <s v="null"/>
    <n v="582"/>
    <n v="48.97"/>
    <n v="4.5"/>
    <n v="4.2"/>
    <s v="UPI"/>
  </r>
  <r>
    <d v="2024-12-17T00:00:00"/>
    <s v="December"/>
    <d v="1899-12-30T18:33:31"/>
    <s v="&quot;CNR3522211&quot;"/>
    <s v="Completed"/>
    <s v="&quot;CID7824024&quot;"/>
    <x v="2"/>
    <s v="Paschim Vihar"/>
    <s v="Greater Kailash"/>
    <n v="5.5"/>
    <n v="31.8"/>
    <s v="null"/>
    <s v="null"/>
    <s v="null"/>
    <s v="null"/>
    <s v="null"/>
    <s v="null"/>
    <n v="419"/>
    <n v="2.38"/>
    <n v="4.9000000000000004"/>
    <n v="4.5"/>
    <s v="Credit Card"/>
  </r>
  <r>
    <d v="2024-04-23T00:00:00"/>
    <s v="April"/>
    <d v="1899-12-30T10:03:38"/>
    <s v="&quot;CNR6821815&quot;"/>
    <s v="Completed"/>
    <s v="&quot;CID4410214&quot;"/>
    <x v="3"/>
    <s v="Shastri Park"/>
    <s v="Green Park"/>
    <n v="13.4"/>
    <n v="26.6"/>
    <s v="null"/>
    <s v="null"/>
    <s v="null"/>
    <s v="null"/>
    <s v="null"/>
    <s v="null"/>
    <n v="489"/>
    <n v="24.79"/>
    <n v="4.0999999999999996"/>
    <n v="4.8"/>
    <s v="Cash"/>
  </r>
  <r>
    <d v="2024-06-05T00:00:00"/>
    <s v="June"/>
    <d v="1899-12-30T21:19:27"/>
    <s v="&quot;CNR5271191&quot;"/>
    <s v="Completed"/>
    <s v="&quot;CID2859016&quot;"/>
    <x v="5"/>
    <s v="Chanakyapuri"/>
    <s v="Uttam Nagar"/>
    <n v="5.2"/>
    <n v="25.7"/>
    <s v="null"/>
    <s v="null"/>
    <s v="null"/>
    <s v="null"/>
    <s v="null"/>
    <s v="null"/>
    <n v="248"/>
    <n v="5.93"/>
    <n v="4.5999999999999996"/>
    <n v="3.3"/>
    <s v="UPI"/>
  </r>
  <r>
    <d v="2024-01-25T00:00:00"/>
    <s v="January"/>
    <d v="1899-12-30T02:42:47"/>
    <s v="&quot;CNR9211257&quot;"/>
    <s v="Completed"/>
    <s v="&quot;CID6692447&quot;"/>
    <x v="4"/>
    <s v="Ardee City"/>
    <s v="Okhla"/>
    <n v="2.9"/>
    <n v="42.5"/>
    <s v="null"/>
    <s v="null"/>
    <s v="null"/>
    <s v="null"/>
    <s v="null"/>
    <s v="null"/>
    <n v="359"/>
    <n v="28.71"/>
    <n v="4.2"/>
    <n v="4.5"/>
    <s v="Cash"/>
  </r>
  <r>
    <d v="2024-07-28T00:00:00"/>
    <s v="July"/>
    <d v="1899-12-30T19:52:17"/>
    <s v="&quot;CNR8301647&quot;"/>
    <s v="Cancelled by Driver"/>
    <s v="&quot;CID7820319&quot;"/>
    <x v="2"/>
    <s v="Madipur"/>
    <s v="Bhiwadi"/>
    <n v="10.8"/>
    <s v="null"/>
    <s v="null"/>
    <s v="null"/>
    <n v="1"/>
    <s v="Customer related issue"/>
    <s v="null"/>
    <s v="null"/>
    <s v="null"/>
    <s v="null"/>
    <s v="null"/>
    <s v="null"/>
    <s v="null"/>
  </r>
  <r>
    <d v="2024-05-15T00:00:00"/>
    <s v="May"/>
    <d v="1899-12-30T11:24:03"/>
    <s v="&quot;CNR7169526&quot;"/>
    <s v="Completed"/>
    <s v="&quot;CID3831361&quot;"/>
    <x v="2"/>
    <s v="Ardee City"/>
    <s v="AIIMS"/>
    <n v="10.1"/>
    <n v="34.9"/>
    <s v="null"/>
    <s v="null"/>
    <s v="null"/>
    <s v="null"/>
    <s v="null"/>
    <s v="null"/>
    <n v="1643"/>
    <n v="30.78"/>
    <n v="3.5"/>
    <n v="4.0999999999999996"/>
    <s v="Uber Wallet"/>
  </r>
  <r>
    <d v="2024-11-26T00:00:00"/>
    <s v="November"/>
    <d v="1899-12-30T17:44:57"/>
    <s v="&quot;CNR8443087&quot;"/>
    <s v="No Driver Found"/>
    <s v="&quot;CID8134339&quot;"/>
    <x v="0"/>
    <s v="ITO"/>
    <s v="Kalkaji"/>
    <s v="null"/>
    <s v="null"/>
    <s v="null"/>
    <s v="null"/>
    <s v="null"/>
    <s v="null"/>
    <s v="null"/>
    <s v="null"/>
    <s v="null"/>
    <s v="null"/>
    <s v="null"/>
    <s v="null"/>
    <s v="null"/>
  </r>
  <r>
    <d v="2024-07-01T00:00:00"/>
    <s v="July"/>
    <d v="1899-12-30T10:26:45"/>
    <s v="&quot;CNR1912594&quot;"/>
    <s v="Cancelled by Driver"/>
    <s v="&quot;CID6375475&quot;"/>
    <x v="1"/>
    <s v="Jahangirpuri"/>
    <s v="Subhash Nagar"/>
    <n v="5.0999999999999996"/>
    <s v="null"/>
    <s v="null"/>
    <s v="null"/>
    <n v="1"/>
    <s v="Personal &amp; Car related issues"/>
    <s v="null"/>
    <s v="null"/>
    <s v="null"/>
    <s v="null"/>
    <s v="null"/>
    <s v="null"/>
    <s v="null"/>
  </r>
  <r>
    <d v="2024-05-06T00:00:00"/>
    <s v="May"/>
    <d v="1899-12-30T18:06:59"/>
    <s v="&quot;CNR5632602&quot;"/>
    <s v="Cancelled by Driver"/>
    <s v="&quot;CID9895446&quot;"/>
    <x v="5"/>
    <s v="Vasant Kunj"/>
    <s v="Chandni Chowk"/>
    <n v="9.6999999999999993"/>
    <s v="null"/>
    <s v="null"/>
    <s v="null"/>
    <n v="1"/>
    <s v="More than permitted people in there"/>
    <s v="null"/>
    <s v="null"/>
    <s v="null"/>
    <s v="null"/>
    <s v="null"/>
    <s v="null"/>
    <s v="null"/>
  </r>
  <r>
    <d v="2024-05-09T00:00:00"/>
    <s v="May"/>
    <d v="1899-12-30T20:27:30"/>
    <s v="&quot;CNR7344478&quot;"/>
    <s v="Cancelled by Driver"/>
    <s v="&quot;CID9789686&quot;"/>
    <x v="0"/>
    <s v="Hero Honda Chowk"/>
    <s v="Bhiwadi"/>
    <n v="10.199999999999999"/>
    <s v="null"/>
    <s v="null"/>
    <s v="null"/>
    <n v="1"/>
    <s v="The customer was coughing/sick"/>
    <s v="null"/>
    <s v="null"/>
    <s v="null"/>
    <s v="null"/>
    <s v="null"/>
    <s v="null"/>
    <s v="null"/>
  </r>
  <r>
    <d v="2024-02-17T00:00:00"/>
    <s v="February"/>
    <d v="1899-12-30T20:21:24"/>
    <s v="&quot;CNR6964686&quot;"/>
    <s v="Incomplete"/>
    <s v="&quot;CID8706030&quot;"/>
    <x v="3"/>
    <s v="Noida Extension"/>
    <s v="Rajiv Chowk"/>
    <n v="7.5"/>
    <n v="25.1"/>
    <s v="null"/>
    <s v="null"/>
    <s v="null"/>
    <s v="null"/>
    <n v="1"/>
    <s v="Other Issue"/>
    <n v="241"/>
    <n v="3.54"/>
    <s v="null"/>
    <s v="null"/>
    <s v="UPI"/>
  </r>
  <r>
    <d v="2024-03-12T00:00:00"/>
    <s v="March"/>
    <d v="1899-12-30T10:22:52"/>
    <s v="&quot;CNR1745413&quot;"/>
    <s v="No Driver Found"/>
    <s v="&quot;CID5581269&quot;"/>
    <x v="0"/>
    <s v="Nawada"/>
    <s v="Aya Nagar"/>
    <s v="null"/>
    <s v="null"/>
    <s v="null"/>
    <s v="null"/>
    <s v="null"/>
    <s v="null"/>
    <s v="null"/>
    <s v="null"/>
    <s v="null"/>
    <s v="null"/>
    <s v="null"/>
    <s v="null"/>
    <s v="null"/>
  </r>
  <r>
    <d v="2024-10-24T00:00:00"/>
    <s v="October"/>
    <d v="1899-12-30T01:26:35"/>
    <s v="&quot;CNR8731068&quot;"/>
    <s v="Cancelled by Driver"/>
    <s v="&quot;CID4015011&quot;"/>
    <x v="3"/>
    <s v="Badshahpur"/>
    <s v="Mansarovar Park"/>
    <n v="10.7"/>
    <s v="null"/>
    <s v="null"/>
    <s v="null"/>
    <n v="1"/>
    <s v="More than permitted people in there"/>
    <s v="null"/>
    <s v="null"/>
    <s v="null"/>
    <s v="null"/>
    <s v="null"/>
    <s v="null"/>
    <s v="null"/>
  </r>
  <r>
    <d v="2024-10-04T00:00:00"/>
    <s v="October"/>
    <d v="1899-12-30T18:47:12"/>
    <s v="&quot;CNR5008576&quot;"/>
    <s v="Cancelled by Customer"/>
    <s v="&quot;CID5846005&quot;"/>
    <x v="1"/>
    <s v="INA Market"/>
    <s v="Dilshad Garden"/>
    <n v="11.7"/>
    <s v="null"/>
    <n v="1"/>
    <s v="AC is not working"/>
    <s v="null"/>
    <s v="null"/>
    <s v="null"/>
    <s v="null"/>
    <s v="null"/>
    <s v="null"/>
    <s v="null"/>
    <s v="null"/>
    <s v="null"/>
  </r>
  <r>
    <d v="2024-11-08T00:00:00"/>
    <s v="November"/>
    <d v="1899-12-30T23:38:47"/>
    <s v="&quot;CNR4406511&quot;"/>
    <s v="Incomplete"/>
    <s v="&quot;CID1060191&quot;"/>
    <x v="5"/>
    <s v="Ramesh Nagar"/>
    <s v="Samaypur Badli"/>
    <n v="7.7"/>
    <n v="21.9"/>
    <s v="null"/>
    <s v="null"/>
    <s v="null"/>
    <s v="null"/>
    <n v="1"/>
    <s v="Vehicle Breakdown"/>
    <n v="299"/>
    <n v="13.62"/>
    <s v="null"/>
    <s v="null"/>
    <s v="UPI"/>
  </r>
  <r>
    <d v="2024-11-17T00:00:00"/>
    <s v="November"/>
    <d v="1899-12-30T06:22:25"/>
    <s v="&quot;CNR8556345&quot;"/>
    <s v="Cancelled by Customer"/>
    <s v="&quot;CID6849947&quot;"/>
    <x v="5"/>
    <s v="Karol Bagh"/>
    <s v="Raj Nagar Extension"/>
    <n v="8.3000000000000007"/>
    <s v="null"/>
    <n v="1"/>
    <s v="AC is not working"/>
    <s v="null"/>
    <s v="null"/>
    <s v="null"/>
    <s v="null"/>
    <s v="null"/>
    <s v="null"/>
    <s v="null"/>
    <s v="null"/>
    <s v="null"/>
  </r>
  <r>
    <d v="2024-12-29T00:00:00"/>
    <s v="December"/>
    <d v="1899-12-30T10:25:08"/>
    <s v="&quot;CNR9743675&quot;"/>
    <s v="No Driver Found"/>
    <s v="&quot;CID6480970&quot;"/>
    <x v="5"/>
    <s v="Dilshad Garden"/>
    <s v="Saket"/>
    <s v="null"/>
    <s v="null"/>
    <s v="null"/>
    <s v="null"/>
    <s v="null"/>
    <s v="null"/>
    <s v="null"/>
    <s v="null"/>
    <s v="null"/>
    <s v="null"/>
    <s v="null"/>
    <s v="null"/>
    <s v="null"/>
  </r>
  <r>
    <d v="2024-08-18T00:00:00"/>
    <s v="August"/>
    <d v="1899-12-30T20:35:22"/>
    <s v="&quot;CNR4055449&quot;"/>
    <s v="Cancelled by Driver"/>
    <s v="&quot;CID5645584&quot;"/>
    <x v="0"/>
    <s v="IFFCO Chowk"/>
    <s v="Greater Noida"/>
    <n v="6.4"/>
    <s v="null"/>
    <s v="null"/>
    <s v="null"/>
    <n v="1"/>
    <s v="Personal &amp; Car related issues"/>
    <s v="null"/>
    <s v="null"/>
    <s v="null"/>
    <s v="null"/>
    <s v="null"/>
    <s v="null"/>
    <s v="null"/>
  </r>
  <r>
    <d v="2024-11-01T00:00:00"/>
    <s v="November"/>
    <d v="1899-12-30T09:23:26"/>
    <s v="&quot;CNR2930986&quot;"/>
    <s v="Completed"/>
    <s v="&quot;CID2074886&quot;"/>
    <x v="5"/>
    <s v="Meerut"/>
    <s v="Chandni Chowk"/>
    <n v="14.7"/>
    <n v="44.8"/>
    <s v="null"/>
    <s v="null"/>
    <s v="null"/>
    <s v="null"/>
    <s v="null"/>
    <s v="null"/>
    <n v="357"/>
    <n v="5.61"/>
    <n v="4.7"/>
    <n v="4.5999999999999996"/>
    <s v="Uber Wallet"/>
  </r>
  <r>
    <d v="2024-03-23T00:00:00"/>
    <s v="March"/>
    <d v="1899-12-30T05:45:46"/>
    <s v="&quot;CNR1985687&quot;"/>
    <s v="Completed"/>
    <s v="&quot;CID2439014&quot;"/>
    <x v="2"/>
    <s v="Gurgaon Sector 56"/>
    <s v="Golf Course Road"/>
    <n v="7.7"/>
    <n v="43.2"/>
    <s v="null"/>
    <s v="null"/>
    <s v="null"/>
    <s v="null"/>
    <s v="null"/>
    <s v="null"/>
    <n v="1046"/>
    <n v="11.6"/>
    <n v="3.3"/>
    <n v="4.3"/>
    <s v="UPI"/>
  </r>
  <r>
    <d v="2024-05-06T00:00:00"/>
    <s v="May"/>
    <d v="1899-12-30T16:54:36"/>
    <s v="&quot;CNR1948359&quot;"/>
    <s v="Completed"/>
    <s v="&quot;CID4839988&quot;"/>
    <x v="2"/>
    <s v="Karkarduma"/>
    <s v="Vinobapuri"/>
    <n v="12.6"/>
    <n v="39.799999999999997"/>
    <s v="null"/>
    <s v="null"/>
    <s v="null"/>
    <s v="null"/>
    <s v="null"/>
    <s v="null"/>
    <n v="887"/>
    <n v="28.28"/>
    <n v="4.4000000000000004"/>
    <n v="4.9000000000000004"/>
    <s v="Uber Wallet"/>
  </r>
  <r>
    <d v="2024-03-28T00:00:00"/>
    <s v="March"/>
    <d v="1899-12-30T14:35:46"/>
    <s v="&quot;CNR5094256&quot;"/>
    <s v="Cancelled by Driver"/>
    <s v="&quot;CID3470774&quot;"/>
    <x v="1"/>
    <s v="Ambience Mall"/>
    <s v="Basai Dhankot"/>
    <n v="6.8"/>
    <s v="null"/>
    <s v="null"/>
    <s v="null"/>
    <n v="1"/>
    <s v="More than permitted people in there"/>
    <s v="null"/>
    <s v="null"/>
    <s v="null"/>
    <s v="null"/>
    <s v="null"/>
    <s v="null"/>
    <s v="null"/>
  </r>
  <r>
    <d v="2024-08-10T00:00:00"/>
    <s v="August"/>
    <d v="1899-12-30T10:57:58"/>
    <s v="&quot;CNR3839277&quot;"/>
    <s v="Completed"/>
    <s v="&quot;CID5761496&quot;"/>
    <x v="1"/>
    <s v="Anand Vihar"/>
    <s v="Karkarduma"/>
    <n v="5.4"/>
    <n v="18.8"/>
    <s v="null"/>
    <s v="null"/>
    <s v="null"/>
    <s v="null"/>
    <s v="null"/>
    <s v="null"/>
    <n v="176"/>
    <n v="15.09"/>
    <n v="4.2"/>
    <n v="4.3"/>
    <s v="Cash"/>
  </r>
  <r>
    <d v="2024-04-09T00:00:00"/>
    <s v="April"/>
    <d v="1899-12-30T18:26:11"/>
    <s v="&quot;CNR7602428&quot;"/>
    <s v="Completed"/>
    <s v="&quot;CID2618192&quot;"/>
    <x v="4"/>
    <s v="Samaypur Badli"/>
    <s v="Munirka"/>
    <n v="6.8"/>
    <n v="40.799999999999997"/>
    <s v="null"/>
    <s v="null"/>
    <s v="null"/>
    <s v="null"/>
    <s v="null"/>
    <s v="null"/>
    <n v="467"/>
    <n v="14.72"/>
    <n v="3.3"/>
    <n v="4.3"/>
    <s v="Cash"/>
  </r>
  <r>
    <d v="2024-11-20T00:00:00"/>
    <s v="November"/>
    <d v="1899-12-30T21:17:39"/>
    <s v="&quot;CNR2657941&quot;"/>
    <s v="Incomplete"/>
    <s v="&quot;CID2353139&quot;"/>
    <x v="4"/>
    <s v="Mundka"/>
    <s v="Badshahpur"/>
    <n v="2.2999999999999998"/>
    <n v="22.8"/>
    <s v="null"/>
    <s v="null"/>
    <s v="null"/>
    <s v="null"/>
    <n v="1"/>
    <s v="Customer Demand"/>
    <n v="597"/>
    <n v="6.87"/>
    <s v="null"/>
    <s v="null"/>
    <s v="Credit Card"/>
  </r>
  <r>
    <d v="2024-11-02T00:00:00"/>
    <s v="November"/>
    <d v="1899-12-30T05:30:20"/>
    <s v="&quot;CNR1789209&quot;"/>
    <s v="Completed"/>
    <s v="&quot;CID1846811&quot;"/>
    <x v="2"/>
    <s v="Tis Hazari"/>
    <s v="New Delhi Railway Station"/>
    <n v="3.4"/>
    <n v="24.9"/>
    <s v="null"/>
    <s v="null"/>
    <s v="null"/>
    <s v="null"/>
    <s v="null"/>
    <s v="null"/>
    <n v="939"/>
    <n v="9.07"/>
    <n v="4.3"/>
    <n v="4.5999999999999996"/>
    <s v="UPI"/>
  </r>
  <r>
    <d v="2024-06-07T00:00:00"/>
    <s v="June"/>
    <d v="1899-12-30T17:41:03"/>
    <s v="&quot;CNR1954034&quot;"/>
    <s v="Completed"/>
    <s v="&quot;CID7115223&quot;"/>
    <x v="5"/>
    <s v="Dwarka Sector 21"/>
    <s v="Seelampur"/>
    <n v="12"/>
    <n v="44.4"/>
    <s v="null"/>
    <s v="null"/>
    <s v="null"/>
    <s v="null"/>
    <s v="null"/>
    <s v="null"/>
    <n v="462"/>
    <n v="47.17"/>
    <n v="3.1"/>
    <n v="4.0999999999999996"/>
    <s v="UPI"/>
  </r>
  <r>
    <d v="2024-04-18T00:00:00"/>
    <s v="April"/>
    <d v="1899-12-30T20:13:35"/>
    <s v="&quot;CNR3765010&quot;"/>
    <s v="Completed"/>
    <s v="&quot;CID9124174&quot;"/>
    <x v="4"/>
    <s v="Shahdara"/>
    <s v="Lajpat Nagar"/>
    <n v="8.1999999999999993"/>
    <n v="23"/>
    <s v="null"/>
    <s v="null"/>
    <s v="null"/>
    <s v="null"/>
    <s v="null"/>
    <s v="null"/>
    <n v="335"/>
    <n v="47.21"/>
    <n v="3.7"/>
    <n v="4.8"/>
    <s v="Uber Wallet"/>
  </r>
  <r>
    <d v="2024-04-16T00:00:00"/>
    <s v="April"/>
    <d v="1899-12-30T11:35:54"/>
    <s v="&quot;CNR5612431&quot;"/>
    <s v="Completed"/>
    <s v="&quot;CID3088301&quot;"/>
    <x v="3"/>
    <s v="Netaji Subhash Place"/>
    <s v="Vasant Kunj"/>
    <n v="3.7"/>
    <n v="31.9"/>
    <s v="null"/>
    <s v="null"/>
    <s v="null"/>
    <s v="null"/>
    <s v="null"/>
    <s v="null"/>
    <n v="332"/>
    <n v="48.7"/>
    <n v="3.3"/>
    <n v="5"/>
    <s v="UPI"/>
  </r>
  <r>
    <d v="2024-01-15T00:00:00"/>
    <s v="January"/>
    <d v="1899-12-30T09:42:46"/>
    <s v="&quot;CNR2137304&quot;"/>
    <s v="Cancelled by Driver"/>
    <s v="&quot;CID6853358&quot;"/>
    <x v="2"/>
    <s v="Ghitorni Village"/>
    <s v="Gwal Pahari"/>
    <n v="6"/>
    <s v="null"/>
    <s v="null"/>
    <s v="null"/>
    <n v="1"/>
    <s v="Customer related issue"/>
    <s v="null"/>
    <s v="null"/>
    <s v="null"/>
    <s v="null"/>
    <s v="null"/>
    <s v="null"/>
    <s v="null"/>
  </r>
  <r>
    <d v="2024-07-12T00:00:00"/>
    <s v="July"/>
    <d v="1899-12-30T11:38:18"/>
    <s v="&quot;CNR5111641&quot;"/>
    <s v="Completed"/>
    <s v="&quot;CID6957716&quot;"/>
    <x v="5"/>
    <s v="Madipur"/>
    <s v="Sarojini Nagar"/>
    <n v="11.7"/>
    <n v="15.9"/>
    <s v="null"/>
    <s v="null"/>
    <s v="null"/>
    <s v="null"/>
    <s v="null"/>
    <s v="null"/>
    <n v="960"/>
    <n v="34.11"/>
    <n v="4.5999999999999996"/>
    <n v="5"/>
    <s v="Debit Card"/>
  </r>
  <r>
    <d v="2024-05-04T00:00:00"/>
    <s v="May"/>
    <d v="1899-12-30T07:02:29"/>
    <s v="&quot;CNR3566105&quot;"/>
    <s v="Cancelled by Driver"/>
    <s v="&quot;CID2033815&quot;"/>
    <x v="3"/>
    <s v="Uttam Nagar"/>
    <s v="Dilshad Garden"/>
    <n v="8.1999999999999993"/>
    <s v="null"/>
    <s v="null"/>
    <s v="null"/>
    <n v="1"/>
    <s v="Personal &amp; Car related issues"/>
    <s v="null"/>
    <s v="null"/>
    <s v="null"/>
    <s v="null"/>
    <s v="null"/>
    <s v="null"/>
    <s v="null"/>
  </r>
  <r>
    <d v="2024-08-20T00:00:00"/>
    <s v="August"/>
    <d v="1899-12-30T15:50:22"/>
    <s v="&quot;CNR5857825&quot;"/>
    <s v="Cancelled by Driver"/>
    <s v="&quot;CID2049884&quot;"/>
    <x v="5"/>
    <s v="Tilak Nagar"/>
    <s v="Sonipat"/>
    <n v="11.9"/>
    <s v="null"/>
    <s v="null"/>
    <s v="null"/>
    <n v="1"/>
    <s v="Customer related issue"/>
    <s v="null"/>
    <s v="null"/>
    <s v="null"/>
    <s v="null"/>
    <s v="null"/>
    <s v="null"/>
    <s v="null"/>
  </r>
  <r>
    <d v="2024-04-06T00:00:00"/>
    <s v="April"/>
    <d v="1899-12-30T15:38:18"/>
    <s v="&quot;CNR8226742&quot;"/>
    <s v="Completed"/>
    <s v="&quot;CID1855408&quot;"/>
    <x v="5"/>
    <s v="Punjabi Bagh"/>
    <s v="Shastri Nagar"/>
    <n v="13.5"/>
    <n v="38"/>
    <s v="null"/>
    <s v="null"/>
    <s v="null"/>
    <s v="null"/>
    <s v="null"/>
    <s v="null"/>
    <n v="3227"/>
    <n v="49.86"/>
    <n v="4.5999999999999996"/>
    <n v="4.4000000000000004"/>
    <s v="Cash"/>
  </r>
  <r>
    <d v="2024-02-21T00:00:00"/>
    <s v="February"/>
    <d v="1899-12-30T14:12:02"/>
    <s v="&quot;CNR6567762&quot;"/>
    <s v="Completed"/>
    <s v="&quot;CID3118228&quot;"/>
    <x v="2"/>
    <s v="Ashok Vihar"/>
    <s v="Barakhamba Road"/>
    <n v="5.7"/>
    <n v="28.7"/>
    <s v="null"/>
    <s v="null"/>
    <s v="null"/>
    <s v="null"/>
    <s v="null"/>
    <s v="null"/>
    <n v="645"/>
    <n v="22.71"/>
    <n v="4.3"/>
    <n v="4.5999999999999996"/>
    <s v="UPI"/>
  </r>
  <r>
    <d v="2024-01-21T00:00:00"/>
    <s v="January"/>
    <d v="1899-12-30T16:42:04"/>
    <s v="&quot;CNR6354226&quot;"/>
    <s v="Cancelled by Driver"/>
    <s v="&quot;CID6622851&quot;"/>
    <x v="0"/>
    <s v="Tagore Garden"/>
    <s v="Qutub Minar"/>
    <n v="3.8"/>
    <s v="null"/>
    <s v="null"/>
    <s v="null"/>
    <n v="1"/>
    <s v="More than permitted people in there"/>
    <s v="null"/>
    <s v="null"/>
    <s v="null"/>
    <s v="null"/>
    <s v="null"/>
    <s v="null"/>
    <s v="null"/>
  </r>
  <r>
    <d v="2024-12-01T00:00:00"/>
    <s v="December"/>
    <d v="1899-12-30T11:56:31"/>
    <s v="&quot;CNR6381345&quot;"/>
    <s v="Cancelled by Driver"/>
    <s v="&quot;CID6285663&quot;"/>
    <x v="3"/>
    <s v="Vinobapuri"/>
    <s v="Badarpur"/>
    <n v="8.4"/>
    <s v="null"/>
    <s v="null"/>
    <s v="null"/>
    <n v="1"/>
    <s v="The customer was coughing/sick"/>
    <s v="null"/>
    <s v="null"/>
    <s v="null"/>
    <s v="null"/>
    <s v="null"/>
    <s v="null"/>
    <s v="null"/>
  </r>
  <r>
    <d v="2024-10-06T00:00:00"/>
    <s v="October"/>
    <d v="1899-12-30T17:14:40"/>
    <s v="&quot;CNR9044972&quot;"/>
    <s v="Completed"/>
    <s v="&quot;CID9553443&quot;"/>
    <x v="0"/>
    <s v="Tilak Nagar"/>
    <s v="Udyog Vihar Phase 4"/>
    <n v="10.199999999999999"/>
    <n v="16.5"/>
    <s v="null"/>
    <s v="null"/>
    <s v="null"/>
    <s v="null"/>
    <s v="null"/>
    <s v="null"/>
    <n v="309"/>
    <n v="18.18"/>
    <n v="3.5"/>
    <n v="4.3"/>
    <s v="Debit Card"/>
  </r>
  <r>
    <d v="2024-03-02T00:00:00"/>
    <s v="March"/>
    <d v="1899-12-30T16:44:50"/>
    <s v="&quot;CNR4665242&quot;"/>
    <s v="Completed"/>
    <s v="&quot;CID1907267&quot;"/>
    <x v="3"/>
    <s v="Rajouri Garden"/>
    <s v="India Gate"/>
    <n v="14.9"/>
    <n v="26.3"/>
    <s v="null"/>
    <s v="null"/>
    <s v="null"/>
    <s v="null"/>
    <s v="null"/>
    <s v="null"/>
    <n v="160"/>
    <n v="22.56"/>
    <n v="4.5"/>
    <n v="4"/>
    <s v="Uber Wallet"/>
  </r>
  <r>
    <d v="2024-05-24T00:00:00"/>
    <s v="May"/>
    <d v="1899-12-30T13:35:53"/>
    <s v="&quot;CNR6099496&quot;"/>
    <s v="Completed"/>
    <s v="&quot;CID1896038&quot;"/>
    <x v="5"/>
    <s v="IMT Manesar"/>
    <s v="Rajiv Nagar"/>
    <n v="3.9"/>
    <n v="38.200000000000003"/>
    <s v="null"/>
    <s v="null"/>
    <s v="null"/>
    <s v="null"/>
    <s v="null"/>
    <s v="null"/>
    <n v="181"/>
    <n v="2.41"/>
    <n v="3.7"/>
    <n v="4.2"/>
    <s v="UPI"/>
  </r>
  <r>
    <d v="2024-06-18T00:00:00"/>
    <s v="June"/>
    <d v="1899-12-30T20:17:46"/>
    <s v="&quot;CNR7489199&quot;"/>
    <s v="Completed"/>
    <s v="&quot;CID2512802&quot;"/>
    <x v="4"/>
    <s v="Ashok Vihar"/>
    <s v="Rohini"/>
    <n v="12"/>
    <n v="25.9"/>
    <s v="null"/>
    <s v="null"/>
    <s v="null"/>
    <s v="null"/>
    <s v="null"/>
    <s v="null"/>
    <n v="816"/>
    <n v="33.909999999999997"/>
    <n v="4.2"/>
    <n v="4.7"/>
    <s v="UPI"/>
  </r>
  <r>
    <d v="2024-02-23T00:00:00"/>
    <s v="February"/>
    <d v="1899-12-30T16:31:56"/>
    <s v="&quot;CNR1137985&quot;"/>
    <s v="Completed"/>
    <s v="&quot;CID7691917&quot;"/>
    <x v="1"/>
    <s v="Rohini East"/>
    <s v="Badarpur"/>
    <n v="5.8"/>
    <n v="25.1"/>
    <s v="null"/>
    <s v="null"/>
    <s v="null"/>
    <s v="null"/>
    <s v="null"/>
    <s v="null"/>
    <n v="137"/>
    <n v="36.57"/>
    <n v="3.2"/>
    <n v="4.2"/>
    <s v="UPI"/>
  </r>
  <r>
    <d v="2024-09-12T00:00:00"/>
    <s v="September"/>
    <d v="1899-12-30T22:22:02"/>
    <s v="&quot;CNR2724044&quot;"/>
    <s v="Completed"/>
    <s v="&quot;CID3554106&quot;"/>
    <x v="2"/>
    <s v="Huda City Centre"/>
    <s v="Rajiv Chowk"/>
    <n v="4.5999999999999996"/>
    <n v="41.8"/>
    <s v="null"/>
    <s v="null"/>
    <s v="null"/>
    <s v="null"/>
    <s v="null"/>
    <s v="null"/>
    <n v="352"/>
    <n v="27.89"/>
    <n v="4.7"/>
    <n v="5"/>
    <s v="UPI"/>
  </r>
  <r>
    <d v="2024-06-30T00:00:00"/>
    <s v="June"/>
    <d v="1899-12-30T16:41:02"/>
    <s v="&quot;CNR2045650&quot;"/>
    <s v="Incomplete"/>
    <s v="&quot;CID1553016&quot;"/>
    <x v="3"/>
    <s v="Mandi House"/>
    <s v="Badarpur"/>
    <n v="4.9000000000000004"/>
    <n v="19"/>
    <s v="null"/>
    <s v="null"/>
    <s v="null"/>
    <s v="null"/>
    <n v="1"/>
    <s v="Customer Demand"/>
    <n v="379"/>
    <n v="3.15"/>
    <s v="null"/>
    <s v="null"/>
    <s v="UPI"/>
  </r>
  <r>
    <d v="2024-10-07T00:00:00"/>
    <s v="October"/>
    <d v="1899-12-30T17:59:36"/>
    <s v="&quot;CNR3632677&quot;"/>
    <s v="Cancelled by Customer"/>
    <s v="&quot;CID8976910&quot;"/>
    <x v="1"/>
    <s v="New Delhi Railway Station"/>
    <s v="Meerut"/>
    <n v="16.7"/>
    <s v="null"/>
    <n v="1"/>
    <s v="AC is not working"/>
    <s v="null"/>
    <s v="null"/>
    <s v="null"/>
    <s v="null"/>
    <s v="null"/>
    <s v="null"/>
    <s v="null"/>
    <s v="null"/>
    <s v="null"/>
  </r>
  <r>
    <d v="2024-09-09T00:00:00"/>
    <s v="September"/>
    <d v="1899-12-30T07:08:40"/>
    <s v="&quot;CNR8254132&quot;"/>
    <s v="Completed"/>
    <s v="&quot;CID9757771&quot;"/>
    <x v="2"/>
    <s v="Karol Bagh"/>
    <s v="ITO"/>
    <n v="11"/>
    <n v="15.6"/>
    <s v="null"/>
    <s v="null"/>
    <s v="null"/>
    <s v="null"/>
    <s v="null"/>
    <s v="null"/>
    <n v="544"/>
    <n v="23.81"/>
    <n v="4.5"/>
    <n v="3.9"/>
    <s v="Cash"/>
  </r>
  <r>
    <d v="2024-01-22T00:00:00"/>
    <s v="January"/>
    <d v="1899-12-30T11:23:00"/>
    <s v="&quot;CNR7225005&quot;"/>
    <s v="Cancelled by Driver"/>
    <s v="&quot;CID6816473&quot;"/>
    <x v="0"/>
    <s v="India Gate"/>
    <s v="Madipur"/>
    <n v="3.1"/>
    <s v="null"/>
    <s v="null"/>
    <s v="null"/>
    <n v="1"/>
    <s v="Personal &amp; Car related issues"/>
    <s v="null"/>
    <s v="null"/>
    <s v="null"/>
    <s v="null"/>
    <s v="null"/>
    <s v="null"/>
    <s v="null"/>
  </r>
  <r>
    <d v="2024-04-30T00:00:00"/>
    <s v="April"/>
    <d v="1899-12-30T19:56:22"/>
    <s v="&quot;CNR3956062&quot;"/>
    <s v="Completed"/>
    <s v="&quot;CID3223309&quot;"/>
    <x v="6"/>
    <s v="Sarai Kale Khan"/>
    <s v="Khan Market"/>
    <n v="6.7"/>
    <n v="44.3"/>
    <s v="null"/>
    <s v="null"/>
    <s v="null"/>
    <s v="null"/>
    <s v="null"/>
    <s v="null"/>
    <n v="476"/>
    <n v="36.49"/>
    <n v="4.5"/>
    <n v="4.9000000000000004"/>
    <s v="UPI"/>
  </r>
  <r>
    <d v="2024-02-03T00:00:00"/>
    <s v="February"/>
    <d v="1899-12-30T22:23:52"/>
    <s v="&quot;CNR8131452&quot;"/>
    <s v="Completed"/>
    <s v="&quot;CID7322198&quot;"/>
    <x v="5"/>
    <s v="Sonipat"/>
    <s v="Vinobapuri"/>
    <n v="7.9"/>
    <n v="29.9"/>
    <s v="null"/>
    <s v="null"/>
    <s v="null"/>
    <s v="null"/>
    <s v="null"/>
    <s v="null"/>
    <n v="258"/>
    <n v="33.39"/>
    <n v="4.2"/>
    <n v="4.5999999999999996"/>
    <s v="UPI"/>
  </r>
  <r>
    <d v="2024-02-02T00:00:00"/>
    <s v="February"/>
    <d v="1899-12-30T05:12:39"/>
    <s v="&quot;CNR6065326&quot;"/>
    <s v="Completed"/>
    <s v="&quot;CID5251660&quot;"/>
    <x v="2"/>
    <s v="Vinobapuri"/>
    <s v="Vishwavidyalaya"/>
    <n v="8.1999999999999993"/>
    <n v="18.5"/>
    <s v="null"/>
    <s v="null"/>
    <s v="null"/>
    <s v="null"/>
    <s v="null"/>
    <s v="null"/>
    <n v="728"/>
    <n v="15.05"/>
    <n v="5"/>
    <n v="4.3"/>
    <s v="Cash"/>
  </r>
  <r>
    <d v="2024-10-30T00:00:00"/>
    <s v="October"/>
    <d v="1899-12-30T14:08:42"/>
    <s v="&quot;CNR7509475&quot;"/>
    <s v="Cancelled by Customer"/>
    <s v="&quot;CID8269891&quot;"/>
    <x v="2"/>
    <s v="Ambience Mall"/>
    <s v="Huda City Centre"/>
    <n v="16.7"/>
    <s v="null"/>
    <n v="1"/>
    <s v="Wrong Address"/>
    <s v="null"/>
    <s v="null"/>
    <s v="null"/>
    <s v="null"/>
    <s v="null"/>
    <s v="null"/>
    <s v="null"/>
    <s v="null"/>
    <s v="null"/>
  </r>
  <r>
    <d v="2024-10-27T00:00:00"/>
    <s v="October"/>
    <d v="1899-12-30T17:53:02"/>
    <s v="&quot;CNR2620983&quot;"/>
    <s v="No Driver Found"/>
    <s v="&quot;CID3704528&quot;"/>
    <x v="5"/>
    <s v="Vatika Chowk"/>
    <s v="DLF City Court"/>
    <s v="null"/>
    <s v="null"/>
    <s v="null"/>
    <s v="null"/>
    <s v="null"/>
    <s v="null"/>
    <s v="null"/>
    <s v="null"/>
    <s v="null"/>
    <s v="null"/>
    <s v="null"/>
    <s v="null"/>
    <s v="null"/>
  </r>
  <r>
    <d v="2024-03-26T00:00:00"/>
    <s v="March"/>
    <d v="1899-12-30T16:26:26"/>
    <s v="&quot;CNR8742263&quot;"/>
    <s v="Completed"/>
    <s v="&quot;CID4481410&quot;"/>
    <x v="5"/>
    <s v="Ghitorni Village"/>
    <s v="MG Road"/>
    <n v="9.6999999999999993"/>
    <n v="27.1"/>
    <s v="null"/>
    <s v="null"/>
    <s v="null"/>
    <s v="null"/>
    <s v="null"/>
    <s v="null"/>
    <n v="335"/>
    <n v="19.97"/>
    <n v="4.2"/>
    <n v="4.3"/>
    <s v="Debit Card"/>
  </r>
  <r>
    <d v="2024-12-02T00:00:00"/>
    <s v="December"/>
    <d v="1899-12-30T19:38:42"/>
    <s v="&quot;CNR5285954&quot;"/>
    <s v="Cancelled by Driver"/>
    <s v="&quot;CID9794267&quot;"/>
    <x v="1"/>
    <s v="Jama Masjid"/>
    <s v="Huda City Centre"/>
    <n v="11.2"/>
    <s v="null"/>
    <s v="null"/>
    <s v="null"/>
    <n v="1"/>
    <s v="The customer was coughing/sick"/>
    <s v="null"/>
    <s v="null"/>
    <s v="null"/>
    <s v="null"/>
    <s v="null"/>
    <s v="null"/>
    <s v="null"/>
  </r>
  <r>
    <d v="2024-04-22T00:00:00"/>
    <s v="April"/>
    <d v="1899-12-30T12:23:40"/>
    <s v="&quot;CNR7074903&quot;"/>
    <s v="Completed"/>
    <s v="&quot;CID3097521&quot;"/>
    <x v="5"/>
    <s v="Meerut"/>
    <s v="Bahadurgarh"/>
    <n v="2.2999999999999998"/>
    <n v="17.8"/>
    <s v="null"/>
    <s v="null"/>
    <s v="null"/>
    <s v="null"/>
    <s v="null"/>
    <s v="null"/>
    <n v="112"/>
    <n v="31.17"/>
    <n v="4.2"/>
    <n v="5"/>
    <s v="Debit Card"/>
  </r>
  <r>
    <d v="2024-08-23T00:00:00"/>
    <s v="August"/>
    <d v="1899-12-30T11:52:01"/>
    <s v="&quot;CNR5024037&quot;"/>
    <s v="Cancelled by Driver"/>
    <s v="&quot;CID9281756&quot;"/>
    <x v="2"/>
    <s v="Model Town"/>
    <s v="Vidhan Sabha"/>
    <n v="4.5"/>
    <s v="null"/>
    <s v="null"/>
    <s v="null"/>
    <n v="1"/>
    <s v="Personal &amp; Car related issues"/>
    <s v="null"/>
    <s v="null"/>
    <s v="null"/>
    <s v="null"/>
    <s v="null"/>
    <s v="null"/>
    <s v="null"/>
  </r>
  <r>
    <d v="2024-10-02T00:00:00"/>
    <s v="October"/>
    <d v="1899-12-30T06:49:51"/>
    <s v="&quot;CNR4938354&quot;"/>
    <s v="Completed"/>
    <s v="&quot;CID4689934&quot;"/>
    <x v="1"/>
    <s v="Tis Hazari"/>
    <s v="Panchsheel Park"/>
    <n v="4.0999999999999996"/>
    <n v="44.6"/>
    <s v="null"/>
    <s v="null"/>
    <s v="null"/>
    <s v="null"/>
    <s v="null"/>
    <s v="null"/>
    <n v="544"/>
    <n v="27.4"/>
    <n v="4.4000000000000004"/>
    <n v="3.2"/>
    <s v="Cash"/>
  </r>
  <r>
    <d v="2024-09-15T00:00:00"/>
    <s v="September"/>
    <d v="1899-12-30T20:56:40"/>
    <s v="&quot;CNR5143543&quot;"/>
    <s v="Completed"/>
    <s v="&quot;CID9965076&quot;"/>
    <x v="2"/>
    <s v="Sonipat"/>
    <s v="Ashok Vihar"/>
    <n v="7.6"/>
    <n v="18"/>
    <s v="null"/>
    <s v="null"/>
    <s v="null"/>
    <s v="null"/>
    <s v="null"/>
    <s v="null"/>
    <n v="609"/>
    <n v="20.51"/>
    <n v="3.8"/>
    <n v="4.0999999999999996"/>
    <s v="UPI"/>
  </r>
  <r>
    <d v="2024-09-17T00:00:00"/>
    <s v="September"/>
    <d v="1899-12-30T19:48:08"/>
    <s v="&quot;CNR5394451&quot;"/>
    <s v="Completed"/>
    <s v="&quot;CID2882325&quot;"/>
    <x v="4"/>
    <s v="Mehrauli"/>
    <s v="Green Park"/>
    <n v="5.0999999999999996"/>
    <n v="16.7"/>
    <s v="null"/>
    <s v="null"/>
    <s v="null"/>
    <s v="null"/>
    <s v="null"/>
    <s v="null"/>
    <n v="136"/>
    <n v="45.7"/>
    <n v="4.5999999999999996"/>
    <n v="4.8"/>
    <s v="UPI"/>
  </r>
  <r>
    <d v="2024-05-09T00:00:00"/>
    <s v="May"/>
    <d v="1899-12-30T14:36:25"/>
    <s v="&quot;CNR5683028&quot;"/>
    <s v="Completed"/>
    <s v="&quot;CID7179832&quot;"/>
    <x v="5"/>
    <s v="ITO"/>
    <s v="MG Road"/>
    <n v="9.6"/>
    <n v="41"/>
    <s v="null"/>
    <s v="null"/>
    <s v="null"/>
    <s v="null"/>
    <s v="null"/>
    <s v="null"/>
    <n v="209"/>
    <n v="20.190000000000001"/>
    <n v="4.3"/>
    <n v="3.8"/>
    <s v="Uber Wallet"/>
  </r>
  <r>
    <d v="2024-06-23T00:00:00"/>
    <s v="June"/>
    <d v="1899-12-30T07:14:49"/>
    <s v="&quot;CNR5510975&quot;"/>
    <s v="Cancelled by Driver"/>
    <s v="&quot;CID9119302&quot;"/>
    <x v="0"/>
    <s v="Central Secretariat"/>
    <s v="Anand Vihar ISBT"/>
    <n v="11.4"/>
    <s v="null"/>
    <s v="null"/>
    <s v="null"/>
    <n v="1"/>
    <s v="The customer was coughing/sick"/>
    <s v="null"/>
    <s v="null"/>
    <s v="null"/>
    <s v="null"/>
    <s v="null"/>
    <s v="null"/>
    <s v="null"/>
  </r>
  <r>
    <d v="2024-10-29T00:00:00"/>
    <s v="October"/>
    <d v="1899-12-30T18:47:38"/>
    <s v="&quot;CNR4673166&quot;"/>
    <s v="Cancelled by Driver"/>
    <s v="&quot;CID6174273&quot;"/>
    <x v="1"/>
    <s v="Sonipat"/>
    <s v="Ghitorni"/>
    <n v="11.8"/>
    <s v="null"/>
    <s v="null"/>
    <s v="null"/>
    <n v="1"/>
    <s v="The customer was coughing/sick"/>
    <s v="null"/>
    <s v="null"/>
    <s v="null"/>
    <s v="null"/>
    <s v="null"/>
    <s v="null"/>
    <s v="null"/>
  </r>
  <r>
    <d v="2024-12-27T00:00:00"/>
    <s v="December"/>
    <d v="1899-12-30T03:21:36"/>
    <s v="&quot;CNR5156638&quot;"/>
    <s v="Cancelled by Driver"/>
    <s v="&quot;CID2740031&quot;"/>
    <x v="1"/>
    <s v="Govindpuri"/>
    <s v="Golf Course Road"/>
    <n v="8.8000000000000007"/>
    <s v="null"/>
    <s v="null"/>
    <s v="null"/>
    <n v="1"/>
    <s v="Customer related issue"/>
    <s v="null"/>
    <s v="null"/>
    <s v="null"/>
    <s v="null"/>
    <s v="null"/>
    <s v="null"/>
    <s v="null"/>
  </r>
  <r>
    <d v="2024-10-30T00:00:00"/>
    <s v="October"/>
    <d v="1899-12-30T13:53:26"/>
    <s v="&quot;CNR3333047&quot;"/>
    <s v="Cancelled by Driver"/>
    <s v="&quot;CID3041269&quot;"/>
    <x v="2"/>
    <s v="Inderlok"/>
    <s v="Paschim Vihar"/>
    <n v="8.1"/>
    <s v="null"/>
    <s v="null"/>
    <s v="null"/>
    <n v="1"/>
    <s v="Personal &amp; Car related issues"/>
    <s v="null"/>
    <s v="null"/>
    <s v="null"/>
    <s v="null"/>
    <s v="null"/>
    <s v="null"/>
    <s v="null"/>
  </r>
  <r>
    <d v="2024-04-18T00:00:00"/>
    <s v="April"/>
    <d v="1899-12-30T17:34:38"/>
    <s v="&quot;CNR9263685&quot;"/>
    <s v="Cancelled by Driver"/>
    <s v="&quot;CID3243366&quot;"/>
    <x v="6"/>
    <s v="Raj Nagar Extension"/>
    <s v="Sarojini Nagar"/>
    <n v="9.5"/>
    <s v="null"/>
    <s v="null"/>
    <s v="null"/>
    <n v="1"/>
    <s v="More than permitted people in there"/>
    <s v="null"/>
    <s v="null"/>
    <s v="null"/>
    <s v="null"/>
    <s v="null"/>
    <s v="null"/>
    <s v="null"/>
  </r>
  <r>
    <d v="2024-02-05T00:00:00"/>
    <s v="February"/>
    <d v="1899-12-30T16:53:34"/>
    <s v="&quot;CNR9554863&quot;"/>
    <s v="Completed"/>
    <s v="&quot;CID2557936&quot;"/>
    <x v="3"/>
    <s v="Gurgaon Railway Station"/>
    <s v="Old Gurgaon"/>
    <n v="12.3"/>
    <n v="21.3"/>
    <s v="null"/>
    <s v="null"/>
    <s v="null"/>
    <s v="null"/>
    <s v="null"/>
    <s v="null"/>
    <n v="847"/>
    <n v="23.27"/>
    <n v="3.1"/>
    <n v="3.6"/>
    <s v="UPI"/>
  </r>
  <r>
    <d v="2024-04-13T00:00:00"/>
    <s v="April"/>
    <d v="1899-12-30T13:02:13"/>
    <s v="&quot;CNR1993725&quot;"/>
    <s v="Cancelled by Driver"/>
    <s v="&quot;CID7441368&quot;"/>
    <x v="2"/>
    <s v="Connaught Place"/>
    <s v="Subhash Nagar"/>
    <n v="10.199999999999999"/>
    <s v="null"/>
    <s v="null"/>
    <s v="null"/>
    <n v="1"/>
    <s v="More than permitted people in there"/>
    <s v="null"/>
    <s v="null"/>
    <s v="null"/>
    <s v="null"/>
    <s v="null"/>
    <s v="null"/>
    <s v="null"/>
  </r>
  <r>
    <d v="2024-01-15T00:00:00"/>
    <s v="January"/>
    <d v="1899-12-30T17:58:57"/>
    <s v="&quot;CNR4947416&quot;"/>
    <s v="Completed"/>
    <s v="&quot;CID3656227&quot;"/>
    <x v="0"/>
    <s v="Ashok Vihar"/>
    <s v="Mansarovar Park"/>
    <n v="8.3000000000000007"/>
    <n v="32.9"/>
    <s v="null"/>
    <s v="null"/>
    <s v="null"/>
    <s v="null"/>
    <s v="null"/>
    <s v="null"/>
    <n v="577"/>
    <n v="31.19"/>
    <n v="4.3"/>
    <n v="4.8"/>
    <s v="Cash"/>
  </r>
  <r>
    <d v="2024-09-04T00:00:00"/>
    <s v="September"/>
    <d v="1899-12-30T06:57:27"/>
    <s v="&quot;CNR9064014&quot;"/>
    <s v="Completed"/>
    <s v="&quot;CID9012618&quot;"/>
    <x v="5"/>
    <s v="Ashok Park Main"/>
    <s v="Khandsa"/>
    <n v="14.6"/>
    <n v="15.2"/>
    <s v="null"/>
    <s v="null"/>
    <s v="null"/>
    <s v="null"/>
    <s v="null"/>
    <s v="null"/>
    <n v="52"/>
    <n v="40.6"/>
    <n v="4.2"/>
    <n v="4.8"/>
    <s v="Cash"/>
  </r>
  <r>
    <d v="2024-12-15T00:00:00"/>
    <s v="December"/>
    <d v="1899-12-30T13:25:23"/>
    <s v="&quot;CNR1220666&quot;"/>
    <s v="Completed"/>
    <s v="&quot;CID8288391&quot;"/>
    <x v="4"/>
    <s v="Adarsh Nagar"/>
    <s v="Noida Sector 62"/>
    <n v="7.7"/>
    <n v="31.8"/>
    <s v="null"/>
    <s v="null"/>
    <s v="null"/>
    <s v="null"/>
    <s v="null"/>
    <s v="null"/>
    <n v="751"/>
    <n v="14.74"/>
    <n v="3.9"/>
    <n v="4.5"/>
    <s v="Debit Card"/>
  </r>
  <r>
    <d v="2024-02-07T00:00:00"/>
    <s v="February"/>
    <d v="1899-12-30T17:49:12"/>
    <s v="&quot;CNR8696128&quot;"/>
    <s v="Cancelled by Customer"/>
    <s v="&quot;CID4048591&quot;"/>
    <x v="5"/>
    <s v="Azadpur"/>
    <s v="Palam Vihar"/>
    <n v="7.6"/>
    <s v="null"/>
    <n v="1"/>
    <s v="Driver is not moving towards pickup location"/>
    <s v="null"/>
    <s v="null"/>
    <s v="null"/>
    <s v="null"/>
    <s v="null"/>
    <s v="null"/>
    <s v="null"/>
    <s v="null"/>
    <s v="null"/>
  </r>
  <r>
    <d v="2024-06-19T00:00:00"/>
    <s v="June"/>
    <d v="1899-12-30T10:12:22"/>
    <s v="&quot;CNR2139085&quot;"/>
    <s v="Cancelled by Driver"/>
    <s v="&quot;CID6937468&quot;"/>
    <x v="2"/>
    <s v="Civil Lines Gurgaon"/>
    <s v="Shastri Nagar"/>
    <n v="3.3"/>
    <s v="null"/>
    <s v="null"/>
    <s v="null"/>
    <n v="1"/>
    <s v="Personal &amp; Car related issues"/>
    <s v="null"/>
    <s v="null"/>
    <s v="null"/>
    <s v="null"/>
    <s v="null"/>
    <s v="null"/>
    <s v="null"/>
  </r>
  <r>
    <d v="2024-12-18T00:00:00"/>
    <s v="December"/>
    <d v="1899-12-30T12:50:40"/>
    <s v="&quot;CNR9790703&quot;"/>
    <s v="Completed"/>
    <s v="&quot;CID6628432&quot;"/>
    <x v="5"/>
    <s v="Udyog Vihar"/>
    <s v="Cyber Hub"/>
    <n v="9.1999999999999993"/>
    <n v="25.8"/>
    <s v="null"/>
    <s v="null"/>
    <s v="null"/>
    <s v="null"/>
    <s v="null"/>
    <s v="null"/>
    <n v="947"/>
    <n v="31.96"/>
    <n v="4.3"/>
    <n v="4.5999999999999996"/>
    <s v="Cash"/>
  </r>
  <r>
    <d v="2024-05-23T00:00:00"/>
    <s v="May"/>
    <d v="1899-12-30T17:32:09"/>
    <s v="&quot;CNR5788844&quot;"/>
    <s v="Cancelled by Driver"/>
    <s v="&quot;CID8109974&quot;"/>
    <x v="2"/>
    <s v="Meerut"/>
    <s v="Pulbangash"/>
    <n v="11.3"/>
    <s v="null"/>
    <s v="null"/>
    <s v="null"/>
    <n v="1"/>
    <s v="The customer was coughing/sick"/>
    <s v="null"/>
    <s v="null"/>
    <s v="null"/>
    <s v="null"/>
    <s v="null"/>
    <s v="null"/>
    <s v="null"/>
  </r>
  <r>
    <d v="2024-12-06T00:00:00"/>
    <s v="December"/>
    <d v="1899-12-30T13:16:40"/>
    <s v="&quot;CNR6257443&quot;"/>
    <s v="Completed"/>
    <s v="&quot;CID7158119&quot;"/>
    <x v="2"/>
    <s v="Seelampur"/>
    <s v="Lal Quila"/>
    <n v="13.4"/>
    <n v="17.100000000000001"/>
    <s v="null"/>
    <s v="null"/>
    <s v="null"/>
    <s v="null"/>
    <s v="null"/>
    <s v="null"/>
    <n v="671"/>
    <n v="34.75"/>
    <n v="4.4000000000000004"/>
    <n v="4.9000000000000004"/>
    <s v="UPI"/>
  </r>
  <r>
    <d v="2024-01-30T00:00:00"/>
    <s v="January"/>
    <d v="1899-12-30T20:58:46"/>
    <s v="&quot;CNR2100867&quot;"/>
    <s v="No Driver Found"/>
    <s v="&quot;CID2240424&quot;"/>
    <x v="2"/>
    <s v="Ardee City"/>
    <s v="Ghitorni Village"/>
    <s v="null"/>
    <s v="null"/>
    <s v="null"/>
    <s v="null"/>
    <s v="null"/>
    <s v="null"/>
    <s v="null"/>
    <s v="null"/>
    <s v="null"/>
    <s v="null"/>
    <s v="null"/>
    <s v="null"/>
    <s v="null"/>
  </r>
  <r>
    <d v="2024-11-11T00:00:00"/>
    <s v="November"/>
    <d v="1899-12-30T13:44:40"/>
    <s v="&quot;CNR3357604&quot;"/>
    <s v="Completed"/>
    <s v="&quot;CID2270853&quot;"/>
    <x v="2"/>
    <s v="Rajouri Garden"/>
    <s v="Bhiwadi"/>
    <n v="9.5"/>
    <n v="15.3"/>
    <s v="null"/>
    <s v="null"/>
    <s v="null"/>
    <s v="null"/>
    <s v="null"/>
    <s v="null"/>
    <n v="468"/>
    <n v="35.29"/>
    <n v="4.4000000000000004"/>
    <n v="4.8"/>
    <s v="Debit Card"/>
  </r>
  <r>
    <d v="2024-02-13T00:00:00"/>
    <s v="February"/>
    <d v="1899-12-30T16:11:33"/>
    <s v="&quot;CNR6378906&quot;"/>
    <s v="Completed"/>
    <s v="&quot;CID4320820&quot;"/>
    <x v="2"/>
    <s v="Noida Film City"/>
    <s v="Vaishali"/>
    <n v="5.8"/>
    <n v="18.600000000000001"/>
    <s v="null"/>
    <s v="null"/>
    <s v="null"/>
    <s v="null"/>
    <s v="null"/>
    <s v="null"/>
    <n v="162"/>
    <n v="23.95"/>
    <n v="3.3"/>
    <n v="3.9"/>
    <s v="Cash"/>
  </r>
  <r>
    <d v="2024-05-01T00:00:00"/>
    <s v="May"/>
    <d v="1899-12-30T18:51:25"/>
    <s v="&quot;CNR4616065&quot;"/>
    <s v="Cancelled by Customer"/>
    <s v="&quot;CID7075974&quot;"/>
    <x v="0"/>
    <s v="Indraprastha"/>
    <s v="Chhatarpur"/>
    <n v="14.5"/>
    <s v="null"/>
    <n v="1"/>
    <s v="Wrong Address"/>
    <s v="null"/>
    <s v="null"/>
    <s v="null"/>
    <s v="null"/>
    <s v="null"/>
    <s v="null"/>
    <s v="null"/>
    <s v="null"/>
    <s v="null"/>
  </r>
  <r>
    <d v="2024-06-07T00:00:00"/>
    <s v="June"/>
    <d v="1899-12-30T09:43:42"/>
    <s v="&quot;CNR6914295&quot;"/>
    <s v="Completed"/>
    <s v="&quot;CID6995151&quot;"/>
    <x v="4"/>
    <s v="Moti Nagar"/>
    <s v="Pragati Maidan"/>
    <n v="7.1"/>
    <n v="40"/>
    <s v="null"/>
    <s v="null"/>
    <s v="null"/>
    <s v="null"/>
    <s v="null"/>
    <s v="null"/>
    <n v="384"/>
    <n v="43.54"/>
    <n v="4.0999999999999996"/>
    <n v="4.8"/>
    <s v="Uber Wallet"/>
  </r>
  <r>
    <d v="2024-04-24T00:00:00"/>
    <s v="April"/>
    <d v="1899-12-30T21:39:40"/>
    <s v="&quot;CNR2116759&quot;"/>
    <s v="Cancelled by Customer"/>
    <s v="&quot;CID7023290&quot;"/>
    <x v="3"/>
    <s v="India Gate"/>
    <s v="Karol Bagh"/>
    <n v="15.4"/>
    <s v="null"/>
    <n v="1"/>
    <s v="Driver asked to cancel"/>
    <s v="null"/>
    <s v="null"/>
    <s v="null"/>
    <s v="null"/>
    <s v="null"/>
    <s v="null"/>
    <s v="null"/>
    <s v="null"/>
    <s v="null"/>
  </r>
  <r>
    <d v="2024-11-29T00:00:00"/>
    <s v="November"/>
    <d v="1899-12-30T17:43:49"/>
    <s v="&quot;CNR4508411&quot;"/>
    <s v="Completed"/>
    <s v="&quot;CID9941037&quot;"/>
    <x v="5"/>
    <s v="New Colony"/>
    <s v="Qutub Minar"/>
    <n v="9.6999999999999993"/>
    <n v="19.2"/>
    <s v="null"/>
    <s v="null"/>
    <s v="null"/>
    <s v="null"/>
    <s v="null"/>
    <s v="null"/>
    <n v="288"/>
    <n v="13.51"/>
    <n v="3.8"/>
    <n v="4.2"/>
    <s v="Credit Card"/>
  </r>
  <r>
    <d v="2024-09-28T00:00:00"/>
    <s v="September"/>
    <d v="1899-12-30T15:23:51"/>
    <s v="&quot;CNR8149775&quot;"/>
    <s v="Completed"/>
    <s v="&quot;CID9718733&quot;"/>
    <x v="3"/>
    <s v="Maidan Garhi"/>
    <s v="Pitampura"/>
    <n v="10.7"/>
    <n v="31"/>
    <s v="null"/>
    <s v="null"/>
    <s v="null"/>
    <s v="null"/>
    <s v="null"/>
    <s v="null"/>
    <n v="158"/>
    <n v="16.82"/>
    <n v="4.2"/>
    <n v="3.7"/>
    <s v="UPI"/>
  </r>
  <r>
    <d v="2024-06-23T00:00:00"/>
    <s v="June"/>
    <d v="1899-12-30T18:18:40"/>
    <s v="&quot;CNR8841090&quot;"/>
    <s v="Completed"/>
    <s v="&quot;CID5732489&quot;"/>
    <x v="4"/>
    <s v="Malviya Nagar"/>
    <s v="Subhash Chowk"/>
    <n v="7.1"/>
    <n v="45"/>
    <s v="null"/>
    <s v="null"/>
    <s v="null"/>
    <s v="null"/>
    <s v="null"/>
    <s v="null"/>
    <n v="801"/>
    <n v="44.35"/>
    <n v="4.7"/>
    <n v="4.7"/>
    <s v="UPI"/>
  </r>
  <r>
    <d v="2024-06-20T00:00:00"/>
    <s v="June"/>
    <d v="1899-12-30T20:48:17"/>
    <s v="&quot;CNR4595647&quot;"/>
    <s v="Completed"/>
    <s v="&quot;CID8125225&quot;"/>
    <x v="1"/>
    <s v="Tilak Nagar"/>
    <s v="Noida Film City"/>
    <n v="6.8"/>
    <n v="31.4"/>
    <s v="null"/>
    <s v="null"/>
    <s v="null"/>
    <s v="null"/>
    <s v="null"/>
    <s v="null"/>
    <n v="362"/>
    <n v="45.48"/>
    <n v="4.7"/>
    <n v="4.5999999999999996"/>
    <s v="Debit Card"/>
  </r>
  <r>
    <d v="2024-09-27T00:00:00"/>
    <s v="September"/>
    <d v="1899-12-30T14:26:14"/>
    <s v="&quot;CNR1241179&quot;"/>
    <s v="Completed"/>
    <s v="&quot;CID1210470&quot;"/>
    <x v="5"/>
    <s v="Uttam Nagar"/>
    <s v="ITO"/>
    <n v="13.6"/>
    <n v="41"/>
    <s v="null"/>
    <s v="null"/>
    <s v="null"/>
    <s v="null"/>
    <s v="null"/>
    <s v="null"/>
    <n v="587"/>
    <n v="15.83"/>
    <n v="4.3"/>
    <n v="4.3"/>
    <s v="Uber Wallet"/>
  </r>
  <r>
    <d v="2024-03-26T00:00:00"/>
    <s v="March"/>
    <d v="1899-12-30T10:51:58"/>
    <s v="&quot;CNR5574631&quot;"/>
    <s v="Completed"/>
    <s v="&quot;CID3269363&quot;"/>
    <x v="4"/>
    <s v="Moolchand"/>
    <s v="Adarsh Nagar"/>
    <n v="2.8"/>
    <n v="18.100000000000001"/>
    <s v="null"/>
    <s v="null"/>
    <s v="null"/>
    <s v="null"/>
    <s v="null"/>
    <s v="null"/>
    <n v="537"/>
    <n v="3.53"/>
    <n v="4.2"/>
    <n v="4.2"/>
    <s v="Cash"/>
  </r>
  <r>
    <d v="2024-03-04T00:00:00"/>
    <s v="March"/>
    <d v="1899-12-30T15:26:14"/>
    <s v="&quot;CNR5528090&quot;"/>
    <s v="Completed"/>
    <s v="&quot;CID1081955&quot;"/>
    <x v="5"/>
    <s v="Shivaji Park"/>
    <s v="Ramesh Nagar"/>
    <n v="14.9"/>
    <n v="18"/>
    <s v="null"/>
    <s v="null"/>
    <s v="null"/>
    <s v="null"/>
    <s v="null"/>
    <s v="null"/>
    <n v="108"/>
    <n v="39.36"/>
    <n v="4.5"/>
    <n v="3.9"/>
    <s v="Cash"/>
  </r>
  <r>
    <d v="2024-12-04T00:00:00"/>
    <s v="December"/>
    <d v="1899-12-30T11:38:38"/>
    <s v="&quot;CNR1881031&quot;"/>
    <s v="Incomplete"/>
    <s v="&quot;CID5491076&quot;"/>
    <x v="2"/>
    <s v="Basai Dhankot"/>
    <s v="Nirman Vihar"/>
    <n v="6.9"/>
    <n v="25.4"/>
    <s v="null"/>
    <s v="null"/>
    <s v="null"/>
    <s v="null"/>
    <n v="1"/>
    <s v="Customer Demand"/>
    <n v="194"/>
    <n v="19.989999999999998"/>
    <s v="null"/>
    <s v="null"/>
    <s v="UPI"/>
  </r>
  <r>
    <d v="2024-07-20T00:00:00"/>
    <s v="July"/>
    <d v="1899-12-30T00:52:15"/>
    <s v="&quot;CNR3207142&quot;"/>
    <s v="Completed"/>
    <s v="&quot;CID4665133&quot;"/>
    <x v="6"/>
    <s v="Panipat"/>
    <s v="Badarpur"/>
    <n v="8.3000000000000007"/>
    <n v="26.3"/>
    <s v="null"/>
    <s v="null"/>
    <s v="null"/>
    <s v="null"/>
    <s v="null"/>
    <s v="null"/>
    <n v="591"/>
    <n v="14.68"/>
    <n v="4.0999999999999996"/>
    <n v="4.5999999999999996"/>
    <s v="Uber Wallet"/>
  </r>
  <r>
    <d v="2024-04-14T00:00:00"/>
    <s v="April"/>
    <d v="1899-12-30T13:39:50"/>
    <s v="&quot;CNR9375758&quot;"/>
    <s v="Completed"/>
    <s v="&quot;CID7485198&quot;"/>
    <x v="3"/>
    <s v="Arjangarh"/>
    <s v="Janakpuri"/>
    <n v="8.8000000000000007"/>
    <n v="28.5"/>
    <s v="null"/>
    <s v="null"/>
    <s v="null"/>
    <s v="null"/>
    <s v="null"/>
    <s v="null"/>
    <n v="707"/>
    <n v="3.49"/>
    <n v="3.3"/>
    <n v="4.3"/>
    <s v="UPI"/>
  </r>
  <r>
    <d v="2024-02-03T00:00:00"/>
    <s v="February"/>
    <d v="1899-12-30T18:22:55"/>
    <s v="&quot;CNR7218841&quot;"/>
    <s v="No Driver Found"/>
    <s v="&quot;CID8359905&quot;"/>
    <x v="4"/>
    <s v="Karol Bagh"/>
    <s v="Nehru Place"/>
    <s v="null"/>
    <s v="null"/>
    <s v="null"/>
    <s v="null"/>
    <s v="null"/>
    <s v="null"/>
    <s v="null"/>
    <s v="null"/>
    <s v="null"/>
    <s v="null"/>
    <s v="null"/>
    <s v="null"/>
    <s v="null"/>
  </r>
  <r>
    <d v="2024-02-04T00:00:00"/>
    <s v="February"/>
    <d v="1899-12-30T22:18:05"/>
    <s v="&quot;CNR7768814&quot;"/>
    <s v="Cancelled by Customer"/>
    <s v="&quot;CID7781598&quot;"/>
    <x v="5"/>
    <s v="Khan Market"/>
    <s v="Jahangirpuri"/>
    <n v="10.1"/>
    <s v="null"/>
    <n v="1"/>
    <s v="Wrong Address"/>
    <s v="null"/>
    <s v="null"/>
    <s v="null"/>
    <s v="null"/>
    <s v="null"/>
    <s v="null"/>
    <s v="null"/>
    <s v="null"/>
    <s v="null"/>
  </r>
  <r>
    <d v="2024-11-05T00:00:00"/>
    <s v="November"/>
    <d v="1899-12-30T19:34:45"/>
    <s v="&quot;CNR8427969&quot;"/>
    <s v="Completed"/>
    <s v="&quot;CID5795044&quot;"/>
    <x v="5"/>
    <s v="Vidhan Sabha"/>
    <s v="Inderlok"/>
    <n v="8.9"/>
    <n v="35.5"/>
    <s v="null"/>
    <s v="null"/>
    <s v="null"/>
    <s v="null"/>
    <s v="null"/>
    <s v="null"/>
    <n v="52"/>
    <n v="37.619999999999997"/>
    <n v="4.2"/>
    <n v="4.4000000000000004"/>
    <s v="Uber Wallet"/>
  </r>
  <r>
    <d v="2024-02-07T00:00:00"/>
    <s v="February"/>
    <d v="1899-12-30T02:06:21"/>
    <s v="&quot;CNR8714051&quot;"/>
    <s v="Completed"/>
    <s v="&quot;CID2553189&quot;"/>
    <x v="1"/>
    <s v="Pragati Maidan"/>
    <s v="Kalkaji"/>
    <n v="11.3"/>
    <n v="39.5"/>
    <s v="null"/>
    <s v="null"/>
    <s v="null"/>
    <s v="null"/>
    <s v="null"/>
    <s v="null"/>
    <n v="520"/>
    <n v="27.98"/>
    <n v="4.0999999999999996"/>
    <n v="4.3"/>
    <s v="Cash"/>
  </r>
  <r>
    <d v="2024-03-07T00:00:00"/>
    <s v="March"/>
    <d v="1899-12-30T18:56:32"/>
    <s v="&quot;CNR9349050&quot;"/>
    <s v="Completed"/>
    <s v="&quot;CID2484971&quot;"/>
    <x v="2"/>
    <s v="Samaypur Badli"/>
    <s v="Ramesh Nagar"/>
    <n v="7.4"/>
    <n v="41"/>
    <s v="null"/>
    <s v="null"/>
    <s v="null"/>
    <s v="null"/>
    <s v="null"/>
    <s v="null"/>
    <n v="551"/>
    <n v="48.84"/>
    <n v="4.0999999999999996"/>
    <n v="4.9000000000000004"/>
    <s v="Uber Wallet"/>
  </r>
  <r>
    <d v="2024-11-18T00:00:00"/>
    <s v="November"/>
    <d v="1899-12-30T09:02:39"/>
    <s v="&quot;CNR6497665&quot;"/>
    <s v="Cancelled by Driver"/>
    <s v="&quot;CID8659472&quot;"/>
    <x v="1"/>
    <s v="Huda City Centre"/>
    <s v="Khandsa"/>
    <n v="8.5"/>
    <s v="null"/>
    <s v="null"/>
    <s v="null"/>
    <n v="1"/>
    <s v="Customer related issue"/>
    <s v="null"/>
    <s v="null"/>
    <s v="null"/>
    <s v="null"/>
    <s v="null"/>
    <s v="null"/>
    <s v="null"/>
  </r>
  <r>
    <d v="2024-06-09T00:00:00"/>
    <s v="June"/>
    <d v="1899-12-30T09:30:16"/>
    <s v="&quot;CNR8940007&quot;"/>
    <s v="Completed"/>
    <s v="&quot;CID1648428&quot;"/>
    <x v="5"/>
    <s v="Vinobapuri"/>
    <s v="Vasant Kunj"/>
    <n v="2.2000000000000002"/>
    <n v="24.9"/>
    <s v="null"/>
    <s v="null"/>
    <s v="null"/>
    <s v="null"/>
    <s v="null"/>
    <s v="null"/>
    <n v="325"/>
    <n v="47.93"/>
    <n v="4.2"/>
    <n v="3.7"/>
    <s v="Cash"/>
  </r>
  <r>
    <d v="2024-01-17T00:00:00"/>
    <s v="January"/>
    <d v="1899-12-30T13:04:00"/>
    <s v="&quot;CNR1860922&quot;"/>
    <s v="No Driver Found"/>
    <s v="&quot;CID1351997&quot;"/>
    <x v="2"/>
    <s v="Cyber Hub"/>
    <s v="Vishwavidyalaya"/>
    <s v="null"/>
    <s v="null"/>
    <s v="null"/>
    <s v="null"/>
    <s v="null"/>
    <s v="null"/>
    <s v="null"/>
    <s v="null"/>
    <s v="null"/>
    <s v="null"/>
    <s v="null"/>
    <s v="null"/>
    <s v="null"/>
  </r>
  <r>
    <d v="2024-05-06T00:00:00"/>
    <s v="May"/>
    <d v="1899-12-30T08:06:51"/>
    <s v="&quot;CNR6006779&quot;"/>
    <s v="Completed"/>
    <s v="&quot;CID4911892&quot;"/>
    <x v="5"/>
    <s v="Tughlakabad"/>
    <s v="Anand Vihar"/>
    <n v="2.5"/>
    <n v="41.6"/>
    <s v="null"/>
    <s v="null"/>
    <s v="null"/>
    <s v="null"/>
    <s v="null"/>
    <s v="null"/>
    <n v="312"/>
    <n v="9.16"/>
    <n v="4.5"/>
    <n v="3.9"/>
    <s v="Credit Card"/>
  </r>
  <r>
    <d v="2024-04-26T00:00:00"/>
    <s v="April"/>
    <d v="1899-12-30T21:41:23"/>
    <s v="&quot;CNR9143169&quot;"/>
    <s v="Incomplete"/>
    <s v="&quot;CID6815980&quot;"/>
    <x v="2"/>
    <s v="Kadarpur"/>
    <s v="Seelampur"/>
    <n v="2.2000000000000002"/>
    <n v="13.6"/>
    <s v="null"/>
    <s v="null"/>
    <s v="null"/>
    <s v="null"/>
    <n v="1"/>
    <s v="Vehicle Breakdown"/>
    <n v="313"/>
    <n v="17.579999999999998"/>
    <s v="null"/>
    <s v="null"/>
    <s v="UPI"/>
  </r>
  <r>
    <d v="2024-04-01T00:00:00"/>
    <s v="April"/>
    <d v="1899-12-30T07:14:02"/>
    <s v="&quot;CNR4602312&quot;"/>
    <s v="Cancelled by Driver"/>
    <s v="&quot;CID3302506&quot;"/>
    <x v="2"/>
    <s v="Central Secretariat"/>
    <s v="Gwal Pahari"/>
    <n v="6.5"/>
    <s v="null"/>
    <s v="null"/>
    <s v="null"/>
    <n v="1"/>
    <s v="More than permitted people in there"/>
    <s v="null"/>
    <s v="null"/>
    <s v="null"/>
    <s v="null"/>
    <s v="null"/>
    <s v="null"/>
    <s v="null"/>
  </r>
  <r>
    <d v="2024-03-08T00:00:00"/>
    <s v="March"/>
    <d v="1899-12-30T17:10:24"/>
    <s v="&quot;CNR4491148&quot;"/>
    <s v="No Driver Found"/>
    <s v="&quot;CID5115385&quot;"/>
    <x v="1"/>
    <s v="Malviya Nagar"/>
    <s v="IFFCO Chowk"/>
    <s v="null"/>
    <s v="null"/>
    <s v="null"/>
    <s v="null"/>
    <s v="null"/>
    <s v="null"/>
    <s v="null"/>
    <s v="null"/>
    <s v="null"/>
    <s v="null"/>
    <s v="null"/>
    <s v="null"/>
    <s v="null"/>
  </r>
  <r>
    <d v="2024-02-22T00:00:00"/>
    <s v="February"/>
    <d v="1899-12-30T08:11:56"/>
    <s v="&quot;CNR1863599&quot;"/>
    <s v="Completed"/>
    <s v="&quot;CID9022805&quot;"/>
    <x v="2"/>
    <s v="Kaushambi"/>
    <s v="Udyog Vihar"/>
    <n v="7.8"/>
    <n v="29"/>
    <s v="null"/>
    <s v="null"/>
    <s v="null"/>
    <s v="null"/>
    <s v="null"/>
    <s v="null"/>
    <n v="528"/>
    <n v="32.72"/>
    <n v="3.9"/>
    <n v="3.7"/>
    <s v="UPI"/>
  </r>
  <r>
    <d v="2024-07-23T00:00:00"/>
    <s v="July"/>
    <d v="1899-12-30T20:53:45"/>
    <s v="&quot;CNR1093918&quot;"/>
    <s v="Completed"/>
    <s v="&quot;CID6304896&quot;"/>
    <x v="6"/>
    <s v="Kashmere Gate"/>
    <s v="Maidan Garhi"/>
    <n v="6.8"/>
    <n v="28.2"/>
    <s v="null"/>
    <s v="null"/>
    <s v="null"/>
    <s v="null"/>
    <s v="null"/>
    <s v="null"/>
    <n v="406"/>
    <n v="46.35"/>
    <n v="3.7"/>
    <n v="3.7"/>
    <s v="UPI"/>
  </r>
  <r>
    <d v="2024-06-21T00:00:00"/>
    <s v="June"/>
    <d v="1899-12-30T10:41:36"/>
    <s v="&quot;CNR9166698&quot;"/>
    <s v="Completed"/>
    <s v="&quot;CID3748310&quot;"/>
    <x v="4"/>
    <s v="Malviya Nagar"/>
    <s v="DLF Phase 3"/>
    <n v="8.1999999999999993"/>
    <n v="44.6"/>
    <s v="null"/>
    <s v="null"/>
    <s v="null"/>
    <s v="null"/>
    <s v="null"/>
    <s v="null"/>
    <n v="824"/>
    <n v="19.329999999999998"/>
    <n v="4.0999999999999996"/>
    <n v="4.0999999999999996"/>
    <s v="Uber Wallet"/>
  </r>
  <r>
    <d v="2024-07-18T00:00:00"/>
    <s v="July"/>
    <d v="1899-12-30T13:35:36"/>
    <s v="&quot;CNR9120123&quot;"/>
    <s v="Completed"/>
    <s v="&quot;CID8106985&quot;"/>
    <x v="2"/>
    <s v="Rajouri Garden"/>
    <s v="Green Park"/>
    <n v="11.4"/>
    <n v="24.2"/>
    <s v="null"/>
    <s v="null"/>
    <s v="null"/>
    <s v="null"/>
    <s v="null"/>
    <s v="null"/>
    <n v="213"/>
    <n v="2.12"/>
    <n v="3.8"/>
    <n v="4.4000000000000004"/>
    <s v="UPI"/>
  </r>
  <r>
    <d v="2024-08-24T00:00:00"/>
    <s v="August"/>
    <d v="1899-12-30T16:47:06"/>
    <s v="&quot;CNR4590072&quot;"/>
    <s v="Completed"/>
    <s v="&quot;CID2697173&quot;"/>
    <x v="5"/>
    <s v="Subhash Nagar"/>
    <s v="Panchsheel Park"/>
    <n v="13.4"/>
    <n v="28.9"/>
    <s v="null"/>
    <s v="null"/>
    <s v="null"/>
    <s v="null"/>
    <s v="null"/>
    <s v="null"/>
    <n v="2290"/>
    <n v="20.82"/>
    <n v="4.3"/>
    <n v="4.3"/>
    <s v="UPI"/>
  </r>
  <r>
    <d v="2024-05-23T00:00:00"/>
    <s v="May"/>
    <d v="1899-12-30T16:14:17"/>
    <s v="&quot;CNR3809272&quot;"/>
    <s v="Cancelled by Driver"/>
    <s v="&quot;CID4919567&quot;"/>
    <x v="2"/>
    <s v="Khan Market"/>
    <s v="Vinobapuri"/>
    <n v="6.3"/>
    <s v="null"/>
    <s v="null"/>
    <s v="null"/>
    <n v="1"/>
    <s v="Personal &amp; Car related issues"/>
    <s v="null"/>
    <s v="null"/>
    <s v="null"/>
    <s v="null"/>
    <s v="null"/>
    <s v="null"/>
    <s v="null"/>
  </r>
  <r>
    <d v="2024-12-13T00:00:00"/>
    <s v="December"/>
    <d v="1899-12-30T19:50:48"/>
    <s v="&quot;CNR4129219&quot;"/>
    <s v="Completed"/>
    <s v="&quot;CID3268920&quot;"/>
    <x v="5"/>
    <s v="Manesar"/>
    <s v="Uttam Nagar"/>
    <n v="5.2"/>
    <n v="44.9"/>
    <s v="null"/>
    <s v="null"/>
    <s v="null"/>
    <s v="null"/>
    <s v="null"/>
    <s v="null"/>
    <n v="278"/>
    <n v="42.34"/>
    <n v="4.5999999999999996"/>
    <n v="4.3"/>
    <s v="UPI"/>
  </r>
  <r>
    <d v="2024-12-11T00:00:00"/>
    <s v="December"/>
    <d v="1899-12-30T16:25:50"/>
    <s v="&quot;CNR2018417&quot;"/>
    <s v="Completed"/>
    <s v="&quot;CID6398834&quot;"/>
    <x v="5"/>
    <s v="Patel Chowk"/>
    <s v="INA Market"/>
    <n v="6"/>
    <n v="29"/>
    <s v="null"/>
    <s v="null"/>
    <s v="null"/>
    <s v="null"/>
    <s v="null"/>
    <s v="null"/>
    <n v="485"/>
    <n v="11.96"/>
    <n v="3.5"/>
    <n v="4.3"/>
    <s v="Uber Wallet"/>
  </r>
  <r>
    <d v="2024-08-26T00:00:00"/>
    <s v="August"/>
    <d v="1899-12-30T16:50:28"/>
    <s v="&quot;CNR6516112&quot;"/>
    <s v="Completed"/>
    <s v="&quot;CID1144761&quot;"/>
    <x v="5"/>
    <s v="Udyog Vihar Phase 4"/>
    <s v="Sohna Road"/>
    <n v="8.8000000000000007"/>
    <n v="41.9"/>
    <s v="null"/>
    <s v="null"/>
    <s v="null"/>
    <s v="null"/>
    <s v="null"/>
    <s v="null"/>
    <n v="240"/>
    <n v="28.73"/>
    <n v="4.8"/>
    <n v="4.8"/>
    <s v="Credit Card"/>
  </r>
  <r>
    <d v="2024-05-22T00:00:00"/>
    <s v="May"/>
    <d v="1899-12-30T10:44:52"/>
    <s v="&quot;CNR7218668&quot;"/>
    <s v="Incomplete"/>
    <s v="&quot;CID3034417&quot;"/>
    <x v="0"/>
    <s v="New Delhi Railway Station"/>
    <s v="Badarpur"/>
    <n v="2.1"/>
    <n v="16"/>
    <s v="null"/>
    <s v="null"/>
    <s v="null"/>
    <s v="null"/>
    <n v="1"/>
    <s v="Other Issue"/>
    <n v="438"/>
    <n v="7.55"/>
    <s v="null"/>
    <s v="null"/>
    <s v="UPI"/>
  </r>
  <r>
    <d v="2024-04-25T00:00:00"/>
    <s v="April"/>
    <d v="1899-12-30T16:35:45"/>
    <s v="&quot;CNR4104256&quot;"/>
    <s v="Completed"/>
    <s v="&quot;CID8995304&quot;"/>
    <x v="2"/>
    <s v="Lal Quila"/>
    <s v="Satguru Ram Singh Marg"/>
    <n v="14.4"/>
    <n v="26.6"/>
    <s v="null"/>
    <s v="null"/>
    <s v="null"/>
    <s v="null"/>
    <s v="null"/>
    <s v="null"/>
    <n v="470"/>
    <n v="20.72"/>
    <n v="4.0999999999999996"/>
    <n v="4.5999999999999996"/>
    <s v="UPI"/>
  </r>
  <r>
    <d v="2024-09-26T00:00:00"/>
    <s v="September"/>
    <d v="1899-12-30T20:08:58"/>
    <s v="&quot;CNR4103455&quot;"/>
    <s v="Completed"/>
    <s v="&quot;CID3782982&quot;"/>
    <x v="4"/>
    <s v="Rohini West"/>
    <s v="Greater Kailash"/>
    <n v="14.4"/>
    <n v="25"/>
    <s v="null"/>
    <s v="null"/>
    <s v="null"/>
    <s v="null"/>
    <s v="null"/>
    <s v="null"/>
    <n v="290"/>
    <n v="22.62"/>
    <n v="3.2"/>
    <n v="4.2"/>
    <s v="UPI"/>
  </r>
  <r>
    <d v="2024-12-29T00:00:00"/>
    <s v="December"/>
    <d v="1899-12-30T09:44:48"/>
    <s v="&quot;CNR2482914&quot;"/>
    <s v="No Driver Found"/>
    <s v="&quot;CID6604437&quot;"/>
    <x v="4"/>
    <s v="Greater Kailash"/>
    <s v="Mandi House"/>
    <s v="null"/>
    <s v="null"/>
    <s v="null"/>
    <s v="null"/>
    <s v="null"/>
    <s v="null"/>
    <s v="null"/>
    <s v="null"/>
    <s v="null"/>
    <s v="null"/>
    <s v="null"/>
    <s v="null"/>
    <s v="null"/>
  </r>
  <r>
    <d v="2024-12-27T00:00:00"/>
    <s v="December"/>
    <d v="1899-12-30T21:54:35"/>
    <s v="&quot;CNR6658229&quot;"/>
    <s v="Completed"/>
    <s v="&quot;CID4073477&quot;"/>
    <x v="2"/>
    <s v="Sushant Lok"/>
    <s v="Rajiv Nagar"/>
    <n v="10.4"/>
    <n v="22.6"/>
    <s v="null"/>
    <s v="null"/>
    <s v="null"/>
    <s v="null"/>
    <s v="null"/>
    <s v="null"/>
    <n v="475"/>
    <n v="39.69"/>
    <n v="4.2"/>
    <n v="4.5999999999999996"/>
    <s v="Cash"/>
  </r>
  <r>
    <d v="2024-06-23T00:00:00"/>
    <s v="June"/>
    <d v="1899-12-30T11:29:01"/>
    <s v="&quot;CNR8148362&quot;"/>
    <s v="Completed"/>
    <s v="&quot;CID5392636&quot;"/>
    <x v="4"/>
    <s v="Ashok Vihar"/>
    <s v="Chanakyapuri"/>
    <n v="11.6"/>
    <n v="37.700000000000003"/>
    <s v="null"/>
    <s v="null"/>
    <s v="null"/>
    <s v="null"/>
    <s v="null"/>
    <s v="null"/>
    <n v="749"/>
    <n v="10.76"/>
    <n v="3.1"/>
    <n v="4.2"/>
    <s v="UPI"/>
  </r>
  <r>
    <d v="2024-08-10T00:00:00"/>
    <s v="August"/>
    <d v="1899-12-30T09:26:24"/>
    <s v="&quot;CNR1632042&quot;"/>
    <s v="Cancelled by Driver"/>
    <s v="&quot;CID6071255&quot;"/>
    <x v="4"/>
    <s v="Ashram"/>
    <s v="Basai Dhankot"/>
    <n v="9.6"/>
    <s v="null"/>
    <s v="null"/>
    <s v="null"/>
    <n v="1"/>
    <s v="The customer was coughing/sick"/>
    <s v="null"/>
    <s v="null"/>
    <s v="null"/>
    <s v="null"/>
    <s v="null"/>
    <s v="null"/>
    <s v="null"/>
  </r>
  <r>
    <d v="2024-01-25T00:00:00"/>
    <s v="January"/>
    <d v="1899-12-30T05:50:24"/>
    <s v="&quot;CNR9403368&quot;"/>
    <s v="Completed"/>
    <s v="&quot;CID1802065&quot;"/>
    <x v="1"/>
    <s v="Govindpuri"/>
    <s v="Vinobapuri"/>
    <n v="10.5"/>
    <n v="16.600000000000001"/>
    <s v="null"/>
    <s v="null"/>
    <s v="null"/>
    <s v="null"/>
    <s v="null"/>
    <s v="null"/>
    <n v="506"/>
    <n v="22.05"/>
    <n v="3.6"/>
    <n v="4.5999999999999996"/>
    <s v="UPI"/>
  </r>
  <r>
    <d v="2024-01-20T00:00:00"/>
    <s v="January"/>
    <d v="1899-12-30T11:04:38"/>
    <s v="&quot;CNR4998742&quot;"/>
    <s v="No Driver Found"/>
    <s v="&quot;CID4145980&quot;"/>
    <x v="5"/>
    <s v="Vatika Chowk"/>
    <s v="Arjangarh"/>
    <s v="null"/>
    <s v="null"/>
    <s v="null"/>
    <s v="null"/>
    <s v="null"/>
    <s v="null"/>
    <s v="null"/>
    <s v="null"/>
    <s v="null"/>
    <s v="null"/>
    <s v="null"/>
    <s v="null"/>
    <s v="null"/>
  </r>
  <r>
    <d v="2024-10-06T00:00:00"/>
    <s v="October"/>
    <d v="1899-12-30T15:06:49"/>
    <s v="&quot;CNR1683288&quot;"/>
    <s v="Completed"/>
    <s v="&quot;CID6481783&quot;"/>
    <x v="2"/>
    <s v="Kadarpur"/>
    <s v="Bhikaji Cama Place"/>
    <n v="3.7"/>
    <n v="26.5"/>
    <s v="null"/>
    <s v="null"/>
    <s v="null"/>
    <s v="null"/>
    <s v="null"/>
    <s v="null"/>
    <n v="1596"/>
    <n v="19.86"/>
    <n v="4.2"/>
    <n v="4.7"/>
    <s v="Cash"/>
  </r>
  <r>
    <d v="2024-04-13T00:00:00"/>
    <s v="April"/>
    <d v="1899-12-30T19:56:17"/>
    <s v="&quot;CNR9077515&quot;"/>
    <s v="Completed"/>
    <s v="&quot;CID6540364&quot;"/>
    <x v="4"/>
    <s v="Malviya Nagar"/>
    <s v="Nawada"/>
    <n v="8"/>
    <n v="19.7"/>
    <s v="null"/>
    <s v="null"/>
    <s v="null"/>
    <s v="null"/>
    <s v="null"/>
    <s v="null"/>
    <n v="145"/>
    <n v="20.62"/>
    <n v="4.2"/>
    <n v="4.9000000000000004"/>
    <s v="UPI"/>
  </r>
  <r>
    <d v="2024-11-26T00:00:00"/>
    <s v="November"/>
    <d v="1899-12-30T08:28:17"/>
    <s v="&quot;CNR8907357&quot;"/>
    <s v="Cancelled by Driver"/>
    <s v="&quot;CID4884205&quot;"/>
    <x v="5"/>
    <s v="Tughlakabad"/>
    <s v="Mehrauli"/>
    <n v="5.6"/>
    <s v="null"/>
    <s v="null"/>
    <s v="null"/>
    <n v="1"/>
    <s v="Personal &amp; Car related issues"/>
    <s v="null"/>
    <s v="null"/>
    <s v="null"/>
    <s v="null"/>
    <s v="null"/>
    <s v="null"/>
    <s v="null"/>
  </r>
  <r>
    <d v="2024-10-07T00:00:00"/>
    <s v="October"/>
    <d v="1899-12-30T12:59:29"/>
    <s v="&quot;CNR8651238&quot;"/>
    <s v="Completed"/>
    <s v="&quot;CID3936877&quot;"/>
    <x v="5"/>
    <s v="IMT Manesar"/>
    <s v="Udyog Vihar Phase 4"/>
    <n v="6.7"/>
    <n v="25.8"/>
    <s v="null"/>
    <s v="null"/>
    <s v="null"/>
    <s v="null"/>
    <s v="null"/>
    <s v="null"/>
    <n v="332"/>
    <n v="40.65"/>
    <n v="4.0999999999999996"/>
    <n v="4.9000000000000004"/>
    <s v="Cash"/>
  </r>
  <r>
    <d v="2024-08-05T00:00:00"/>
    <s v="August"/>
    <d v="1899-12-30T05:18:17"/>
    <s v="&quot;CNR1564217&quot;"/>
    <s v="No Driver Found"/>
    <s v="&quot;CID1952893&quot;"/>
    <x v="2"/>
    <s v="Pulbangash"/>
    <s v="Subhash Chowk"/>
    <s v="null"/>
    <s v="null"/>
    <s v="null"/>
    <s v="null"/>
    <s v="null"/>
    <s v="null"/>
    <s v="null"/>
    <s v="null"/>
    <s v="null"/>
    <s v="null"/>
    <s v="null"/>
    <s v="null"/>
    <s v="null"/>
  </r>
  <r>
    <d v="2024-09-28T00:00:00"/>
    <s v="September"/>
    <d v="1899-12-30T12:03:59"/>
    <s v="&quot;CNR6186104&quot;"/>
    <s v="Completed"/>
    <s v="&quot;CID5860198&quot;"/>
    <x v="3"/>
    <s v="Tis Hazari"/>
    <s v="Rohini East"/>
    <n v="2.4"/>
    <n v="20.8"/>
    <s v="null"/>
    <s v="null"/>
    <s v="null"/>
    <s v="null"/>
    <s v="null"/>
    <s v="null"/>
    <n v="588"/>
    <n v="26.93"/>
    <n v="4.5999999999999996"/>
    <n v="3.4"/>
    <s v="UPI"/>
  </r>
  <r>
    <d v="2024-10-15T00:00:00"/>
    <s v="October"/>
    <d v="1899-12-30T17:25:34"/>
    <s v="&quot;CNR9479143&quot;"/>
    <s v="Completed"/>
    <s v="&quot;CID5617682&quot;"/>
    <x v="5"/>
    <s v="Huda City Centre"/>
    <s v="Udyog Vihar Phase 4"/>
    <n v="7.8"/>
    <n v="26.5"/>
    <s v="null"/>
    <s v="null"/>
    <s v="null"/>
    <s v="null"/>
    <s v="null"/>
    <s v="null"/>
    <n v="263"/>
    <n v="25.48"/>
    <n v="3.8"/>
    <n v="4.9000000000000004"/>
    <s v="Uber Walle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3F53220-A60A-4D10-921F-C60C4E893596}" name="PivotTable2" cacheId="4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J14:L31" firstHeaderRow="1" firstDataRow="1" firstDataCol="0"/>
  <pivotHierarchies count="24">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Uber Data Excel Project with macro.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A77A2A9-E8C2-4A14-B3D5-F442A88248CB}" name="PivotTable3" cacheId="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Vehicle Types" colHeaderCaption="From Jan to Dec">
  <location ref="E4:I8" firstHeaderRow="1" firstDataRow="2" firstDataCol="1"/>
  <pivotFields count="22">
    <pivotField numFmtId="14" showAll="0"/>
    <pivotField axis="axisCol" showAll="0">
      <items count="13">
        <item x="10"/>
        <item h="1" x="5"/>
        <item x="0"/>
        <item x="11"/>
        <item h="1" x="9"/>
        <item h="1" x="6"/>
        <item h="1" x="8"/>
        <item h="1" x="2"/>
        <item h="1" x="4"/>
        <item h="1" x="3"/>
        <item h="1" x="1"/>
        <item h="1" x="7"/>
        <item t="default"/>
      </items>
    </pivotField>
    <pivotField numFmtId="21" showAll="0"/>
    <pivotField showAll="0"/>
    <pivotField dataField="1" showAll="0"/>
    <pivotField showAll="0"/>
    <pivotField axis="axisRow" showAll="0">
      <items count="8">
        <item h="1" x="2"/>
        <item x="4"/>
        <item x="0"/>
        <item h="1" x="5"/>
        <item h="1" x="1"/>
        <item h="1" x="3"/>
        <item h="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23">
        <item h="1" x="21"/>
        <item h="1" x="11"/>
        <item h="1" x="16"/>
        <item h="1" x="15"/>
        <item h="1" x="20"/>
        <item h="1" x="19"/>
        <item h="1" x="18"/>
        <item h="1" x="10"/>
        <item h="1" x="8"/>
        <item h="1" x="13"/>
        <item h="1" x="4"/>
        <item h="1" x="3"/>
        <item h="1" x="6"/>
        <item h="1" x="14"/>
        <item h="1" x="5"/>
        <item h="1" x="12"/>
        <item x="2"/>
        <item x="7"/>
        <item x="17"/>
        <item x="1"/>
        <item h="1" x="9"/>
        <item h="1" x="0"/>
        <item t="default"/>
      </items>
    </pivotField>
    <pivotField showAll="0"/>
    <pivotField showAll="0"/>
  </pivotFields>
  <rowFields count="1">
    <field x="6"/>
  </rowFields>
  <rowItems count="3">
    <i>
      <x v="1"/>
    </i>
    <i>
      <x v="2"/>
    </i>
    <i t="grand">
      <x/>
    </i>
  </rowItems>
  <colFields count="1">
    <field x="1"/>
  </colFields>
  <colItems count="4">
    <i>
      <x/>
    </i>
    <i>
      <x v="2"/>
    </i>
    <i>
      <x v="3"/>
    </i>
    <i t="grand">
      <x/>
    </i>
  </colItems>
  <dataFields count="1">
    <dataField name="Count of Booking Status" fld="4" subtotal="count" baseField="0" baseItem="0"/>
  </dataField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28ECDAF-3EC8-45B4-9E48-B8A1C7141D40}" name="PivotTable1" cacheId="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B8" firstHeaderRow="1" firstDataRow="1" firstDataCol="1" rowPageCount="1" colPageCount="1"/>
  <pivotFields count="22">
    <pivotField numFmtId="14" showAll="0">
      <items count="360">
        <item x="339"/>
        <item x="246"/>
        <item x="264"/>
        <item x="139"/>
        <item x="278"/>
        <item x="158"/>
        <item x="93"/>
        <item x="300"/>
        <item x="322"/>
        <item x="335"/>
        <item x="232"/>
        <item x="136"/>
        <item x="280"/>
        <item x="307"/>
        <item x="106"/>
        <item x="226"/>
        <item x="291"/>
        <item x="116"/>
        <item x="250"/>
        <item x="206"/>
        <item x="247"/>
        <item x="119"/>
        <item x="163"/>
        <item x="40"/>
        <item x="62"/>
        <item x="26"/>
        <item x="245"/>
        <item x="306"/>
        <item x="302"/>
        <item x="267"/>
        <item x="277"/>
        <item x="179"/>
        <item x="350"/>
        <item x="254"/>
        <item x="32"/>
        <item x="236"/>
        <item x="5"/>
        <item x="242"/>
        <item x="337"/>
        <item x="57"/>
        <item x="71"/>
        <item x="189"/>
        <item x="41"/>
        <item x="132"/>
        <item x="248"/>
        <item x="128"/>
        <item x="262"/>
        <item x="224"/>
        <item x="177"/>
        <item x="343"/>
        <item x="113"/>
        <item x="325"/>
        <item x="141"/>
        <item x="22"/>
        <item x="249"/>
        <item x="56"/>
        <item x="37"/>
        <item x="251"/>
        <item x="159"/>
        <item x="285"/>
        <item x="310"/>
        <item x="58"/>
        <item x="181"/>
        <item x="50"/>
        <item x="135"/>
        <item x="237"/>
        <item x="178"/>
        <item x="60"/>
        <item x="23"/>
        <item x="180"/>
        <item x="122"/>
        <item x="259"/>
        <item x="274"/>
        <item x="150"/>
        <item x="289"/>
        <item x="198"/>
        <item x="353"/>
        <item x="228"/>
        <item x="7"/>
        <item x="61"/>
        <item x="210"/>
        <item x="190"/>
        <item x="0"/>
        <item x="319"/>
        <item x="147"/>
        <item x="86"/>
        <item x="330"/>
        <item x="88"/>
        <item x="256"/>
        <item x="100"/>
        <item x="74"/>
        <item x="42"/>
        <item x="234"/>
        <item x="192"/>
        <item x="160"/>
        <item x="28"/>
        <item x="357"/>
        <item x="290"/>
        <item x="220"/>
        <item x="287"/>
        <item x="171"/>
        <item x="52"/>
        <item x="27"/>
        <item x="199"/>
        <item x="276"/>
        <item x="117"/>
        <item x="105"/>
        <item x="282"/>
        <item x="258"/>
        <item x="94"/>
        <item x="193"/>
        <item x="172"/>
        <item x="188"/>
        <item x="238"/>
        <item x="340"/>
        <item x="90"/>
        <item x="316"/>
        <item x="115"/>
        <item x="211"/>
        <item x="80"/>
        <item x="191"/>
        <item x="130"/>
        <item x="170"/>
        <item x="46"/>
        <item x="65"/>
        <item x="126"/>
        <item x="161"/>
        <item x="110"/>
        <item x="54"/>
        <item x="351"/>
        <item x="268"/>
        <item x="112"/>
        <item x="138"/>
        <item x="194"/>
        <item x="257"/>
        <item x="35"/>
        <item x="137"/>
        <item x="30"/>
        <item x="91"/>
        <item x="269"/>
        <item x="84"/>
        <item x="358"/>
        <item x="260"/>
        <item x="19"/>
        <item x="49"/>
        <item x="99"/>
        <item x="266"/>
        <item x="270"/>
        <item x="33"/>
        <item x="155"/>
        <item x="314"/>
        <item x="53"/>
        <item x="121"/>
        <item x="47"/>
        <item x="81"/>
        <item x="92"/>
        <item x="227"/>
        <item x="15"/>
        <item x="341"/>
        <item x="348"/>
        <item x="95"/>
        <item x="344"/>
        <item x="321"/>
        <item x="10"/>
        <item x="162"/>
        <item x="45"/>
        <item x="6"/>
        <item x="275"/>
        <item x="76"/>
        <item x="77"/>
        <item x="298"/>
        <item x="295"/>
        <item x="327"/>
        <item x="87"/>
        <item x="12"/>
        <item x="305"/>
        <item x="197"/>
        <item x="102"/>
        <item x="148"/>
        <item x="16"/>
        <item x="167"/>
        <item x="261"/>
        <item x="185"/>
        <item x="169"/>
        <item x="244"/>
        <item x="273"/>
        <item x="107"/>
        <item x="308"/>
        <item x="78"/>
        <item x="133"/>
        <item x="144"/>
        <item x="34"/>
        <item x="292"/>
        <item x="279"/>
        <item x="157"/>
        <item x="311"/>
        <item x="149"/>
        <item x="153"/>
        <item x="354"/>
        <item x="97"/>
        <item x="299"/>
        <item x="221"/>
        <item x="229"/>
        <item x="202"/>
        <item x="345"/>
        <item x="175"/>
        <item x="207"/>
        <item x="21"/>
        <item x="55"/>
        <item x="109"/>
        <item x="129"/>
        <item x="43"/>
        <item x="286"/>
        <item x="208"/>
        <item x="209"/>
        <item x="332"/>
        <item x="25"/>
        <item x="111"/>
        <item x="125"/>
        <item x="83"/>
        <item x="240"/>
        <item x="205"/>
        <item x="108"/>
        <item x="70"/>
        <item x="96"/>
        <item x="120"/>
        <item x="313"/>
        <item x="225"/>
        <item x="217"/>
        <item x="265"/>
        <item x="288"/>
        <item x="2"/>
        <item x="165"/>
        <item x="233"/>
        <item x="59"/>
        <item x="24"/>
        <item x="146"/>
        <item x="201"/>
        <item x="309"/>
        <item x="338"/>
        <item x="320"/>
        <item x="331"/>
        <item x="301"/>
        <item x="68"/>
        <item x="183"/>
        <item x="168"/>
        <item x="352"/>
        <item x="239"/>
        <item x="38"/>
        <item x="13"/>
        <item x="39"/>
        <item x="212"/>
        <item x="8"/>
        <item x="151"/>
        <item x="4"/>
        <item x="324"/>
        <item x="11"/>
        <item x="101"/>
        <item x="79"/>
        <item x="294"/>
        <item x="98"/>
        <item x="323"/>
        <item x="271"/>
        <item x="173"/>
        <item x="72"/>
        <item x="89"/>
        <item x="347"/>
        <item x="230"/>
        <item x="44"/>
        <item x="342"/>
        <item x="36"/>
        <item x="48"/>
        <item x="356"/>
        <item x="213"/>
        <item x="195"/>
        <item x="85"/>
        <item x="222"/>
        <item x="214"/>
        <item x="312"/>
        <item x="284"/>
        <item x="329"/>
        <item x="252"/>
        <item x="241"/>
        <item x="176"/>
        <item x="186"/>
        <item x="14"/>
        <item x="73"/>
        <item x="131"/>
        <item x="3"/>
        <item x="166"/>
        <item x="124"/>
        <item x="293"/>
        <item x="318"/>
        <item x="182"/>
        <item x="326"/>
        <item x="164"/>
        <item x="255"/>
        <item x="82"/>
        <item x="297"/>
        <item x="349"/>
        <item x="272"/>
        <item x="29"/>
        <item x="104"/>
        <item x="140"/>
        <item x="223"/>
        <item x="303"/>
        <item x="66"/>
        <item x="281"/>
        <item x="51"/>
        <item x="216"/>
        <item x="296"/>
        <item x="127"/>
        <item x="333"/>
        <item x="31"/>
        <item x="152"/>
        <item x="336"/>
        <item x="134"/>
        <item x="196"/>
        <item x="123"/>
        <item x="334"/>
        <item x="315"/>
        <item x="231"/>
        <item x="18"/>
        <item x="69"/>
        <item x="304"/>
        <item x="218"/>
        <item x="200"/>
        <item x="1"/>
        <item x="103"/>
        <item x="235"/>
        <item x="154"/>
        <item x="317"/>
        <item x="142"/>
        <item x="156"/>
        <item x="204"/>
        <item x="328"/>
        <item x="355"/>
        <item x="346"/>
        <item x="174"/>
        <item x="75"/>
        <item x="143"/>
        <item x="283"/>
        <item x="20"/>
        <item x="17"/>
        <item x="9"/>
        <item x="145"/>
        <item x="263"/>
        <item x="118"/>
        <item x="184"/>
        <item x="64"/>
        <item x="63"/>
        <item x="253"/>
        <item x="114"/>
        <item x="187"/>
        <item x="67"/>
        <item x="203"/>
        <item x="215"/>
        <item x="219"/>
        <item x="243"/>
        <item t="default"/>
      </items>
    </pivotField>
    <pivotField axis="axisRow" showAll="0">
      <items count="13">
        <item h="1" x="10"/>
        <item x="5"/>
        <item x="0"/>
        <item h="1" x="11"/>
        <item h="1" x="9"/>
        <item h="1" x="6"/>
        <item h="1" x="8"/>
        <item h="1" x="2"/>
        <item h="1" x="4"/>
        <item h="1" x="3"/>
        <item h="1" x="1"/>
        <item h="1" x="7"/>
        <item t="default"/>
      </items>
    </pivotField>
    <pivotField numFmtId="21" showAll="0">
      <items count="1488">
        <item x="963"/>
        <item x="1042"/>
        <item x="1343"/>
        <item x="1021"/>
        <item x="712"/>
        <item x="1149"/>
        <item x="432"/>
        <item x="1075"/>
        <item x="935"/>
        <item x="1078"/>
        <item x="1004"/>
        <item x="48"/>
        <item x="851"/>
        <item x="1448"/>
        <item x="1190"/>
        <item x="704"/>
        <item x="788"/>
        <item x="175"/>
        <item x="138"/>
        <item x="651"/>
        <item x="293"/>
        <item x="995"/>
        <item x="698"/>
        <item x="999"/>
        <item x="396"/>
        <item x="1373"/>
        <item x="310"/>
        <item x="820"/>
        <item x="937"/>
        <item x="331"/>
        <item x="869"/>
        <item x="1134"/>
        <item x="1453"/>
        <item x="729"/>
        <item x="1192"/>
        <item x="89"/>
        <item x="345"/>
        <item x="387"/>
        <item x="1101"/>
        <item x="192"/>
        <item x="1364"/>
        <item x="332"/>
        <item x="237"/>
        <item x="324"/>
        <item x="1169"/>
        <item x="747"/>
        <item x="1058"/>
        <item x="496"/>
        <item x="705"/>
        <item x="37"/>
        <item x="1423"/>
        <item x="207"/>
        <item x="456"/>
        <item x="283"/>
        <item x="894"/>
        <item x="359"/>
        <item x="1293"/>
        <item x="376"/>
        <item x="1356"/>
        <item x="316"/>
        <item x="575"/>
        <item x="1263"/>
        <item x="817"/>
        <item x="226"/>
        <item x="1074"/>
        <item x="1050"/>
        <item x="666"/>
        <item x="847"/>
        <item x="527"/>
        <item x="442"/>
        <item x="1026"/>
        <item x="691"/>
        <item x="374"/>
        <item x="63"/>
        <item x="1359"/>
        <item x="260"/>
        <item x="906"/>
        <item x="827"/>
        <item x="948"/>
        <item x="1410"/>
        <item x="55"/>
        <item x="641"/>
        <item x="1484"/>
        <item x="962"/>
        <item x="360"/>
        <item x="481"/>
        <item x="1386"/>
        <item x="763"/>
        <item x="833"/>
        <item x="602"/>
        <item x="1076"/>
        <item x="1170"/>
        <item x="744"/>
        <item x="1380"/>
        <item x="1312"/>
        <item x="1010"/>
        <item x="719"/>
        <item x="1478"/>
        <item x="977"/>
        <item x="1320"/>
        <item x="125"/>
        <item x="565"/>
        <item x="31"/>
        <item x="488"/>
        <item x="1155"/>
        <item x="667"/>
        <item x="164"/>
        <item x="381"/>
        <item x="594"/>
        <item x="416"/>
        <item x="167"/>
        <item x="942"/>
        <item x="596"/>
        <item x="943"/>
        <item x="162"/>
        <item x="1376"/>
        <item x="418"/>
        <item x="855"/>
        <item x="743"/>
        <item x="945"/>
        <item x="1222"/>
        <item x="21"/>
        <item x="1068"/>
        <item x="555"/>
        <item x="314"/>
        <item x="715"/>
        <item x="622"/>
        <item x="1124"/>
        <item x="25"/>
        <item x="1259"/>
        <item x="1024"/>
        <item x="317"/>
        <item x="758"/>
        <item x="116"/>
        <item x="227"/>
        <item x="759"/>
        <item x="1417"/>
        <item x="158"/>
        <item x="467"/>
        <item x="223"/>
        <item x="1340"/>
        <item x="1219"/>
        <item x="664"/>
        <item x="1429"/>
        <item x="177"/>
        <item x="1304"/>
        <item x="790"/>
        <item x="566"/>
        <item x="1392"/>
        <item x="653"/>
        <item x="1046"/>
        <item x="438"/>
        <item x="852"/>
        <item x="842"/>
        <item x="633"/>
        <item x="1406"/>
        <item x="917"/>
        <item x="394"/>
        <item x="955"/>
        <item x="1460"/>
        <item x="171"/>
        <item x="1421"/>
        <item x="46"/>
        <item x="544"/>
        <item x="864"/>
        <item x="1306"/>
        <item x="1138"/>
        <item x="1122"/>
        <item x="976"/>
        <item x="1145"/>
        <item x="671"/>
        <item x="266"/>
        <item x="1090"/>
        <item x="1176"/>
        <item x="757"/>
        <item x="824"/>
        <item x="871"/>
        <item x="1171"/>
        <item x="169"/>
        <item x="471"/>
        <item x="754"/>
        <item x="1330"/>
        <item x="77"/>
        <item x="1183"/>
        <item x="479"/>
        <item x="218"/>
        <item x="990"/>
        <item x="675"/>
        <item x="813"/>
        <item x="278"/>
        <item x="816"/>
        <item x="535"/>
        <item x="203"/>
        <item x="1334"/>
        <item x="261"/>
        <item x="707"/>
        <item x="932"/>
        <item x="259"/>
        <item x="532"/>
        <item x="1313"/>
        <item x="1458"/>
        <item x="516"/>
        <item x="11"/>
        <item x="323"/>
        <item x="1462"/>
        <item x="635"/>
        <item x="692"/>
        <item x="1040"/>
        <item x="1238"/>
        <item x="472"/>
        <item x="797"/>
        <item x="608"/>
        <item x="895"/>
        <item x="584"/>
        <item x="519"/>
        <item x="307"/>
        <item x="1038"/>
        <item x="1173"/>
        <item x="1482"/>
        <item x="589"/>
        <item x="78"/>
        <item x="623"/>
        <item x="1205"/>
        <item x="625"/>
        <item x="209"/>
        <item x="919"/>
        <item x="903"/>
        <item x="644"/>
        <item x="1235"/>
        <item x="1264"/>
        <item x="939"/>
        <item x="1072"/>
        <item x="916"/>
        <item x="222"/>
        <item x="1285"/>
        <item x="1014"/>
        <item x="247"/>
        <item x="119"/>
        <item x="630"/>
        <item x="886"/>
        <item x="221"/>
        <item x="737"/>
        <item x="253"/>
        <item x="98"/>
        <item x="452"/>
        <item x="738"/>
        <item x="2"/>
        <item x="1022"/>
        <item x="344"/>
        <item x="429"/>
        <item x="1336"/>
        <item x="765"/>
        <item x="1455"/>
        <item x="398"/>
        <item x="495"/>
        <item x="224"/>
        <item x="1121"/>
        <item x="984"/>
        <item x="330"/>
        <item x="850"/>
        <item x="18"/>
        <item x="767"/>
        <item x="912"/>
        <item x="375"/>
        <item x="137"/>
        <item x="1152"/>
        <item x="1228"/>
        <item x="890"/>
        <item x="450"/>
        <item x="458"/>
        <item x="248"/>
        <item x="645"/>
        <item x="40"/>
        <item x="348"/>
        <item x="693"/>
        <item x="1140"/>
        <item x="1154"/>
        <item x="80"/>
        <item x="1027"/>
        <item x="230"/>
        <item x="174"/>
        <item x="1044"/>
        <item x="781"/>
        <item x="491"/>
        <item x="1198"/>
        <item x="1379"/>
        <item x="1477"/>
        <item x="1342"/>
        <item x="1035"/>
        <item x="65"/>
        <item x="267"/>
        <item x="1456"/>
        <item x="1174"/>
        <item x="1195"/>
        <item x="405"/>
        <item x="1277"/>
        <item x="49"/>
        <item x="578"/>
        <item x="1335"/>
        <item x="504"/>
        <item x="982"/>
        <item x="1043"/>
        <item x="270"/>
        <item x="1326"/>
        <item x="728"/>
        <item x="1353"/>
        <item x="1242"/>
        <item x="1390"/>
        <item x="1439"/>
        <item x="26"/>
        <item x="1474"/>
        <item x="5"/>
        <item x="914"/>
        <item x="585"/>
        <item x="563"/>
        <item x="830"/>
        <item x="320"/>
        <item x="478"/>
        <item x="603"/>
        <item x="1079"/>
        <item x="306"/>
        <item x="1144"/>
        <item x="1331"/>
        <item x="522"/>
        <item x="849"/>
        <item x="684"/>
        <item x="1128"/>
        <item x="184"/>
        <item x="66"/>
        <item x="1251"/>
        <item x="464"/>
        <item x="513"/>
        <item x="503"/>
        <item x="1318"/>
        <item x="58"/>
        <item x="246"/>
        <item x="1362"/>
        <item x="934"/>
        <item x="1189"/>
        <item x="1001"/>
        <item x="507"/>
        <item x="1282"/>
        <item x="649"/>
        <item x="1135"/>
        <item x="1254"/>
        <item x="1239"/>
        <item x="1062"/>
        <item x="1431"/>
        <item x="289"/>
        <item x="854"/>
        <item x="196"/>
        <item x="1163"/>
        <item x="413"/>
        <item x="217"/>
        <item x="469"/>
        <item x="423"/>
        <item x="567"/>
        <item x="1103"/>
        <item x="1002"/>
        <item x="1048"/>
        <item x="1177"/>
        <item x="121"/>
        <item x="1372"/>
        <item x="964"/>
        <item x="1114"/>
        <item x="1377"/>
        <item x="573"/>
        <item x="1368"/>
        <item x="215"/>
        <item x="523"/>
        <item x="580"/>
        <item x="141"/>
        <item x="1088"/>
        <item x="878"/>
        <item x="1039"/>
        <item x="818"/>
        <item x="386"/>
        <item x="1211"/>
        <item x="454"/>
        <item x="811"/>
        <item x="822"/>
        <item x="1095"/>
        <item x="989"/>
        <item x="56"/>
        <item x="1117"/>
        <item x="1196"/>
        <item x="327"/>
        <item x="593"/>
        <item x="1148"/>
        <item x="1464"/>
        <item x="1073"/>
        <item x="1267"/>
        <item x="740"/>
        <item x="417"/>
        <item x="1129"/>
        <item x="59"/>
        <item x="1471"/>
        <item x="960"/>
        <item x="115"/>
        <item x="255"/>
        <item x="1347"/>
        <item x="685"/>
        <item x="1249"/>
        <item x="730"/>
        <item x="1253"/>
        <item x="1240"/>
        <item x="41"/>
        <item x="1305"/>
        <item x="1311"/>
        <item x="1054"/>
        <item x="639"/>
        <item x="1348"/>
        <item x="155"/>
        <item x="961"/>
        <item x="84"/>
        <item x="862"/>
        <item x="16"/>
        <item x="1445"/>
        <item x="1023"/>
        <item x="897"/>
        <item x="1337"/>
        <item x="71"/>
        <item x="1059"/>
        <item x="341"/>
        <item x="687"/>
        <item x="1245"/>
        <item x="775"/>
        <item x="755"/>
        <item x="805"/>
        <item x="1383"/>
        <item x="672"/>
        <item x="236"/>
        <item x="243"/>
        <item x="256"/>
        <item x="22"/>
        <item x="302"/>
        <item x="1181"/>
        <item x="1479"/>
        <item x="826"/>
        <item x="262"/>
        <item x="334"/>
        <item x="526"/>
        <item x="968"/>
        <item x="1077"/>
        <item x="68"/>
        <item x="821"/>
        <item x="62"/>
        <item x="105"/>
        <item x="599"/>
        <item x="669"/>
        <item x="1329"/>
        <item x="807"/>
        <item x="881"/>
        <item x="282"/>
        <item x="949"/>
        <item x="1247"/>
        <item x="466"/>
        <item x="1407"/>
        <item x="1366"/>
        <item x="53"/>
        <item x="1301"/>
        <item x="382"/>
        <item x="997"/>
        <item x="533"/>
        <item x="1476"/>
        <item x="1214"/>
        <item x="746"/>
        <item x="1003"/>
        <item x="114"/>
        <item x="613"/>
        <item x="1109"/>
        <item x="856"/>
        <item x="795"/>
        <item x="81"/>
        <item x="422"/>
        <item x="305"/>
        <item x="379"/>
        <item x="1389"/>
        <item x="1008"/>
        <item x="73"/>
        <item x="1391"/>
        <item x="1447"/>
        <item x="1310"/>
        <item x="992"/>
        <item x="238"/>
        <item x="808"/>
        <item x="1127"/>
        <item x="766"/>
        <item x="1096"/>
        <item x="595"/>
        <item x="905"/>
        <item x="395"/>
        <item x="437"/>
        <item x="640"/>
        <item x="383"/>
        <item x="445"/>
        <item x="1276"/>
        <item x="1416"/>
        <item x="474"/>
        <item x="384"/>
        <item x="1081"/>
        <item x="1118"/>
        <item x="1397"/>
        <item x="303"/>
        <item x="1018"/>
        <item x="1328"/>
        <item x="185"/>
        <item x="60"/>
        <item x="1220"/>
        <item x="846"/>
        <item x="1485"/>
        <item x="614"/>
        <item x="657"/>
        <item x="1053"/>
        <item x="620"/>
        <item x="800"/>
        <item x="499"/>
        <item x="559"/>
        <item x="1013"/>
        <item x="980"/>
        <item x="355"/>
        <item x="173"/>
        <item x="1225"/>
        <item x="1252"/>
        <item x="1197"/>
        <item x="194"/>
        <item x="1415"/>
        <item x="1226"/>
        <item x="1051"/>
        <item x="29"/>
        <item x="967"/>
        <item x="406"/>
        <item x="272"/>
        <item x="554"/>
        <item x="1339"/>
        <item x="134"/>
        <item x="0"/>
        <item x="1217"/>
        <item x="921"/>
        <item x="865"/>
        <item x="703"/>
        <item x="397"/>
        <item x="91"/>
        <item x="151"/>
        <item x="1178"/>
        <item x="933"/>
        <item x="160"/>
        <item x="1206"/>
        <item x="794"/>
        <item x="85"/>
        <item x="1119"/>
        <item x="1243"/>
        <item x="552"/>
        <item x="67"/>
        <item x="1265"/>
        <item x="902"/>
        <item x="309"/>
        <item x="1360"/>
        <item x="165"/>
        <item x="512"/>
        <item x="553"/>
        <item x="8"/>
        <item x="629"/>
        <item x="557"/>
        <item x="1432"/>
        <item x="475"/>
        <item x="1194"/>
        <item x="867"/>
        <item x="1483"/>
        <item x="340"/>
        <item x="1427"/>
        <item x="400"/>
        <item x="39"/>
        <item x="448"/>
        <item x="1457"/>
        <item x="36"/>
        <item x="884"/>
        <item x="92"/>
        <item x="888"/>
        <item x="47"/>
        <item x="333"/>
        <item x="1434"/>
        <item x="628"/>
        <item x="301"/>
        <item x="762"/>
        <item x="910"/>
        <item x="498"/>
        <item x="981"/>
        <item x="390"/>
        <item x="1064"/>
        <item x="1116"/>
        <item x="1465"/>
        <item x="1400"/>
        <item x="312"/>
        <item x="570"/>
        <item x="724"/>
        <item x="1449"/>
        <item x="646"/>
        <item x="951"/>
        <item x="453"/>
        <item x="1436"/>
        <item x="251"/>
        <item x="123"/>
        <item x="546"/>
        <item x="250"/>
        <item x="548"/>
        <item x="711"/>
        <item x="1200"/>
        <item x="994"/>
        <item x="1241"/>
        <item x="993"/>
        <item x="336"/>
        <item x="393"/>
        <item x="1424"/>
        <item x="476"/>
        <item x="118"/>
        <item x="1202"/>
        <item x="700"/>
        <item x="873"/>
        <item x="590"/>
        <item x="749"/>
        <item x="447"/>
        <item x="1093"/>
        <item x="515"/>
        <item x="721"/>
        <item x="298"/>
        <item x="264"/>
        <item x="1146"/>
        <item x="33"/>
        <item x="337"/>
        <item x="368"/>
        <item x="616"/>
        <item x="1065"/>
        <item x="1319"/>
        <item x="929"/>
        <item x="1411"/>
        <item x="525"/>
        <item x="183"/>
        <item x="1019"/>
        <item x="1395"/>
        <item x="909"/>
        <item x="636"/>
        <item x="662"/>
        <item x="825"/>
        <item x="107"/>
        <item x="274"/>
        <item x="128"/>
        <item x="793"/>
        <item x="235"/>
        <item x="1209"/>
        <item x="1215"/>
        <item x="838"/>
        <item x="1123"/>
        <item x="913"/>
        <item x="771"/>
        <item x="879"/>
        <item x="1444"/>
        <item x="983"/>
        <item x="378"/>
        <item x="1025"/>
        <item x="1358"/>
        <item x="798"/>
        <item x="200"/>
        <item x="1345"/>
        <item x="720"/>
        <item x="1284"/>
        <item x="682"/>
        <item x="709"/>
        <item x="242"/>
        <item x="550"/>
        <item x="1382"/>
        <item x="1420"/>
        <item x="364"/>
        <item x="530"/>
        <item x="1321"/>
        <item x="1349"/>
        <item x="357"/>
        <item x="979"/>
        <item x="1300"/>
        <item x="170"/>
        <item x="291"/>
        <item x="583"/>
        <item x="401"/>
        <item x="783"/>
        <item x="764"/>
        <item x="501"/>
        <item x="952"/>
        <item x="1165"/>
        <item x="814"/>
        <item x="969"/>
        <item x="769"/>
        <item x="736"/>
        <item x="654"/>
        <item x="1047"/>
        <item x="760"/>
        <item x="610"/>
        <item x="421"/>
        <item x="998"/>
        <item x="15"/>
        <item x="574"/>
        <item x="1480"/>
        <item x="1350"/>
        <item x="1289"/>
        <item x="17"/>
        <item x="510"/>
        <item x="404"/>
        <item x="946"/>
        <item x="1057"/>
        <item x="539"/>
        <item x="978"/>
        <item x="1099"/>
        <item x="632"/>
        <item x="352"/>
        <item x="1332"/>
        <item x="1105"/>
        <item x="558"/>
        <item x="734"/>
        <item x="695"/>
        <item x="892"/>
        <item x="462"/>
        <item x="313"/>
        <item x="531"/>
        <item x="837"/>
        <item x="1441"/>
        <item x="318"/>
        <item x="1233"/>
        <item x="110"/>
        <item x="225"/>
        <item x="1446"/>
        <item x="772"/>
        <item x="112"/>
        <item x="971"/>
        <item x="468"/>
        <item x="1355"/>
        <item x="1191"/>
        <item x="617"/>
        <item x="1394"/>
        <item x="1327"/>
        <item x="959"/>
        <item x="308"/>
        <item x="1161"/>
        <item x="1207"/>
        <item x="1091"/>
        <item x="1317"/>
        <item x="38"/>
        <item x="57"/>
        <item x="714"/>
        <item x="103"/>
        <item x="6"/>
        <item x="1315"/>
        <item x="216"/>
        <item x="648"/>
        <item x="234"/>
        <item x="1184"/>
        <item x="1229"/>
        <item x="1393"/>
        <item x="1069"/>
        <item x="923"/>
        <item x="1346"/>
        <item x="372"/>
        <item x="956"/>
        <item x="1037"/>
        <item x="655"/>
        <item x="257"/>
        <item x="127"/>
        <item x="339"/>
        <item x="947"/>
        <item x="920"/>
        <item x="710"/>
        <item x="752"/>
        <item x="1060"/>
        <item x="159"/>
        <item x="1266"/>
        <item x="756"/>
        <item x="1290"/>
        <item x="294"/>
        <item x="1061"/>
        <item x="1033"/>
        <item x="1437"/>
        <item x="701"/>
        <item x="1159"/>
        <item x="1333"/>
        <item x="1467"/>
        <item x="716"/>
        <item x="1199"/>
        <item x="254"/>
        <item x="1142"/>
        <item x="120"/>
        <item x="588"/>
        <item x="875"/>
        <item x="346"/>
        <item x="366"/>
        <item x="1292"/>
        <item x="87"/>
        <item x="908"/>
        <item x="106"/>
        <item x="1087"/>
        <item x="436"/>
        <item x="441"/>
        <item x="277"/>
        <item x="319"/>
        <item x="61"/>
        <item x="511"/>
        <item x="587"/>
        <item x="10"/>
        <item x="241"/>
        <item x="83"/>
        <item x="1469"/>
        <item x="1413"/>
        <item x="829"/>
        <item x="95"/>
        <item x="24"/>
        <item x="1066"/>
        <item x="1279"/>
        <item x="792"/>
        <item x="1402"/>
        <item x="1104"/>
        <item x="604"/>
        <item x="210"/>
        <item x="108"/>
        <item x="1015"/>
        <item x="335"/>
        <item x="1472"/>
        <item x="133"/>
        <item x="172"/>
        <item x="560"/>
        <item x="650"/>
        <item x="1203"/>
        <item x="187"/>
        <item x="745"/>
        <item x="1404"/>
        <item x="135"/>
        <item x="815"/>
        <item x="1396"/>
        <item x="872"/>
        <item x="874"/>
        <item x="154"/>
        <item x="292"/>
        <item x="1032"/>
        <item x="411"/>
        <item x="547"/>
        <item x="1399"/>
        <item x="551"/>
        <item x="1272"/>
        <item x="1012"/>
        <item x="1466"/>
        <item x="748"/>
        <item x="727"/>
        <item x="369"/>
        <item x="1470"/>
        <item x="957"/>
        <item x="168"/>
        <item x="412"/>
        <item x="1107"/>
        <item x="1426"/>
        <item x="1098"/>
        <item x="465"/>
        <item x="601"/>
        <item x="1338"/>
        <item x="1381"/>
        <item x="609"/>
        <item x="690"/>
        <item x="198"/>
        <item x="477"/>
        <item x="485"/>
        <item x="1224"/>
        <item x="380"/>
        <item x="205"/>
        <item x="615"/>
        <item x="518"/>
        <item x="1344"/>
        <item x="1187"/>
        <item x="75"/>
        <item x="1204"/>
        <item x="1055"/>
        <item x="1136"/>
        <item x="940"/>
        <item x="1255"/>
        <item x="111"/>
        <item x="129"/>
        <item x="492"/>
        <item x="86"/>
        <item x="586"/>
        <item x="600"/>
        <item x="1210"/>
        <item x="799"/>
        <item x="132"/>
        <item x="689"/>
        <item x="1354"/>
        <item x="1137"/>
        <item x="843"/>
        <item x="1461"/>
        <item x="434"/>
        <item x="244"/>
        <item x="180"/>
        <item x="142"/>
        <item x="953"/>
        <item x="1133"/>
        <item x="279"/>
        <item x="834"/>
        <item x="231"/>
        <item x="1132"/>
        <item x="1278"/>
        <item x="296"/>
        <item x="529"/>
        <item x="347"/>
        <item x="1398"/>
        <item x="634"/>
        <item x="680"/>
        <item x="911"/>
        <item x="451"/>
        <item x="954"/>
        <item x="3"/>
        <item x="1275"/>
        <item x="676"/>
        <item x="569"/>
        <item x="582"/>
        <item x="845"/>
        <item x="342"/>
        <item x="987"/>
        <item x="776"/>
        <item x="1271"/>
        <item x="354"/>
        <item x="1156"/>
        <item x="1130"/>
        <item x="1486"/>
        <item x="941"/>
        <item x="1244"/>
        <item x="1115"/>
        <item x="722"/>
        <item x="840"/>
        <item x="887"/>
        <item x="361"/>
        <item x="702"/>
        <item x="870"/>
        <item x="1167"/>
        <item x="1160"/>
        <item x="1433"/>
        <item x="863"/>
        <item x="670"/>
        <item x="1294"/>
        <item x="1425"/>
        <item x="751"/>
        <item x="1150"/>
        <item x="7"/>
        <item x="30"/>
        <item x="82"/>
        <item x="97"/>
        <item x="674"/>
        <item x="1034"/>
        <item x="131"/>
        <item x="1387"/>
        <item x="1172"/>
        <item x="556"/>
        <item x="322"/>
        <item x="424"/>
        <item x="1440"/>
        <item x="1227"/>
        <item x="985"/>
        <item x="1367"/>
        <item x="391"/>
        <item x="54"/>
        <item x="258"/>
        <item x="876"/>
        <item x="350"/>
        <item x="1430"/>
        <item x="986"/>
        <item x="606"/>
        <item x="130"/>
        <item x="643"/>
        <item x="486"/>
        <item x="786"/>
        <item x="1111"/>
        <item x="1270"/>
        <item x="1412"/>
        <item x="219"/>
        <item x="1283"/>
        <item x="1322"/>
        <item x="1237"/>
        <item x="543"/>
        <item x="520"/>
        <item x="1085"/>
        <item x="1428"/>
        <item x="460"/>
        <item x="882"/>
        <item x="861"/>
        <item x="1405"/>
        <item x="1009"/>
        <item x="1126"/>
        <item x="1147"/>
        <item x="1153"/>
        <item x="656"/>
        <item x="638"/>
        <item x="1"/>
        <item x="1017"/>
        <item x="100"/>
        <item x="988"/>
        <item x="371"/>
        <item x="973"/>
        <item x="363"/>
        <item x="1369"/>
        <item x="1080"/>
        <item x="356"/>
        <item x="275"/>
        <item x="483"/>
        <item x="32"/>
        <item x="126"/>
        <item x="482"/>
        <item x="328"/>
        <item x="972"/>
        <item x="823"/>
        <item x="473"/>
        <item x="966"/>
        <item x="735"/>
        <item x="537"/>
        <item x="430"/>
        <item x="144"/>
        <item x="1151"/>
        <item x="51"/>
        <item x="889"/>
        <item x="802"/>
        <item x="1089"/>
        <item x="233"/>
        <item x="1234"/>
        <item x="1442"/>
        <item x="883"/>
        <item x="505"/>
        <item x="426"/>
        <item x="542"/>
        <item x="592"/>
        <item x="868"/>
        <item x="1280"/>
        <item x="96"/>
        <item x="931"/>
        <item x="1274"/>
        <item x="64"/>
        <item x="660"/>
        <item x="1450"/>
        <item x="803"/>
        <item x="148"/>
        <item x="778"/>
        <item x="1384"/>
        <item x="717"/>
        <item x="1248"/>
        <item x="425"/>
        <item x="696"/>
        <item x="936"/>
        <item x="493"/>
        <item x="1120"/>
        <item x="14"/>
        <item x="1212"/>
        <item x="480"/>
        <item x="325"/>
        <item x="866"/>
        <item x="915"/>
        <item x="1261"/>
        <item x="1361"/>
        <item x="679"/>
        <item x="877"/>
        <item x="288"/>
        <item x="694"/>
        <item x="156"/>
        <item x="122"/>
        <item x="806"/>
        <item x="571"/>
        <item x="439"/>
        <item x="1102"/>
        <item x="1113"/>
        <item x="79"/>
        <item x="190"/>
        <item x="1071"/>
        <item x="844"/>
        <item x="534"/>
        <item x="1287"/>
        <item x="789"/>
        <item x="1141"/>
        <item x="1201"/>
        <item x="358"/>
        <item x="891"/>
        <item x="1166"/>
        <item x="440"/>
        <item x="1020"/>
        <item x="263"/>
        <item x="113"/>
        <item x="1374"/>
        <item x="104"/>
        <item x="1422"/>
        <item x="295"/>
        <item x="812"/>
        <item x="665"/>
        <item x="268"/>
        <item x="1110"/>
        <item x="208"/>
        <item x="1094"/>
        <item x="1188"/>
        <item x="1297"/>
        <item x="1438"/>
        <item x="139"/>
        <item x="487"/>
        <item x="179"/>
        <item x="463"/>
        <item x="353"/>
        <item x="841"/>
        <item x="1086"/>
        <item x="1236"/>
        <item x="1454"/>
        <item x="28"/>
        <item x="202"/>
        <item x="232"/>
        <item x="88"/>
        <item x="572"/>
        <item x="419"/>
        <item x="99"/>
        <item x="285"/>
        <item x="409"/>
        <item x="1029"/>
        <item x="958"/>
        <item x="1286"/>
        <item x="621"/>
        <item x="146"/>
        <item x="1041"/>
        <item x="1100"/>
        <item x="810"/>
        <item x="521"/>
        <item x="197"/>
        <item x="444"/>
        <item x="922"/>
        <item x="568"/>
        <item x="9"/>
        <item x="338"/>
        <item x="362"/>
        <item x="733"/>
        <item x="240"/>
        <item x="427"/>
        <item x="459"/>
        <item x="1082"/>
        <item x="161"/>
        <item x="188"/>
        <item x="1309"/>
        <item x="1230"/>
        <item x="212"/>
        <item x="1273"/>
        <item x="109"/>
        <item x="642"/>
        <item x="229"/>
        <item x="718"/>
        <item x="612"/>
        <item x="577"/>
        <item x="163"/>
        <item x="43"/>
        <item x="549"/>
        <item x="725"/>
        <item x="365"/>
        <item x="1302"/>
        <item x="101"/>
        <item x="35"/>
        <item x="658"/>
        <item x="770"/>
        <item x="1223"/>
        <item x="204"/>
        <item x="435"/>
        <item x="157"/>
        <item x="647"/>
        <item x="370"/>
        <item x="399"/>
        <item x="1231"/>
        <item x="944"/>
        <item x="1208"/>
        <item x="287"/>
        <item x="13"/>
        <item x="605"/>
        <item x="470"/>
        <item x="1232"/>
        <item x="1000"/>
        <item x="896"/>
        <item x="652"/>
        <item x="1316"/>
        <item x="484"/>
        <item x="1452"/>
        <item x="713"/>
        <item x="1268"/>
        <item x="280"/>
        <item x="1168"/>
        <item x="597"/>
        <item x="1414"/>
        <item x="581"/>
        <item x="1158"/>
        <item x="449"/>
        <item x="1269"/>
        <item x="273"/>
        <item x="392"/>
        <item x="124"/>
        <item x="1213"/>
        <item x="27"/>
        <item x="42"/>
        <item x="415"/>
        <item x="1250"/>
        <item x="561"/>
        <item x="611"/>
        <item x="904"/>
        <item x="1084"/>
        <item x="853"/>
        <item x="1007"/>
        <item x="1341"/>
        <item x="1070"/>
        <item x="410"/>
        <item x="271"/>
        <item x="773"/>
        <item x="1419"/>
        <item x="446"/>
        <item x="326"/>
        <item x="514"/>
        <item x="1175"/>
        <item x="697"/>
        <item x="1468"/>
        <item x="831"/>
        <item x="1179"/>
        <item x="925"/>
        <item x="1365"/>
        <item x="70"/>
        <item x="34"/>
        <item x="431"/>
        <item x="860"/>
        <item x="19"/>
        <item x="950"/>
        <item x="1481"/>
        <item x="1408"/>
        <item x="1298"/>
        <item x="143"/>
        <item x="627"/>
        <item x="742"/>
        <item x="1016"/>
        <item x="1108"/>
        <item x="1045"/>
        <item x="199"/>
        <item x="732"/>
        <item x="269"/>
        <item x="579"/>
        <item x="508"/>
        <item x="540"/>
        <item x="385"/>
        <item x="918"/>
        <item x="899"/>
        <item x="1473"/>
        <item x="1106"/>
        <item x="428"/>
        <item x="343"/>
        <item x="1388"/>
        <item x="1325"/>
        <item x="991"/>
        <item x="23"/>
        <item x="1028"/>
        <item x="300"/>
        <item x="299"/>
        <item x="102"/>
        <item x="502"/>
        <item x="1401"/>
        <item x="857"/>
        <item x="1314"/>
        <item x="726"/>
        <item x="1216"/>
        <item x="517"/>
        <item x="688"/>
        <item x="252"/>
        <item x="509"/>
        <item x="1371"/>
        <item x="1296"/>
        <item x="1258"/>
        <item x="927"/>
        <item x="195"/>
        <item x="457"/>
        <item x="809"/>
        <item x="1357"/>
        <item x="787"/>
        <item x="93"/>
        <item x="69"/>
        <item x="1370"/>
        <item x="1352"/>
        <item x="661"/>
        <item x="286"/>
        <item x="784"/>
        <item x="965"/>
        <item x="150"/>
        <item x="489"/>
        <item x="1323"/>
        <item x="1256"/>
        <item x="1378"/>
        <item x="1067"/>
        <item x="938"/>
        <item x="94"/>
        <item x="1112"/>
        <item x="536"/>
        <item x="1097"/>
        <item x="791"/>
        <item x="420"/>
        <item x="329"/>
        <item x="779"/>
        <item x="147"/>
        <item x="1185"/>
        <item x="1186"/>
        <item x="836"/>
        <item x="284"/>
        <item x="804"/>
        <item x="140"/>
        <item x="500"/>
        <item x="1324"/>
        <item x="768"/>
        <item x="1443"/>
        <item x="598"/>
        <item x="796"/>
        <item x="761"/>
        <item x="497"/>
        <item x="206"/>
        <item x="1463"/>
        <item x="880"/>
        <item x="686"/>
        <item x="1418"/>
        <item x="1295"/>
        <item x="1092"/>
        <item x="213"/>
        <item x="1435"/>
        <item x="828"/>
        <item x="782"/>
        <item x="626"/>
        <item x="1056"/>
        <item x="1182"/>
        <item x="189"/>
        <item x="930"/>
        <item x="181"/>
        <item x="281"/>
        <item x="1218"/>
        <item x="297"/>
        <item x="290"/>
        <item x="619"/>
        <item x="1036"/>
        <item x="249"/>
        <item x="45"/>
        <item x="524"/>
        <item x="1162"/>
        <item x="176"/>
        <item x="220"/>
        <item x="211"/>
        <item x="681"/>
        <item x="1193"/>
        <item x="683"/>
        <item x="351"/>
        <item x="149"/>
        <item x="723"/>
        <item x="44"/>
        <item x="455"/>
        <item x="506"/>
        <item x="607"/>
        <item x="304"/>
        <item x="1049"/>
        <item x="1385"/>
        <item x="541"/>
        <item x="1363"/>
        <item x="76"/>
        <item x="663"/>
        <item x="74"/>
        <item x="214"/>
        <item x="377"/>
        <item x="1011"/>
        <item x="50"/>
        <item x="90"/>
        <item x="20"/>
        <item x="152"/>
        <item x="349"/>
        <item x="1180"/>
        <item x="1139"/>
        <item x="239"/>
        <item x="1303"/>
        <item x="1299"/>
        <item x="859"/>
        <item x="191"/>
        <item x="1291"/>
        <item x="1246"/>
        <item x="777"/>
        <item x="835"/>
        <item x="1281"/>
        <item x="72"/>
        <item x="564"/>
        <item x="731"/>
        <item x="367"/>
        <item x="1459"/>
        <item x="819"/>
        <item x="741"/>
        <item x="1083"/>
        <item x="403"/>
        <item x="265"/>
        <item x="1164"/>
        <item x="885"/>
        <item x="1006"/>
        <item x="839"/>
        <item x="538"/>
        <item x="388"/>
        <item x="315"/>
        <item x="228"/>
        <item x="461"/>
        <item x="1475"/>
        <item x="276"/>
        <item x="928"/>
        <item x="433"/>
        <item x="1131"/>
        <item x="1308"/>
        <item x="178"/>
        <item x="1288"/>
        <item x="926"/>
        <item x="801"/>
        <item x="974"/>
        <item x="907"/>
        <item x="996"/>
        <item x="706"/>
        <item x="201"/>
        <item x="4"/>
        <item x="1221"/>
        <item x="1157"/>
        <item x="1307"/>
        <item x="407"/>
        <item x="774"/>
        <item x="136"/>
        <item x="898"/>
        <item x="1451"/>
        <item x="673"/>
        <item x="624"/>
        <item x="659"/>
        <item x="785"/>
        <item x="153"/>
        <item x="52"/>
        <item x="562"/>
        <item x="1403"/>
        <item x="1409"/>
        <item x="576"/>
        <item x="975"/>
        <item x="678"/>
        <item x="186"/>
        <item x="1030"/>
        <item x="893"/>
        <item x="414"/>
        <item x="1143"/>
        <item x="443"/>
        <item x="668"/>
        <item x="677"/>
        <item x="117"/>
        <item x="1063"/>
        <item x="311"/>
        <item x="321"/>
        <item x="848"/>
        <item x="12"/>
        <item x="182"/>
        <item x="901"/>
        <item x="750"/>
        <item x="1005"/>
        <item x="924"/>
        <item x="970"/>
        <item x="631"/>
        <item x="1125"/>
        <item x="753"/>
        <item x="1052"/>
        <item x="739"/>
        <item x="490"/>
        <item x="528"/>
        <item x="1257"/>
        <item x="832"/>
        <item x="780"/>
        <item x="637"/>
        <item x="145"/>
        <item x="858"/>
        <item x="699"/>
        <item x="402"/>
        <item x="1351"/>
        <item x="166"/>
        <item x="245"/>
        <item x="545"/>
        <item x="193"/>
        <item x="373"/>
        <item x="591"/>
        <item x="708"/>
        <item x="1375"/>
        <item x="408"/>
        <item x="494"/>
        <item x="1260"/>
        <item x="1262"/>
        <item x="618"/>
        <item x="1031"/>
        <item x="900"/>
        <item x="389"/>
        <item t="default"/>
      </items>
    </pivotField>
    <pivotField showAll="0"/>
    <pivotField axis="axisPage" showAll="0">
      <items count="6">
        <item x="4"/>
        <item x="3"/>
        <item x="2"/>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s>
  <rowFields count="1">
    <field x="1"/>
  </rowFields>
  <rowItems count="3">
    <i>
      <x v="1"/>
    </i>
    <i>
      <x v="2"/>
    </i>
    <i t="grand">
      <x/>
    </i>
  </rowItems>
  <colItems count="1">
    <i/>
  </colItems>
  <pageFields count="1">
    <pageField fld="4" item="2" hier="-1"/>
  </pageFields>
  <dataFields count="1">
    <dataField name="Count of Booking Value" fld="1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DE6F527-FC43-44F0-8697-355DBD59FA58}" name="PivotTable4" cacheId="4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E14:G20" firstHeaderRow="0" firstDataRow="1" firstDataCol="1"/>
  <pivotFields count="22">
    <pivotField numFmtId="14" showAll="0"/>
    <pivotField axis="axisRow" showAll="0">
      <items count="13">
        <item x="10"/>
        <item x="5"/>
        <item h="1" x="0"/>
        <item x="11"/>
        <item x="9"/>
        <item x="6"/>
        <item h="1" x="8"/>
        <item h="1" x="2"/>
        <item h="1" x="4"/>
        <item h="1" x="3"/>
        <item h="1" x="1"/>
        <item h="1" x="7"/>
        <item t="default"/>
      </items>
    </pivotField>
    <pivotField numFmtId="21" showAll="0"/>
    <pivotField showAll="0"/>
    <pivotField showAll="0">
      <items count="6">
        <item x="4"/>
        <item x="3"/>
        <item x="2"/>
        <item x="1"/>
        <item x="0"/>
        <item t="default"/>
      </items>
    </pivotField>
    <pivotField showAll="0"/>
    <pivotField showAll="0"/>
    <pivotField showAll="0">
      <items count="177">
        <item x="39"/>
        <item x="5"/>
        <item x="71"/>
        <item x="174"/>
        <item x="56"/>
        <item x="51"/>
        <item x="49"/>
        <item x="148"/>
        <item x="136"/>
        <item x="153"/>
        <item x="105"/>
        <item x="45"/>
        <item x="74"/>
        <item x="121"/>
        <item x="152"/>
        <item x="63"/>
        <item x="103"/>
        <item x="109"/>
        <item x="166"/>
        <item x="159"/>
        <item x="98"/>
        <item x="3"/>
        <item x="128"/>
        <item x="155"/>
        <item x="72"/>
        <item x="149"/>
        <item x="36"/>
        <item x="137"/>
        <item x="26"/>
        <item x="127"/>
        <item x="44"/>
        <item x="32"/>
        <item x="94"/>
        <item x="55"/>
        <item x="100"/>
        <item x="29"/>
        <item x="118"/>
        <item x="60"/>
        <item x="4"/>
        <item x="117"/>
        <item x="139"/>
        <item x="113"/>
        <item x="21"/>
        <item x="151"/>
        <item x="115"/>
        <item x="156"/>
        <item x="106"/>
        <item x="104"/>
        <item x="123"/>
        <item x="172"/>
        <item x="81"/>
        <item x="126"/>
        <item x="96"/>
        <item x="80"/>
        <item x="16"/>
        <item x="70"/>
        <item x="67"/>
        <item x="73"/>
        <item x="65"/>
        <item x="157"/>
        <item x="102"/>
        <item x="142"/>
        <item x="134"/>
        <item x="133"/>
        <item x="138"/>
        <item x="15"/>
        <item x="135"/>
        <item x="48"/>
        <item x="75"/>
        <item x="107"/>
        <item x="147"/>
        <item x="143"/>
        <item x="24"/>
        <item x="54"/>
        <item x="41"/>
        <item x="18"/>
        <item x="78"/>
        <item x="165"/>
        <item x="131"/>
        <item x="86"/>
        <item x="2"/>
        <item x="79"/>
        <item x="167"/>
        <item x="52"/>
        <item x="175"/>
        <item x="95"/>
        <item x="112"/>
        <item x="14"/>
        <item x="84"/>
        <item x="13"/>
        <item x="59"/>
        <item x="150"/>
        <item x="88"/>
        <item x="7"/>
        <item x="50"/>
        <item x="97"/>
        <item x="47"/>
        <item x="58"/>
        <item x="64"/>
        <item x="43"/>
        <item x="31"/>
        <item x="69"/>
        <item x="119"/>
        <item x="91"/>
        <item x="154"/>
        <item x="145"/>
        <item x="33"/>
        <item x="35"/>
        <item x="34"/>
        <item x="38"/>
        <item x="101"/>
        <item x="23"/>
        <item x="8"/>
        <item x="25"/>
        <item x="170"/>
        <item x="168"/>
        <item x="0"/>
        <item x="120"/>
        <item x="40"/>
        <item x="173"/>
        <item x="122"/>
        <item x="12"/>
        <item x="162"/>
        <item x="19"/>
        <item x="87"/>
        <item x="141"/>
        <item x="164"/>
        <item x="20"/>
        <item x="30"/>
        <item x="111"/>
        <item x="46"/>
        <item x="61"/>
        <item x="158"/>
        <item x="99"/>
        <item x="89"/>
        <item x="129"/>
        <item x="9"/>
        <item x="161"/>
        <item x="77"/>
        <item x="27"/>
        <item x="90"/>
        <item x="108"/>
        <item x="132"/>
        <item x="125"/>
        <item x="82"/>
        <item x="114"/>
        <item x="68"/>
        <item x="37"/>
        <item x="92"/>
        <item x="1"/>
        <item x="28"/>
        <item x="130"/>
        <item x="76"/>
        <item x="62"/>
        <item x="144"/>
        <item x="146"/>
        <item x="160"/>
        <item x="169"/>
        <item x="42"/>
        <item x="66"/>
        <item x="124"/>
        <item x="93"/>
        <item x="22"/>
        <item x="53"/>
        <item x="10"/>
        <item x="171"/>
        <item x="110"/>
        <item x="57"/>
        <item x="6"/>
        <item x="163"/>
        <item x="116"/>
        <item x="11"/>
        <item x="17"/>
        <item x="83"/>
        <item x="140"/>
        <item x="85"/>
        <item t="default"/>
      </items>
    </pivotField>
    <pivotField showAll="0"/>
    <pivotField showAll="0">
      <items count="157">
        <item x="26"/>
        <item x="67"/>
        <item x="141"/>
        <item x="37"/>
        <item x="81"/>
        <item x="127"/>
        <item x="66"/>
        <item x="100"/>
        <item x="132"/>
        <item x="83"/>
        <item x="43"/>
        <item x="23"/>
        <item x="58"/>
        <item x="93"/>
        <item x="52"/>
        <item x="72"/>
        <item x="78"/>
        <item x="91"/>
        <item x="106"/>
        <item x="60"/>
        <item x="51"/>
        <item x="41"/>
        <item x="113"/>
        <item x="45"/>
        <item x="99"/>
        <item x="87"/>
        <item x="10"/>
        <item x="94"/>
        <item x="125"/>
        <item x="1"/>
        <item x="56"/>
        <item x="5"/>
        <item x="114"/>
        <item x="4"/>
        <item x="27"/>
        <item x="131"/>
        <item x="14"/>
        <item x="63"/>
        <item x="50"/>
        <item x="54"/>
        <item x="15"/>
        <item x="8"/>
        <item x="89"/>
        <item x="47"/>
        <item x="35"/>
        <item x="111"/>
        <item x="30"/>
        <item x="29"/>
        <item x="103"/>
        <item x="88"/>
        <item x="18"/>
        <item x="6"/>
        <item x="90"/>
        <item x="101"/>
        <item x="95"/>
        <item x="69"/>
        <item x="116"/>
        <item x="9"/>
        <item x="38"/>
        <item x="20"/>
        <item x="33"/>
        <item x="55"/>
        <item x="97"/>
        <item x="73"/>
        <item x="61"/>
        <item x="13"/>
        <item x="64"/>
        <item x="109"/>
        <item x="39"/>
        <item x="24"/>
        <item x="80"/>
        <item x="44"/>
        <item x="25"/>
        <item x="96"/>
        <item x="79"/>
        <item x="65"/>
        <item x="59"/>
        <item x="77"/>
        <item x="108"/>
        <item x="40"/>
        <item x="31"/>
        <item x="120"/>
        <item x="107"/>
        <item x="17"/>
        <item x="19"/>
        <item x="102"/>
        <item x="137"/>
        <item x="104"/>
        <item x="70"/>
        <item x="62"/>
        <item x="32"/>
        <item x="53"/>
        <item x="42"/>
        <item x="36"/>
        <item x="46"/>
        <item x="22"/>
        <item x="92"/>
        <item x="48"/>
        <item x="118"/>
        <item x="74"/>
        <item x="57"/>
        <item x="7"/>
        <item x="11"/>
        <item x="105"/>
        <item x="16"/>
        <item x="75"/>
        <item x="121"/>
        <item x="130"/>
        <item x="34"/>
        <item x="112"/>
        <item x="136"/>
        <item x="3"/>
        <item x="123"/>
        <item x="76"/>
        <item x="2"/>
        <item x="98"/>
        <item x="21"/>
        <item x="86"/>
        <item x="149"/>
        <item x="135"/>
        <item x="12"/>
        <item x="126"/>
        <item x="110"/>
        <item x="119"/>
        <item x="68"/>
        <item x="124"/>
        <item x="28"/>
        <item x="71"/>
        <item x="122"/>
        <item x="117"/>
        <item x="128"/>
        <item x="155"/>
        <item x="152"/>
        <item x="140"/>
        <item x="143"/>
        <item x="147"/>
        <item x="85"/>
        <item x="129"/>
        <item x="148"/>
        <item x="142"/>
        <item x="49"/>
        <item x="154"/>
        <item x="153"/>
        <item x="115"/>
        <item x="151"/>
        <item x="139"/>
        <item x="134"/>
        <item x="84"/>
        <item x="150"/>
        <item x="82"/>
        <item x="133"/>
        <item x="144"/>
        <item x="146"/>
        <item x="145"/>
        <item x="138"/>
        <item x="0"/>
        <item t="default"/>
      </items>
    </pivotField>
    <pivotField showAll="0"/>
    <pivotField showAll="0"/>
    <pivotField showAll="0"/>
    <pivotField showAll="0"/>
    <pivotField showAll="0"/>
    <pivotField showAll="0"/>
    <pivotField showAll="0"/>
    <pivotField showAll="0"/>
    <pivotField dataField="1" showAll="0"/>
    <pivotField dataField="1" showAll="0"/>
    <pivotField showAll="0">
      <items count="23">
        <item x="20"/>
        <item x="18"/>
        <item x="17"/>
        <item x="11"/>
        <item x="16"/>
        <item x="21"/>
        <item x="9"/>
        <item x="13"/>
        <item x="12"/>
        <item x="15"/>
        <item x="19"/>
        <item x="5"/>
        <item x="6"/>
        <item x="3"/>
        <item x="8"/>
        <item x="10"/>
        <item x="4"/>
        <item x="7"/>
        <item x="14"/>
        <item x="1"/>
        <item x="2"/>
        <item x="0"/>
        <item t="default"/>
      </items>
    </pivotField>
    <pivotField showAll="0"/>
  </pivotFields>
  <rowFields count="1">
    <field x="1"/>
  </rowFields>
  <rowItems count="6">
    <i>
      <x/>
    </i>
    <i>
      <x v="1"/>
    </i>
    <i>
      <x v="3"/>
    </i>
    <i>
      <x v="4"/>
    </i>
    <i>
      <x v="5"/>
    </i>
    <i t="grand">
      <x/>
    </i>
  </rowItems>
  <colFields count="1">
    <field x="-2"/>
  </colFields>
  <colItems count="2">
    <i>
      <x/>
    </i>
    <i i="1">
      <x v="1"/>
    </i>
  </colItems>
  <dataFields count="2">
    <dataField name="Count of Ride Distance" fld="18" subtotal="count" baseField="0" baseItem="0"/>
    <dataField name="Average of Driver Ratings" fld="19" subtotal="average" baseField="1"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E4CAC0E-5EAA-47AA-BA7A-B9711F2F1FCC}" name="ptRideVehicle" cacheId="70"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chartFormat="1">
  <location ref="A5:B13" firstHeaderRow="1" firstDataRow="1" firstDataCol="1"/>
  <pivotFields count="22">
    <pivotField numFmtId="14" showAll="0"/>
    <pivotField showAll="0"/>
    <pivotField numFmtId="21" showAll="0"/>
    <pivotField name="Total Rides" dataField="1" showAll="0"/>
    <pivotField showAll="0"/>
    <pivotField showAll="0"/>
    <pivotField axis="axisRow" showAll="0">
      <items count="8">
        <item x="2"/>
        <item x="4"/>
        <item x="0"/>
        <item x="5"/>
        <item x="1"/>
        <item x="3"/>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8">
    <i>
      <x/>
    </i>
    <i>
      <x v="1"/>
    </i>
    <i>
      <x v="2"/>
    </i>
    <i>
      <x v="3"/>
    </i>
    <i>
      <x v="4"/>
    </i>
    <i>
      <x v="5"/>
    </i>
    <i>
      <x v="6"/>
    </i>
    <i t="grand">
      <x/>
    </i>
  </rowItems>
  <colItems count="1">
    <i/>
  </colItems>
  <dataFields count="1">
    <dataField name="Count of Booking ID" fld="3"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615967CD-4B7A-4B73-B1A8-8CDC8D115F18}" sourceName="Month">
  <pivotTables>
    <pivotTable tabId="3" name="PivotTable3"/>
  </pivotTables>
  <data>
    <tabular pivotCacheId="1799473772">
      <items count="12">
        <i x="10" s="1"/>
        <i x="5"/>
        <i x="0" s="1"/>
        <i x="11" s="1"/>
        <i x="9"/>
        <i x="6"/>
        <i x="8"/>
        <i x="2"/>
        <i x="4"/>
        <i x="3"/>
        <i x="1"/>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 xr10:uid="{ECD46307-D037-4042-828A-55A1AFD3EF1D}" sourceName="Vehicle Type">
  <pivotTables>
    <pivotTable tabId="3" name="PivotTable3"/>
  </pivotTables>
  <data>
    <tabular pivotCacheId="1799473772">
      <items count="7">
        <i x="2"/>
        <i x="4" s="1"/>
        <i x="0" s="1"/>
        <i x="5"/>
        <i x="1"/>
        <i x="3"/>
        <i x="6"/>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iver_Ratings" xr10:uid="{B7ECB40D-AEB7-422C-BCD2-664BDD0DB24D}" sourceName="Driver Ratings">
  <pivotTables>
    <pivotTable tabId="3" name="PivotTable3"/>
  </pivotTables>
  <data>
    <tabular pivotCacheId="1799473772">
      <items count="22">
        <i x="11"/>
        <i x="16"/>
        <i x="15"/>
        <i x="20"/>
        <i x="18"/>
        <i x="10"/>
        <i x="8"/>
        <i x="13"/>
        <i x="4"/>
        <i x="3"/>
        <i x="6"/>
        <i x="14"/>
        <i x="5"/>
        <i x="12"/>
        <i x="2" s="1"/>
        <i x="7" s="1"/>
        <i x="17" s="1"/>
        <i x="1" s="1"/>
        <i x="0"/>
        <i x="21" nd="1"/>
        <i x="19" nd="1"/>
        <i x="9"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0E7E350A-A4C3-4B84-BFE9-990BE26C7B0B}" sourceName="Month">
  <pivotTables>
    <pivotTable tabId="3" name="PivotTable4"/>
  </pivotTables>
  <data>
    <tabular pivotCacheId="1799473772">
      <items count="12">
        <i x="10" s="1"/>
        <i x="5" s="1"/>
        <i x="0"/>
        <i x="11" s="1"/>
        <i x="9" s="1"/>
        <i x="6" s="1"/>
        <i x="8"/>
        <i x="2"/>
        <i x="4"/>
        <i x="3"/>
        <i x="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866FA4F5-A8A2-4D44-AD35-08F3E9E6D517}" cache="Slicer_Month" caption="Month" style="SlicerStyleLight2" rowHeight="241300"/>
  <slicer name="Vehicle Type" xr10:uid="{70DBD3D9-666F-46AA-84C5-25B1FC1470B7}" cache="Slicer_Vehicle_Type" caption="Vehicle Type" style="SlicerStyleLight2" rowHeight="241300"/>
  <slicer name="Driver Ratings" xr10:uid="{66F2486D-954D-47AE-8558-8112B0695A95}" cache="Slicer_Driver_Ratings" caption="Driver Ratings" startItem="14" style="SlicerStyleLight2" rowHeight="241300"/>
  <slicer name="Month 1" xr10:uid="{934B4771-3147-466D-A998-AE2B3F98172E}" cache="Slicer_Month1" caption="Month" style="SlicerStyleLight4"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80F0ACF-7537-48E6-B831-AE6CE863B97F}" name="Table1" displayName="Table1" ref="A1:V1500" totalsRowShown="0" headerRowDxfId="0">
  <autoFilter ref="A1:V1500" xr:uid="{980F0ACF-7537-48E6-B831-AE6CE863B97F}"/>
  <tableColumns count="22">
    <tableColumn id="1" xr3:uid="{7321B9EF-D11D-42A5-8E87-5BE3AB52BCC1}" name="Date" dataDxfId="2"/>
    <tableColumn id="2" xr3:uid="{E35A555C-92B7-46BA-8EF0-AC673EE037E7}" name="Month"/>
    <tableColumn id="3" xr3:uid="{3A7ABEAF-76EE-4881-A288-CDE45A4F5BB5}" name="Time" dataDxfId="1"/>
    <tableColumn id="4" xr3:uid="{9AA340E9-4DC5-4F16-B955-EF761E5C8C14}" name="Booking ID"/>
    <tableColumn id="5" xr3:uid="{4492119D-8BBC-488B-A4D8-7323D958EBE0}" name="Booking Status"/>
    <tableColumn id="6" xr3:uid="{BBAE8CB8-3134-40C1-A7C9-8F4A51028E5D}" name="Customer ID"/>
    <tableColumn id="7" xr3:uid="{41FE260A-38D9-4CB1-97A9-024AD1DE7BE3}" name="Vehicle Type"/>
    <tableColumn id="8" xr3:uid="{0B604574-7C0B-4388-9E6F-8D6B1664B43B}" name="Pickup Location"/>
    <tableColumn id="9" xr3:uid="{63980776-6587-4AC0-8FDB-9EC5F5F12165}" name="Drop Location"/>
    <tableColumn id="10" xr3:uid="{5E848803-9A42-4779-B3DD-6BFD2FCB88B1}" name="Avg VTAT"/>
    <tableColumn id="11" xr3:uid="{FE0D75EF-2F4F-49CF-9459-A258668076A1}" name="Avg CTAT"/>
    <tableColumn id="12" xr3:uid="{EB77C75C-9C35-444D-AA2A-FF2A6CF0CCA5}" name="Cancelled Rides by Customer"/>
    <tableColumn id="13" xr3:uid="{74BD319E-05CB-488E-9C71-08373FCCC452}" name="Reason for cancelling by Customer"/>
    <tableColumn id="14" xr3:uid="{E9DD3837-5DEA-41A1-AF17-CC815557D77A}" name="Cancelled Rides by Driver"/>
    <tableColumn id="15" xr3:uid="{A50A34F8-298C-4985-8AAA-A913F6E21AA2}" name="Driver Cancellation Reason"/>
    <tableColumn id="16" xr3:uid="{FA6D0076-CBA0-43D4-838F-3417FB312A68}" name="Incomplete Rides"/>
    <tableColumn id="17" xr3:uid="{A6DF93BD-9ACB-4090-A161-AD5632FB2A38}" name="Incomplete Rides Reason"/>
    <tableColumn id="18" xr3:uid="{C6852874-93E4-42AE-B84F-77B58C79AE13}" name="Booking Value"/>
    <tableColumn id="19" xr3:uid="{B4652B57-5C1A-4FDA-8462-A3C2668C53A9}" name="Ride Distance"/>
    <tableColumn id="20" xr3:uid="{99B91ED2-4AAD-4EF4-B975-DD8F5C372C52}" name="Driver Ratings"/>
    <tableColumn id="21" xr3:uid="{C34693A8-53F4-4001-93EE-D955ABA60138}" name="Customer Rating"/>
    <tableColumn id="22" xr3:uid="{469B0BE8-8D83-4278-A3C6-1C60821300E7}" name="Payment Method"/>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hyperlink" Target="https://www.kaggle.com/datasets/yashdevladdha/uber-ride-analytics-dashboard?resource=download"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ivotTable" Target="../pivotTables/pivotTable5.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07F24F-19E9-4DF9-B436-7B703DA392A5}">
  <sheetPr codeName="Sheet1"/>
  <dimension ref="A1:V1500"/>
  <sheetViews>
    <sheetView workbookViewId="0"/>
  </sheetViews>
  <sheetFormatPr defaultRowHeight="14.5" x14ac:dyDescent="0.35"/>
  <cols>
    <col min="1" max="1" width="10.453125" bestFit="1" customWidth="1"/>
    <col min="2" max="2" width="9.90625" bestFit="1" customWidth="1"/>
    <col min="4" max="4" width="13" bestFit="1" customWidth="1"/>
    <col min="5" max="5" width="20" bestFit="1" customWidth="1"/>
    <col min="6" max="7" width="13.26953125" customWidth="1"/>
    <col min="8" max="8" width="15.90625" customWidth="1"/>
    <col min="9" max="9" width="14.54296875" customWidth="1"/>
    <col min="10" max="10" width="10.6328125" customWidth="1"/>
    <col min="11" max="11" width="10.54296875" customWidth="1"/>
    <col min="12" max="12" width="26.81640625" customWidth="1"/>
    <col min="13" max="13" width="31.453125" customWidth="1"/>
    <col min="14" max="14" width="23.7265625" customWidth="1"/>
    <col min="15" max="15" width="25.1796875" customWidth="1"/>
    <col min="16" max="16" width="17.1796875" customWidth="1"/>
    <col min="17" max="17" width="23.7265625" customWidth="1"/>
    <col min="18" max="18" width="14.7265625" customWidth="1"/>
    <col min="19" max="19" width="14.08984375" customWidth="1"/>
    <col min="20" max="20" width="14.453125" customWidth="1"/>
    <col min="21" max="21" width="16.7265625" customWidth="1"/>
    <col min="22" max="22" width="17.453125" customWidth="1"/>
  </cols>
  <sheetData>
    <row r="1" spans="1:22" x14ac:dyDescent="0.35">
      <c r="A1" s="5" t="s">
        <v>0</v>
      </c>
      <c r="B1" s="5" t="s">
        <v>1</v>
      </c>
      <c r="C1" s="5" t="s">
        <v>2</v>
      </c>
      <c r="D1" s="5" t="s">
        <v>3</v>
      </c>
      <c r="E1" s="5" t="s">
        <v>4</v>
      </c>
      <c r="F1" s="5" t="s">
        <v>5</v>
      </c>
      <c r="G1" s="5" t="s">
        <v>6</v>
      </c>
      <c r="H1" s="5" t="s">
        <v>7</v>
      </c>
      <c r="I1" s="5" t="s">
        <v>8</v>
      </c>
      <c r="J1" s="5" t="s">
        <v>9</v>
      </c>
      <c r="K1" s="5" t="s">
        <v>10</v>
      </c>
      <c r="L1" s="5" t="s">
        <v>11</v>
      </c>
      <c r="M1" s="5" t="s">
        <v>12</v>
      </c>
      <c r="N1" s="5" t="s">
        <v>13</v>
      </c>
      <c r="O1" s="5" t="s">
        <v>14</v>
      </c>
      <c r="P1" s="5" t="s">
        <v>15</v>
      </c>
      <c r="Q1" s="5" t="s">
        <v>16</v>
      </c>
      <c r="R1" s="5" t="s">
        <v>17</v>
      </c>
      <c r="S1" s="5" t="s">
        <v>18</v>
      </c>
      <c r="T1" s="5" t="s">
        <v>19</v>
      </c>
      <c r="U1" s="5" t="s">
        <v>20</v>
      </c>
      <c r="V1" s="5" t="s">
        <v>21</v>
      </c>
    </row>
    <row r="2" spans="1:22" x14ac:dyDescent="0.35">
      <c r="A2" s="1">
        <v>45374</v>
      </c>
      <c r="B2" t="s">
        <v>22</v>
      </c>
      <c r="C2" s="2">
        <v>0.52057870370370374</v>
      </c>
      <c r="D2" t="s">
        <v>23</v>
      </c>
      <c r="E2" t="s">
        <v>24</v>
      </c>
      <c r="F2" t="s">
        <v>25</v>
      </c>
      <c r="G2" t="s">
        <v>26</v>
      </c>
      <c r="H2" t="s">
        <v>27</v>
      </c>
      <c r="I2" t="s">
        <v>28</v>
      </c>
      <c r="J2" t="s">
        <v>29</v>
      </c>
      <c r="K2" t="s">
        <v>29</v>
      </c>
      <c r="L2" t="s">
        <v>29</v>
      </c>
      <c r="M2" t="s">
        <v>29</v>
      </c>
      <c r="N2" t="s">
        <v>29</v>
      </c>
      <c r="O2" t="s">
        <v>29</v>
      </c>
      <c r="P2" t="s">
        <v>29</v>
      </c>
      <c r="Q2" t="s">
        <v>29</v>
      </c>
      <c r="R2" t="s">
        <v>29</v>
      </c>
      <c r="S2" t="s">
        <v>29</v>
      </c>
      <c r="T2" t="s">
        <v>29</v>
      </c>
      <c r="U2" t="s">
        <v>29</v>
      </c>
      <c r="V2" t="s">
        <v>29</v>
      </c>
    </row>
    <row r="3" spans="1:22" x14ac:dyDescent="0.35">
      <c r="A3" s="1">
        <v>45625</v>
      </c>
      <c r="B3" t="s">
        <v>30</v>
      </c>
      <c r="C3" s="2">
        <v>0.75114583333333329</v>
      </c>
      <c r="D3" t="s">
        <v>31</v>
      </c>
      <c r="E3" t="s">
        <v>32</v>
      </c>
      <c r="F3" t="s">
        <v>33</v>
      </c>
      <c r="G3" t="s">
        <v>34</v>
      </c>
      <c r="H3" t="s">
        <v>35</v>
      </c>
      <c r="I3" t="s">
        <v>36</v>
      </c>
      <c r="J3">
        <v>4.9000000000000004</v>
      </c>
      <c r="K3">
        <v>14</v>
      </c>
      <c r="L3" t="s">
        <v>29</v>
      </c>
      <c r="M3" t="s">
        <v>29</v>
      </c>
      <c r="N3" t="s">
        <v>29</v>
      </c>
      <c r="O3" t="s">
        <v>29</v>
      </c>
      <c r="P3">
        <v>1</v>
      </c>
      <c r="Q3" t="s">
        <v>37</v>
      </c>
      <c r="R3">
        <v>237</v>
      </c>
      <c r="S3">
        <v>5.73</v>
      </c>
      <c r="T3" t="s">
        <v>29</v>
      </c>
      <c r="U3" t="s">
        <v>29</v>
      </c>
      <c r="V3" t="s">
        <v>38</v>
      </c>
    </row>
    <row r="4" spans="1:22" x14ac:dyDescent="0.35">
      <c r="A4" s="1">
        <v>45527</v>
      </c>
      <c r="B4" t="s">
        <v>39</v>
      </c>
      <c r="C4" s="2">
        <v>0.37233796296296295</v>
      </c>
      <c r="D4" t="s">
        <v>40</v>
      </c>
      <c r="E4" t="s">
        <v>41</v>
      </c>
      <c r="F4" t="s">
        <v>42</v>
      </c>
      <c r="G4" t="s">
        <v>43</v>
      </c>
      <c r="H4" t="s">
        <v>44</v>
      </c>
      <c r="I4" t="s">
        <v>45</v>
      </c>
      <c r="J4">
        <v>13.4</v>
      </c>
      <c r="K4">
        <v>25.8</v>
      </c>
      <c r="L4" t="s">
        <v>29</v>
      </c>
      <c r="M4" t="s">
        <v>29</v>
      </c>
      <c r="N4" t="s">
        <v>29</v>
      </c>
      <c r="O4" t="s">
        <v>29</v>
      </c>
      <c r="P4" t="s">
        <v>29</v>
      </c>
      <c r="Q4" t="s">
        <v>29</v>
      </c>
      <c r="R4">
        <v>627</v>
      </c>
      <c r="S4">
        <v>13.58</v>
      </c>
      <c r="T4">
        <v>4.9000000000000004</v>
      </c>
      <c r="U4">
        <v>4.9000000000000004</v>
      </c>
      <c r="V4" t="s">
        <v>46</v>
      </c>
    </row>
    <row r="5" spans="1:22" x14ac:dyDescent="0.35">
      <c r="A5" s="1">
        <v>45586</v>
      </c>
      <c r="B5" t="s">
        <v>47</v>
      </c>
      <c r="C5" s="2">
        <v>0.72042824074074074</v>
      </c>
      <c r="D5" t="s">
        <v>48</v>
      </c>
      <c r="E5" t="s">
        <v>41</v>
      </c>
      <c r="F5" t="s">
        <v>49</v>
      </c>
      <c r="G5" t="s">
        <v>50</v>
      </c>
      <c r="H5" t="s">
        <v>51</v>
      </c>
      <c r="I5" t="s">
        <v>52</v>
      </c>
      <c r="J5">
        <v>13.1</v>
      </c>
      <c r="K5">
        <v>28.5</v>
      </c>
      <c r="L5" t="s">
        <v>29</v>
      </c>
      <c r="M5" t="s">
        <v>29</v>
      </c>
      <c r="N5" t="s">
        <v>29</v>
      </c>
      <c r="O5" t="s">
        <v>29</v>
      </c>
      <c r="P5" t="s">
        <v>29</v>
      </c>
      <c r="Q5" t="s">
        <v>29</v>
      </c>
      <c r="R5">
        <v>416</v>
      </c>
      <c r="S5">
        <v>34.020000000000003</v>
      </c>
      <c r="T5">
        <v>4.5999999999999996</v>
      </c>
      <c r="U5">
        <v>5</v>
      </c>
      <c r="V5" t="s">
        <v>38</v>
      </c>
    </row>
    <row r="6" spans="1:22" x14ac:dyDescent="0.35">
      <c r="A6" s="1">
        <v>45551</v>
      </c>
      <c r="B6" t="s">
        <v>53</v>
      </c>
      <c r="C6" s="2">
        <v>0.92222222222222228</v>
      </c>
      <c r="D6" t="s">
        <v>54</v>
      </c>
      <c r="E6" t="s">
        <v>41</v>
      </c>
      <c r="F6" t="s">
        <v>55</v>
      </c>
      <c r="G6" t="s">
        <v>56</v>
      </c>
      <c r="H6" t="s">
        <v>57</v>
      </c>
      <c r="I6" t="s">
        <v>58</v>
      </c>
      <c r="J6">
        <v>5.3</v>
      </c>
      <c r="K6">
        <v>19.600000000000001</v>
      </c>
      <c r="L6" t="s">
        <v>29</v>
      </c>
      <c r="M6" t="s">
        <v>29</v>
      </c>
      <c r="N6" t="s">
        <v>29</v>
      </c>
      <c r="O6" t="s">
        <v>29</v>
      </c>
      <c r="P6" t="s">
        <v>29</v>
      </c>
      <c r="Q6" t="s">
        <v>29</v>
      </c>
      <c r="R6">
        <v>737</v>
      </c>
      <c r="S6">
        <v>48.21</v>
      </c>
      <c r="T6">
        <v>4.0999999999999996</v>
      </c>
      <c r="U6">
        <v>4.3</v>
      </c>
      <c r="V6" t="s">
        <v>38</v>
      </c>
    </row>
    <row r="7" spans="1:22" x14ac:dyDescent="0.35">
      <c r="A7" s="1">
        <v>45328</v>
      </c>
      <c r="B7" t="s">
        <v>59</v>
      </c>
      <c r="C7" s="2">
        <v>0.40620370370370368</v>
      </c>
      <c r="D7" t="s">
        <v>60</v>
      </c>
      <c r="E7" t="s">
        <v>41</v>
      </c>
      <c r="F7" t="s">
        <v>61</v>
      </c>
      <c r="G7" t="s">
        <v>43</v>
      </c>
      <c r="H7" t="s">
        <v>62</v>
      </c>
      <c r="I7" t="s">
        <v>63</v>
      </c>
      <c r="J7">
        <v>5.0999999999999996</v>
      </c>
      <c r="K7">
        <v>18.100000000000001</v>
      </c>
      <c r="L7" t="s">
        <v>29</v>
      </c>
      <c r="M7" t="s">
        <v>29</v>
      </c>
      <c r="N7" t="s">
        <v>29</v>
      </c>
      <c r="O7" t="s">
        <v>29</v>
      </c>
      <c r="P7" t="s">
        <v>29</v>
      </c>
      <c r="Q7" t="s">
        <v>29</v>
      </c>
      <c r="R7">
        <v>316</v>
      </c>
      <c r="S7">
        <v>4.8499999999999996</v>
      </c>
      <c r="T7">
        <v>4.0999999999999996</v>
      </c>
      <c r="U7">
        <v>4.5999999999999996</v>
      </c>
      <c r="V7" t="s">
        <v>38</v>
      </c>
    </row>
    <row r="8" spans="1:22" x14ac:dyDescent="0.35">
      <c r="A8" s="1">
        <v>45460</v>
      </c>
      <c r="B8" t="s">
        <v>64</v>
      </c>
      <c r="C8" s="2">
        <v>0.65692129629629625</v>
      </c>
      <c r="D8" t="s">
        <v>65</v>
      </c>
      <c r="E8" t="s">
        <v>41</v>
      </c>
      <c r="F8" t="s">
        <v>66</v>
      </c>
      <c r="G8" t="s">
        <v>67</v>
      </c>
      <c r="H8" t="s">
        <v>68</v>
      </c>
      <c r="I8" t="s">
        <v>69</v>
      </c>
      <c r="J8">
        <v>7.1</v>
      </c>
      <c r="K8">
        <v>20.399999999999999</v>
      </c>
      <c r="L8" t="s">
        <v>29</v>
      </c>
      <c r="M8" t="s">
        <v>29</v>
      </c>
      <c r="N8" t="s">
        <v>29</v>
      </c>
      <c r="O8" t="s">
        <v>29</v>
      </c>
      <c r="P8" t="s">
        <v>29</v>
      </c>
      <c r="Q8" t="s">
        <v>29</v>
      </c>
      <c r="R8">
        <v>640</v>
      </c>
      <c r="S8">
        <v>41.24</v>
      </c>
      <c r="T8">
        <v>4</v>
      </c>
      <c r="U8">
        <v>4.0999999999999996</v>
      </c>
      <c r="V8" t="s">
        <v>38</v>
      </c>
    </row>
    <row r="9" spans="1:22" x14ac:dyDescent="0.35">
      <c r="A9" s="1">
        <v>45370</v>
      </c>
      <c r="B9" t="s">
        <v>22</v>
      </c>
      <c r="C9" s="2">
        <v>0.73445601851851849</v>
      </c>
      <c r="D9" t="s">
        <v>70</v>
      </c>
      <c r="E9" t="s">
        <v>41</v>
      </c>
      <c r="F9" t="s">
        <v>71</v>
      </c>
      <c r="G9" t="s">
        <v>43</v>
      </c>
      <c r="H9" t="s">
        <v>72</v>
      </c>
      <c r="I9" t="s">
        <v>73</v>
      </c>
      <c r="J9">
        <v>12.1</v>
      </c>
      <c r="K9">
        <v>16.5</v>
      </c>
      <c r="L9" t="s">
        <v>29</v>
      </c>
      <c r="M9" t="s">
        <v>29</v>
      </c>
      <c r="N9" t="s">
        <v>29</v>
      </c>
      <c r="O9" t="s">
        <v>29</v>
      </c>
      <c r="P9" t="s">
        <v>29</v>
      </c>
      <c r="Q9" t="s">
        <v>29</v>
      </c>
      <c r="R9">
        <v>136</v>
      </c>
      <c r="S9">
        <v>6.56</v>
      </c>
      <c r="T9">
        <v>4.4000000000000004</v>
      </c>
      <c r="U9">
        <v>4.2</v>
      </c>
      <c r="V9" t="s">
        <v>38</v>
      </c>
    </row>
    <row r="10" spans="1:22" x14ac:dyDescent="0.35">
      <c r="A10" s="1">
        <v>45549</v>
      </c>
      <c r="B10" t="s">
        <v>53</v>
      </c>
      <c r="C10" s="2">
        <v>0.53413194444444445</v>
      </c>
      <c r="D10" t="s">
        <v>74</v>
      </c>
      <c r="E10" t="s">
        <v>24</v>
      </c>
      <c r="F10" t="s">
        <v>75</v>
      </c>
      <c r="G10" t="s">
        <v>34</v>
      </c>
      <c r="H10" t="s">
        <v>76</v>
      </c>
      <c r="I10" t="s">
        <v>77</v>
      </c>
      <c r="J10" t="s">
        <v>29</v>
      </c>
      <c r="K10" t="s">
        <v>29</v>
      </c>
      <c r="L10" t="s">
        <v>29</v>
      </c>
      <c r="M10" t="s">
        <v>29</v>
      </c>
      <c r="N10" t="s">
        <v>29</v>
      </c>
      <c r="O10" t="s">
        <v>29</v>
      </c>
      <c r="P10" t="s">
        <v>29</v>
      </c>
      <c r="Q10" t="s">
        <v>29</v>
      </c>
      <c r="R10" t="s">
        <v>29</v>
      </c>
      <c r="S10" t="s">
        <v>29</v>
      </c>
      <c r="T10" t="s">
        <v>29</v>
      </c>
      <c r="U10" t="s">
        <v>29</v>
      </c>
      <c r="V10" t="s">
        <v>29</v>
      </c>
    </row>
    <row r="11" spans="1:22" x14ac:dyDescent="0.35">
      <c r="A11" s="1">
        <v>45642</v>
      </c>
      <c r="B11" t="s">
        <v>78</v>
      </c>
      <c r="C11" s="2">
        <v>0.79638888888888892</v>
      </c>
      <c r="D11" t="s">
        <v>79</v>
      </c>
      <c r="E11" t="s">
        <v>32</v>
      </c>
      <c r="F11" t="s">
        <v>80</v>
      </c>
      <c r="G11" t="s">
        <v>43</v>
      </c>
      <c r="H11" t="s">
        <v>81</v>
      </c>
      <c r="I11" t="s">
        <v>82</v>
      </c>
      <c r="J11">
        <v>6.1</v>
      </c>
      <c r="K11">
        <v>26</v>
      </c>
      <c r="L11" t="s">
        <v>29</v>
      </c>
      <c r="M11" t="s">
        <v>29</v>
      </c>
      <c r="N11" t="s">
        <v>29</v>
      </c>
      <c r="O11" t="s">
        <v>29</v>
      </c>
      <c r="P11">
        <v>1</v>
      </c>
      <c r="Q11" t="s">
        <v>83</v>
      </c>
      <c r="R11">
        <v>135</v>
      </c>
      <c r="S11">
        <v>10.36</v>
      </c>
      <c r="T11" t="s">
        <v>29</v>
      </c>
      <c r="U11" t="s">
        <v>29</v>
      </c>
      <c r="V11" t="s">
        <v>84</v>
      </c>
    </row>
    <row r="12" spans="1:22" x14ac:dyDescent="0.35">
      <c r="A12" s="1">
        <v>45457</v>
      </c>
      <c r="B12" t="s">
        <v>64</v>
      </c>
      <c r="C12" s="2">
        <v>0.68347222222222226</v>
      </c>
      <c r="D12" t="s">
        <v>85</v>
      </c>
      <c r="E12" t="s">
        <v>41</v>
      </c>
      <c r="F12" t="s">
        <v>86</v>
      </c>
      <c r="G12" t="s">
        <v>43</v>
      </c>
      <c r="H12" t="s">
        <v>87</v>
      </c>
      <c r="I12" t="s">
        <v>88</v>
      </c>
      <c r="J12">
        <v>7.7</v>
      </c>
      <c r="K12">
        <v>18.899999999999999</v>
      </c>
      <c r="L12" t="s">
        <v>29</v>
      </c>
      <c r="M12" t="s">
        <v>29</v>
      </c>
      <c r="N12" t="s">
        <v>29</v>
      </c>
      <c r="O12" t="s">
        <v>29</v>
      </c>
      <c r="P12" t="s">
        <v>29</v>
      </c>
      <c r="Q12" t="s">
        <v>29</v>
      </c>
      <c r="R12">
        <v>181</v>
      </c>
      <c r="S12">
        <v>19.84</v>
      </c>
      <c r="T12">
        <v>4.2</v>
      </c>
      <c r="U12">
        <v>4.9000000000000004</v>
      </c>
      <c r="V12" t="s">
        <v>84</v>
      </c>
    </row>
    <row r="13" spans="1:22" x14ac:dyDescent="0.35">
      <c r="A13" s="1">
        <v>45553</v>
      </c>
      <c r="B13" t="s">
        <v>53</v>
      </c>
      <c r="C13" s="2">
        <v>0.34002314814814816</v>
      </c>
      <c r="D13" t="s">
        <v>89</v>
      </c>
      <c r="E13" t="s">
        <v>24</v>
      </c>
      <c r="F13" t="s">
        <v>90</v>
      </c>
      <c r="G13" t="s">
        <v>43</v>
      </c>
      <c r="H13" t="s">
        <v>91</v>
      </c>
      <c r="I13" t="s">
        <v>62</v>
      </c>
      <c r="J13" t="s">
        <v>29</v>
      </c>
      <c r="K13" t="s">
        <v>29</v>
      </c>
      <c r="L13" t="s">
        <v>29</v>
      </c>
      <c r="M13" t="s">
        <v>29</v>
      </c>
      <c r="N13" t="s">
        <v>29</v>
      </c>
      <c r="O13" t="s">
        <v>29</v>
      </c>
      <c r="P13" t="s">
        <v>29</v>
      </c>
      <c r="Q13" t="s">
        <v>29</v>
      </c>
      <c r="R13" t="s">
        <v>29</v>
      </c>
      <c r="S13" t="s">
        <v>29</v>
      </c>
      <c r="T13" t="s">
        <v>29</v>
      </c>
      <c r="U13" t="s">
        <v>29</v>
      </c>
      <c r="V13" t="s">
        <v>29</v>
      </c>
    </row>
    <row r="14" spans="1:22" x14ac:dyDescent="0.35">
      <c r="A14" s="1">
        <v>45468</v>
      </c>
      <c r="B14" t="s">
        <v>64</v>
      </c>
      <c r="C14" s="2">
        <v>0.94739583333333333</v>
      </c>
      <c r="D14" t="s">
        <v>92</v>
      </c>
      <c r="E14" t="s">
        <v>93</v>
      </c>
      <c r="F14" t="s">
        <v>94</v>
      </c>
      <c r="G14" t="s">
        <v>26</v>
      </c>
      <c r="H14" t="s">
        <v>95</v>
      </c>
      <c r="I14" t="s">
        <v>96</v>
      </c>
      <c r="J14">
        <v>4.5999999999999996</v>
      </c>
      <c r="K14" t="s">
        <v>29</v>
      </c>
      <c r="L14" t="s">
        <v>29</v>
      </c>
      <c r="M14" t="s">
        <v>29</v>
      </c>
      <c r="N14">
        <v>1</v>
      </c>
      <c r="O14" t="s">
        <v>97</v>
      </c>
      <c r="P14" t="s">
        <v>29</v>
      </c>
      <c r="Q14" t="s">
        <v>29</v>
      </c>
      <c r="R14" t="s">
        <v>29</v>
      </c>
      <c r="S14" t="s">
        <v>29</v>
      </c>
      <c r="T14" t="s">
        <v>29</v>
      </c>
      <c r="U14" t="s">
        <v>29</v>
      </c>
      <c r="V14" t="s">
        <v>29</v>
      </c>
    </row>
    <row r="15" spans="1:22" x14ac:dyDescent="0.35">
      <c r="A15" s="1">
        <v>45546</v>
      </c>
      <c r="B15" t="s">
        <v>53</v>
      </c>
      <c r="C15" s="2">
        <v>0.81225694444444441</v>
      </c>
      <c r="D15" t="s">
        <v>98</v>
      </c>
      <c r="E15" t="s">
        <v>41</v>
      </c>
      <c r="F15" t="s">
        <v>99</v>
      </c>
      <c r="G15" t="s">
        <v>67</v>
      </c>
      <c r="H15" t="s">
        <v>45</v>
      </c>
      <c r="I15" t="s">
        <v>57</v>
      </c>
      <c r="J15">
        <v>12.2</v>
      </c>
      <c r="K15">
        <v>28.2</v>
      </c>
      <c r="L15" t="s">
        <v>29</v>
      </c>
      <c r="M15" t="s">
        <v>29</v>
      </c>
      <c r="N15" t="s">
        <v>29</v>
      </c>
      <c r="O15" t="s">
        <v>29</v>
      </c>
      <c r="P15" t="s">
        <v>29</v>
      </c>
      <c r="Q15" t="s">
        <v>29</v>
      </c>
      <c r="R15">
        <v>394</v>
      </c>
      <c r="S15">
        <v>21.44</v>
      </c>
      <c r="T15">
        <v>4.0999999999999996</v>
      </c>
      <c r="U15">
        <v>4.7</v>
      </c>
      <c r="V15" t="s">
        <v>38</v>
      </c>
    </row>
    <row r="16" spans="1:22" x14ac:dyDescent="0.35">
      <c r="A16" s="1">
        <v>45583</v>
      </c>
      <c r="B16" t="s">
        <v>47</v>
      </c>
      <c r="C16" s="2">
        <v>0.77005787037037032</v>
      </c>
      <c r="D16" t="s">
        <v>100</v>
      </c>
      <c r="E16" t="s">
        <v>41</v>
      </c>
      <c r="F16" t="s">
        <v>101</v>
      </c>
      <c r="G16" t="s">
        <v>67</v>
      </c>
      <c r="H16" t="s">
        <v>102</v>
      </c>
      <c r="I16" t="s">
        <v>103</v>
      </c>
      <c r="J16">
        <v>14</v>
      </c>
      <c r="K16">
        <v>30.9</v>
      </c>
      <c r="L16" t="s">
        <v>29</v>
      </c>
      <c r="M16" t="s">
        <v>29</v>
      </c>
      <c r="N16" t="s">
        <v>29</v>
      </c>
      <c r="O16" t="s">
        <v>29</v>
      </c>
      <c r="P16" t="s">
        <v>29</v>
      </c>
      <c r="Q16" t="s">
        <v>29</v>
      </c>
      <c r="R16">
        <v>836</v>
      </c>
      <c r="S16">
        <v>39.549999999999997</v>
      </c>
      <c r="T16">
        <v>4.7</v>
      </c>
      <c r="U16">
        <v>4.4000000000000004</v>
      </c>
      <c r="V16" t="s">
        <v>38</v>
      </c>
    </row>
    <row r="17" spans="1:22" x14ac:dyDescent="0.35">
      <c r="A17" s="1">
        <v>45450</v>
      </c>
      <c r="B17" t="s">
        <v>64</v>
      </c>
      <c r="C17" s="2">
        <v>0.62887731481481479</v>
      </c>
      <c r="D17" t="s">
        <v>104</v>
      </c>
      <c r="E17" t="s">
        <v>41</v>
      </c>
      <c r="F17" t="s">
        <v>105</v>
      </c>
      <c r="G17" t="s">
        <v>43</v>
      </c>
      <c r="H17" t="s">
        <v>106</v>
      </c>
      <c r="I17" t="s">
        <v>58</v>
      </c>
      <c r="J17">
        <v>8.5</v>
      </c>
      <c r="K17">
        <v>36.9</v>
      </c>
      <c r="L17" t="s">
        <v>29</v>
      </c>
      <c r="M17" t="s">
        <v>29</v>
      </c>
      <c r="N17" t="s">
        <v>29</v>
      </c>
      <c r="O17" t="s">
        <v>29</v>
      </c>
      <c r="P17" t="s">
        <v>29</v>
      </c>
      <c r="Q17" t="s">
        <v>29</v>
      </c>
      <c r="R17">
        <v>410</v>
      </c>
      <c r="S17">
        <v>34.76</v>
      </c>
      <c r="T17">
        <v>4</v>
      </c>
      <c r="U17">
        <v>4.9000000000000004</v>
      </c>
      <c r="V17" t="s">
        <v>107</v>
      </c>
    </row>
    <row r="18" spans="1:22" x14ac:dyDescent="0.35">
      <c r="A18" s="1">
        <v>45474</v>
      </c>
      <c r="B18" t="s">
        <v>108</v>
      </c>
      <c r="C18" s="2">
        <v>0.45226851851851851</v>
      </c>
      <c r="D18" t="s">
        <v>109</v>
      </c>
      <c r="E18" t="s">
        <v>41</v>
      </c>
      <c r="F18" t="s">
        <v>110</v>
      </c>
      <c r="G18" t="s">
        <v>50</v>
      </c>
      <c r="H18" t="s">
        <v>111</v>
      </c>
      <c r="I18" t="s">
        <v>102</v>
      </c>
      <c r="J18">
        <v>5.6</v>
      </c>
      <c r="K18">
        <v>27.5</v>
      </c>
      <c r="L18" t="s">
        <v>29</v>
      </c>
      <c r="M18" t="s">
        <v>29</v>
      </c>
      <c r="N18" t="s">
        <v>29</v>
      </c>
      <c r="O18" t="s">
        <v>29</v>
      </c>
      <c r="P18" t="s">
        <v>29</v>
      </c>
      <c r="Q18" t="s">
        <v>29</v>
      </c>
      <c r="R18">
        <v>401</v>
      </c>
      <c r="S18">
        <v>21.97</v>
      </c>
      <c r="T18">
        <v>4.9000000000000004</v>
      </c>
      <c r="U18">
        <v>4.3</v>
      </c>
      <c r="V18" t="s">
        <v>38</v>
      </c>
    </row>
    <row r="19" spans="1:22" x14ac:dyDescent="0.35">
      <c r="A19" s="1">
        <v>45641</v>
      </c>
      <c r="B19" t="s">
        <v>78</v>
      </c>
      <c r="C19" s="2">
        <v>0.6308449074074074</v>
      </c>
      <c r="D19" t="s">
        <v>112</v>
      </c>
      <c r="E19" t="s">
        <v>93</v>
      </c>
      <c r="F19" t="s">
        <v>113</v>
      </c>
      <c r="G19" t="s">
        <v>34</v>
      </c>
      <c r="H19" t="s">
        <v>114</v>
      </c>
      <c r="I19" t="s">
        <v>103</v>
      </c>
      <c r="J19">
        <v>6</v>
      </c>
      <c r="K19" t="s">
        <v>29</v>
      </c>
      <c r="L19" t="s">
        <v>29</v>
      </c>
      <c r="M19" t="s">
        <v>29</v>
      </c>
      <c r="N19">
        <v>1</v>
      </c>
      <c r="O19" t="s">
        <v>115</v>
      </c>
      <c r="P19" t="s">
        <v>29</v>
      </c>
      <c r="Q19" t="s">
        <v>29</v>
      </c>
      <c r="R19" t="s">
        <v>29</v>
      </c>
      <c r="S19" t="s">
        <v>29</v>
      </c>
      <c r="T19" t="s">
        <v>29</v>
      </c>
      <c r="U19" t="s">
        <v>29</v>
      </c>
      <c r="V19" t="s">
        <v>29</v>
      </c>
    </row>
    <row r="20" spans="1:22" x14ac:dyDescent="0.35">
      <c r="A20" s="1">
        <v>45620</v>
      </c>
      <c r="B20" t="s">
        <v>30</v>
      </c>
      <c r="C20" s="2">
        <v>0.37997685185185187</v>
      </c>
      <c r="D20" t="s">
        <v>116</v>
      </c>
      <c r="E20" t="s">
        <v>117</v>
      </c>
      <c r="F20" t="s">
        <v>118</v>
      </c>
      <c r="G20" t="s">
        <v>26</v>
      </c>
      <c r="H20" t="s">
        <v>119</v>
      </c>
      <c r="I20" t="s">
        <v>120</v>
      </c>
      <c r="J20">
        <v>12.4</v>
      </c>
      <c r="K20" t="s">
        <v>29</v>
      </c>
      <c r="L20">
        <v>1</v>
      </c>
      <c r="M20" t="s">
        <v>121</v>
      </c>
      <c r="N20" t="s">
        <v>29</v>
      </c>
      <c r="O20" t="s">
        <v>29</v>
      </c>
      <c r="P20" t="s">
        <v>29</v>
      </c>
      <c r="Q20" t="s">
        <v>29</v>
      </c>
      <c r="R20" t="s">
        <v>29</v>
      </c>
      <c r="S20" t="s">
        <v>29</v>
      </c>
      <c r="T20" t="s">
        <v>29</v>
      </c>
      <c r="U20" t="s">
        <v>29</v>
      </c>
      <c r="V20" t="s">
        <v>29</v>
      </c>
    </row>
    <row r="21" spans="1:22" x14ac:dyDescent="0.35">
      <c r="A21" s="1">
        <v>45436</v>
      </c>
      <c r="B21" t="s">
        <v>122</v>
      </c>
      <c r="C21" s="2">
        <v>0.82913194444444449</v>
      </c>
      <c r="D21" t="s">
        <v>123</v>
      </c>
      <c r="E21" t="s">
        <v>93</v>
      </c>
      <c r="F21" t="s">
        <v>124</v>
      </c>
      <c r="G21" t="s">
        <v>26</v>
      </c>
      <c r="H21" t="s">
        <v>125</v>
      </c>
      <c r="I21" t="s">
        <v>126</v>
      </c>
      <c r="J21">
        <v>10.3</v>
      </c>
      <c r="K21" t="s">
        <v>29</v>
      </c>
      <c r="L21" t="s">
        <v>29</v>
      </c>
      <c r="M21" t="s">
        <v>29</v>
      </c>
      <c r="N21">
        <v>1</v>
      </c>
      <c r="O21" t="s">
        <v>115</v>
      </c>
      <c r="P21" t="s">
        <v>29</v>
      </c>
      <c r="Q21" t="s">
        <v>29</v>
      </c>
      <c r="R21" t="s">
        <v>29</v>
      </c>
      <c r="S21" t="s">
        <v>29</v>
      </c>
      <c r="T21" t="s">
        <v>29</v>
      </c>
      <c r="U21" t="s">
        <v>29</v>
      </c>
      <c r="V21" t="s">
        <v>29</v>
      </c>
    </row>
    <row r="22" spans="1:22" x14ac:dyDescent="0.35">
      <c r="A22" s="1">
        <v>45640</v>
      </c>
      <c r="B22" t="s">
        <v>78</v>
      </c>
      <c r="C22" s="2">
        <v>0.89379629629629631</v>
      </c>
      <c r="D22" t="s">
        <v>127</v>
      </c>
      <c r="E22" t="s">
        <v>41</v>
      </c>
      <c r="F22" t="s">
        <v>128</v>
      </c>
      <c r="G22" t="s">
        <v>34</v>
      </c>
      <c r="H22" t="s">
        <v>69</v>
      </c>
      <c r="I22" t="s">
        <v>129</v>
      </c>
      <c r="J22">
        <v>6.1</v>
      </c>
      <c r="K22">
        <v>33.700000000000003</v>
      </c>
      <c r="L22" t="s">
        <v>29</v>
      </c>
      <c r="M22" t="s">
        <v>29</v>
      </c>
      <c r="N22" t="s">
        <v>29</v>
      </c>
      <c r="O22" t="s">
        <v>29</v>
      </c>
      <c r="P22" t="s">
        <v>29</v>
      </c>
      <c r="Q22" t="s">
        <v>29</v>
      </c>
      <c r="R22">
        <v>264</v>
      </c>
      <c r="S22">
        <v>13.64</v>
      </c>
      <c r="T22">
        <v>3.8</v>
      </c>
      <c r="U22">
        <v>4.7</v>
      </c>
      <c r="V22" t="s">
        <v>107</v>
      </c>
    </row>
    <row r="23" spans="1:22" x14ac:dyDescent="0.35">
      <c r="A23" s="1">
        <v>45502</v>
      </c>
      <c r="B23" t="s">
        <v>108</v>
      </c>
      <c r="C23" s="2">
        <v>0.26969907407407406</v>
      </c>
      <c r="D23" t="s">
        <v>130</v>
      </c>
      <c r="E23" t="s">
        <v>41</v>
      </c>
      <c r="F23" t="s">
        <v>131</v>
      </c>
      <c r="G23" t="s">
        <v>43</v>
      </c>
      <c r="H23" t="s">
        <v>132</v>
      </c>
      <c r="I23" t="s">
        <v>133</v>
      </c>
      <c r="J23">
        <v>7</v>
      </c>
      <c r="K23">
        <v>21.3</v>
      </c>
      <c r="L23" t="s">
        <v>29</v>
      </c>
      <c r="M23" t="s">
        <v>29</v>
      </c>
      <c r="N23" t="s">
        <v>29</v>
      </c>
      <c r="O23" t="s">
        <v>29</v>
      </c>
      <c r="P23" t="s">
        <v>29</v>
      </c>
      <c r="Q23" t="s">
        <v>29</v>
      </c>
      <c r="R23">
        <v>183</v>
      </c>
      <c r="S23">
        <v>4.5</v>
      </c>
      <c r="T23">
        <v>5</v>
      </c>
      <c r="U23">
        <v>4.2</v>
      </c>
      <c r="V23" t="s">
        <v>38</v>
      </c>
    </row>
    <row r="24" spans="1:22" x14ac:dyDescent="0.35">
      <c r="A24" s="1">
        <v>45345</v>
      </c>
      <c r="B24" t="s">
        <v>59</v>
      </c>
      <c r="C24" s="2">
        <v>0.46024305555555556</v>
      </c>
      <c r="D24" t="s">
        <v>134</v>
      </c>
      <c r="E24" t="s">
        <v>41</v>
      </c>
      <c r="F24" t="s">
        <v>135</v>
      </c>
      <c r="G24" t="s">
        <v>67</v>
      </c>
      <c r="H24" t="s">
        <v>136</v>
      </c>
      <c r="I24" t="s">
        <v>137</v>
      </c>
      <c r="J24">
        <v>10.4</v>
      </c>
      <c r="K24">
        <v>25.1</v>
      </c>
      <c r="L24" t="s">
        <v>29</v>
      </c>
      <c r="M24" t="s">
        <v>29</v>
      </c>
      <c r="N24" t="s">
        <v>29</v>
      </c>
      <c r="O24" t="s">
        <v>29</v>
      </c>
      <c r="P24" t="s">
        <v>29</v>
      </c>
      <c r="Q24" t="s">
        <v>29</v>
      </c>
      <c r="R24">
        <v>713</v>
      </c>
      <c r="S24">
        <v>38.03</v>
      </c>
      <c r="T24">
        <v>3.7</v>
      </c>
      <c r="U24">
        <v>3.6</v>
      </c>
      <c r="V24" t="s">
        <v>38</v>
      </c>
    </row>
    <row r="25" spans="1:22" x14ac:dyDescent="0.35">
      <c r="A25" s="1">
        <v>45360</v>
      </c>
      <c r="B25" t="s">
        <v>22</v>
      </c>
      <c r="C25" s="2">
        <v>0.84333333333333338</v>
      </c>
      <c r="D25" t="s">
        <v>138</v>
      </c>
      <c r="E25" t="s">
        <v>41</v>
      </c>
      <c r="F25" t="s">
        <v>139</v>
      </c>
      <c r="G25" t="s">
        <v>67</v>
      </c>
      <c r="H25" t="s">
        <v>77</v>
      </c>
      <c r="I25" t="s">
        <v>140</v>
      </c>
      <c r="J25">
        <v>7.9</v>
      </c>
      <c r="K25">
        <v>41.1</v>
      </c>
      <c r="L25" t="s">
        <v>29</v>
      </c>
      <c r="M25" t="s">
        <v>29</v>
      </c>
      <c r="N25" t="s">
        <v>29</v>
      </c>
      <c r="O25" t="s">
        <v>29</v>
      </c>
      <c r="P25" t="s">
        <v>29</v>
      </c>
      <c r="Q25" t="s">
        <v>29</v>
      </c>
      <c r="R25">
        <v>113</v>
      </c>
      <c r="S25">
        <v>14.53</v>
      </c>
      <c r="T25">
        <v>4.5999999999999996</v>
      </c>
      <c r="U25">
        <v>4.9000000000000004</v>
      </c>
      <c r="V25" t="s">
        <v>38</v>
      </c>
    </row>
    <row r="26" spans="1:22" x14ac:dyDescent="0.35">
      <c r="A26" s="1">
        <v>45532</v>
      </c>
      <c r="B26" t="s">
        <v>39</v>
      </c>
      <c r="C26" s="2">
        <v>0.68766203703703699</v>
      </c>
      <c r="D26" t="s">
        <v>141</v>
      </c>
      <c r="E26" t="s">
        <v>41</v>
      </c>
      <c r="F26" t="s">
        <v>142</v>
      </c>
      <c r="G26" t="s">
        <v>43</v>
      </c>
      <c r="H26" t="s">
        <v>143</v>
      </c>
      <c r="I26" t="s">
        <v>120</v>
      </c>
      <c r="J26">
        <v>13.6</v>
      </c>
      <c r="K26">
        <v>25.2</v>
      </c>
      <c r="L26" t="s">
        <v>29</v>
      </c>
      <c r="M26" t="s">
        <v>29</v>
      </c>
      <c r="N26" t="s">
        <v>29</v>
      </c>
      <c r="O26" t="s">
        <v>29</v>
      </c>
      <c r="P26" t="s">
        <v>29</v>
      </c>
      <c r="Q26" t="s">
        <v>29</v>
      </c>
      <c r="R26">
        <v>767</v>
      </c>
      <c r="S26">
        <v>7.39</v>
      </c>
      <c r="T26">
        <v>3.8</v>
      </c>
      <c r="U26">
        <v>4.5999999999999996</v>
      </c>
      <c r="V26" t="s">
        <v>46</v>
      </c>
    </row>
    <row r="27" spans="1:22" x14ac:dyDescent="0.35">
      <c r="A27" s="1">
        <v>45512</v>
      </c>
      <c r="B27" t="s">
        <v>39</v>
      </c>
      <c r="C27" s="2">
        <v>0.27405092592592595</v>
      </c>
      <c r="D27" t="s">
        <v>144</v>
      </c>
      <c r="E27" t="s">
        <v>41</v>
      </c>
      <c r="F27" t="s">
        <v>145</v>
      </c>
      <c r="G27" t="s">
        <v>146</v>
      </c>
      <c r="H27" t="s">
        <v>147</v>
      </c>
      <c r="I27" t="s">
        <v>148</v>
      </c>
      <c r="J27">
        <v>5.0999999999999996</v>
      </c>
      <c r="K27">
        <v>20.7</v>
      </c>
      <c r="L27" t="s">
        <v>29</v>
      </c>
      <c r="M27" t="s">
        <v>29</v>
      </c>
      <c r="N27" t="s">
        <v>29</v>
      </c>
      <c r="O27" t="s">
        <v>29</v>
      </c>
      <c r="P27" t="s">
        <v>29</v>
      </c>
      <c r="Q27" t="s">
        <v>29</v>
      </c>
      <c r="R27">
        <v>495</v>
      </c>
      <c r="S27">
        <v>10.23</v>
      </c>
      <c r="T27">
        <v>3.8</v>
      </c>
      <c r="U27">
        <v>4.2</v>
      </c>
      <c r="V27" t="s">
        <v>149</v>
      </c>
    </row>
    <row r="28" spans="1:22" x14ac:dyDescent="0.35">
      <c r="A28" s="1">
        <v>45317</v>
      </c>
      <c r="B28" t="s">
        <v>150</v>
      </c>
      <c r="C28" s="2">
        <v>0.40555555555555556</v>
      </c>
      <c r="D28" t="s">
        <v>151</v>
      </c>
      <c r="E28" t="s">
        <v>93</v>
      </c>
      <c r="F28" t="s">
        <v>152</v>
      </c>
      <c r="G28" t="s">
        <v>43</v>
      </c>
      <c r="H28" t="s">
        <v>73</v>
      </c>
      <c r="I28" t="s">
        <v>153</v>
      </c>
      <c r="J28">
        <v>11.5</v>
      </c>
      <c r="K28" t="s">
        <v>29</v>
      </c>
      <c r="L28" t="s">
        <v>29</v>
      </c>
      <c r="M28" t="s">
        <v>29</v>
      </c>
      <c r="N28">
        <v>1</v>
      </c>
      <c r="O28" t="s">
        <v>97</v>
      </c>
      <c r="P28" t="s">
        <v>29</v>
      </c>
      <c r="Q28" t="s">
        <v>29</v>
      </c>
      <c r="R28" t="s">
        <v>29</v>
      </c>
      <c r="S28" t="s">
        <v>29</v>
      </c>
      <c r="T28" t="s">
        <v>29</v>
      </c>
      <c r="U28" t="s">
        <v>29</v>
      </c>
      <c r="V28" t="s">
        <v>29</v>
      </c>
    </row>
    <row r="29" spans="1:22" x14ac:dyDescent="0.35">
      <c r="A29" s="1">
        <v>45394</v>
      </c>
      <c r="B29" t="s">
        <v>154</v>
      </c>
      <c r="C29" s="2">
        <v>0.82123842592592589</v>
      </c>
      <c r="D29" t="s">
        <v>155</v>
      </c>
      <c r="E29" t="s">
        <v>24</v>
      </c>
      <c r="F29" t="s">
        <v>156</v>
      </c>
      <c r="G29" t="s">
        <v>50</v>
      </c>
      <c r="H29" t="s">
        <v>157</v>
      </c>
      <c r="I29" t="s">
        <v>158</v>
      </c>
      <c r="J29" t="s">
        <v>29</v>
      </c>
      <c r="K29" t="s">
        <v>29</v>
      </c>
      <c r="L29" t="s">
        <v>29</v>
      </c>
      <c r="M29" t="s">
        <v>29</v>
      </c>
      <c r="N29" t="s">
        <v>29</v>
      </c>
      <c r="O29" t="s">
        <v>29</v>
      </c>
      <c r="P29" t="s">
        <v>29</v>
      </c>
      <c r="Q29" t="s">
        <v>29</v>
      </c>
      <c r="R29" t="s">
        <v>29</v>
      </c>
      <c r="S29" t="s">
        <v>29</v>
      </c>
      <c r="T29" t="s">
        <v>29</v>
      </c>
      <c r="U29" t="s">
        <v>29</v>
      </c>
      <c r="V29" t="s">
        <v>29</v>
      </c>
    </row>
    <row r="30" spans="1:22" x14ac:dyDescent="0.35">
      <c r="A30" s="1">
        <v>45387</v>
      </c>
      <c r="B30" t="s">
        <v>154</v>
      </c>
      <c r="C30" s="2">
        <v>0.78972222222222221</v>
      </c>
      <c r="D30" t="s">
        <v>159</v>
      </c>
      <c r="E30" t="s">
        <v>32</v>
      </c>
      <c r="F30" t="s">
        <v>160</v>
      </c>
      <c r="G30" t="s">
        <v>56</v>
      </c>
      <c r="H30" t="s">
        <v>161</v>
      </c>
      <c r="I30" t="s">
        <v>133</v>
      </c>
      <c r="J30">
        <v>3.1</v>
      </c>
      <c r="K30">
        <v>28.2</v>
      </c>
      <c r="L30" t="s">
        <v>29</v>
      </c>
      <c r="M30" t="s">
        <v>29</v>
      </c>
      <c r="N30" t="s">
        <v>29</v>
      </c>
      <c r="O30" t="s">
        <v>29</v>
      </c>
      <c r="P30">
        <v>1</v>
      </c>
      <c r="Q30" t="s">
        <v>37</v>
      </c>
      <c r="R30">
        <v>304</v>
      </c>
      <c r="S30">
        <v>1.98</v>
      </c>
      <c r="T30" t="s">
        <v>29</v>
      </c>
      <c r="U30" t="s">
        <v>29</v>
      </c>
      <c r="V30" t="s">
        <v>38</v>
      </c>
    </row>
    <row r="31" spans="1:22" x14ac:dyDescent="0.35">
      <c r="A31" s="1">
        <v>45599</v>
      </c>
      <c r="B31" t="s">
        <v>30</v>
      </c>
      <c r="C31" s="2">
        <v>0.51734953703703701</v>
      </c>
      <c r="D31" t="s">
        <v>162</v>
      </c>
      <c r="E31" t="s">
        <v>41</v>
      </c>
      <c r="F31" t="s">
        <v>163</v>
      </c>
      <c r="G31" t="s">
        <v>43</v>
      </c>
      <c r="H31" t="s">
        <v>164</v>
      </c>
      <c r="I31" t="s">
        <v>45</v>
      </c>
      <c r="J31">
        <v>8.9</v>
      </c>
      <c r="K31">
        <v>31.1</v>
      </c>
      <c r="L31" t="s">
        <v>29</v>
      </c>
      <c r="M31" t="s">
        <v>29</v>
      </c>
      <c r="N31" t="s">
        <v>29</v>
      </c>
      <c r="O31" t="s">
        <v>29</v>
      </c>
      <c r="P31" t="s">
        <v>29</v>
      </c>
      <c r="Q31" t="s">
        <v>29</v>
      </c>
      <c r="R31">
        <v>2847</v>
      </c>
      <c r="S31">
        <v>39.21</v>
      </c>
      <c r="T31">
        <v>3.1</v>
      </c>
      <c r="U31">
        <v>4.5999999999999996</v>
      </c>
      <c r="V31" t="s">
        <v>46</v>
      </c>
    </row>
    <row r="32" spans="1:22" x14ac:dyDescent="0.35">
      <c r="A32" s="1">
        <v>45430</v>
      </c>
      <c r="B32" t="s">
        <v>122</v>
      </c>
      <c r="C32" s="2">
        <v>0.73462962962962963</v>
      </c>
      <c r="D32" t="s">
        <v>165</v>
      </c>
      <c r="E32" t="s">
        <v>93</v>
      </c>
      <c r="F32" t="s">
        <v>166</v>
      </c>
      <c r="G32" t="s">
        <v>67</v>
      </c>
      <c r="H32" t="s">
        <v>167</v>
      </c>
      <c r="I32" t="s">
        <v>168</v>
      </c>
      <c r="J32">
        <v>9.1999999999999993</v>
      </c>
      <c r="K32" t="s">
        <v>29</v>
      </c>
      <c r="L32" t="s">
        <v>29</v>
      </c>
      <c r="M32" t="s">
        <v>29</v>
      </c>
      <c r="N32">
        <v>1</v>
      </c>
      <c r="O32" t="s">
        <v>169</v>
      </c>
      <c r="P32" t="s">
        <v>29</v>
      </c>
      <c r="Q32" t="s">
        <v>29</v>
      </c>
      <c r="R32" t="s">
        <v>29</v>
      </c>
      <c r="S32" t="s">
        <v>29</v>
      </c>
      <c r="T32" t="s">
        <v>29</v>
      </c>
      <c r="U32" t="s">
        <v>29</v>
      </c>
      <c r="V32" t="s">
        <v>29</v>
      </c>
    </row>
    <row r="33" spans="1:22" x14ac:dyDescent="0.35">
      <c r="A33" s="1">
        <v>45611</v>
      </c>
      <c r="B33" t="s">
        <v>30</v>
      </c>
      <c r="C33" s="2">
        <v>0.24577546296296296</v>
      </c>
      <c r="D33" t="s">
        <v>170</v>
      </c>
      <c r="E33" t="s">
        <v>41</v>
      </c>
      <c r="F33" t="s">
        <v>171</v>
      </c>
      <c r="G33" t="s">
        <v>67</v>
      </c>
      <c r="H33" t="s">
        <v>172</v>
      </c>
      <c r="I33" t="s">
        <v>173</v>
      </c>
      <c r="J33">
        <v>8.9</v>
      </c>
      <c r="K33">
        <v>41</v>
      </c>
      <c r="L33" t="s">
        <v>29</v>
      </c>
      <c r="M33" t="s">
        <v>29</v>
      </c>
      <c r="N33" t="s">
        <v>29</v>
      </c>
      <c r="O33" t="s">
        <v>29</v>
      </c>
      <c r="P33" t="s">
        <v>29</v>
      </c>
      <c r="Q33" t="s">
        <v>29</v>
      </c>
      <c r="R33">
        <v>282</v>
      </c>
      <c r="S33">
        <v>8.36</v>
      </c>
      <c r="T33">
        <v>3.8</v>
      </c>
      <c r="U33">
        <v>4.4000000000000004</v>
      </c>
      <c r="V33" t="s">
        <v>38</v>
      </c>
    </row>
    <row r="34" spans="1:22" x14ac:dyDescent="0.35">
      <c r="A34" s="1">
        <v>45326</v>
      </c>
      <c r="B34" t="s">
        <v>59</v>
      </c>
      <c r="C34" s="2">
        <v>0.7556018518518518</v>
      </c>
      <c r="D34" t="s">
        <v>174</v>
      </c>
      <c r="E34" t="s">
        <v>41</v>
      </c>
      <c r="F34" t="s">
        <v>175</v>
      </c>
      <c r="G34" t="s">
        <v>50</v>
      </c>
      <c r="H34" t="s">
        <v>176</v>
      </c>
      <c r="I34" t="s">
        <v>177</v>
      </c>
      <c r="J34">
        <v>11.5</v>
      </c>
      <c r="K34">
        <v>20.5</v>
      </c>
      <c r="L34" t="s">
        <v>29</v>
      </c>
      <c r="M34" t="s">
        <v>29</v>
      </c>
      <c r="N34" t="s">
        <v>29</v>
      </c>
      <c r="O34" t="s">
        <v>29</v>
      </c>
      <c r="P34" t="s">
        <v>29</v>
      </c>
      <c r="Q34" t="s">
        <v>29</v>
      </c>
      <c r="R34">
        <v>656</v>
      </c>
      <c r="S34">
        <v>6.39</v>
      </c>
      <c r="T34">
        <v>5</v>
      </c>
      <c r="U34">
        <v>4.9000000000000004</v>
      </c>
      <c r="V34" t="s">
        <v>107</v>
      </c>
    </row>
    <row r="35" spans="1:22" x14ac:dyDescent="0.35">
      <c r="A35" s="1">
        <v>45441</v>
      </c>
      <c r="B35" t="s">
        <v>122</v>
      </c>
      <c r="C35" s="2">
        <v>0.5869212962962963</v>
      </c>
      <c r="D35" t="s">
        <v>178</v>
      </c>
      <c r="E35" t="s">
        <v>41</v>
      </c>
      <c r="F35" t="s">
        <v>179</v>
      </c>
      <c r="G35" t="s">
        <v>43</v>
      </c>
      <c r="H35" t="s">
        <v>136</v>
      </c>
      <c r="I35" t="s">
        <v>180</v>
      </c>
      <c r="J35">
        <v>2</v>
      </c>
      <c r="K35">
        <v>19.399999999999999</v>
      </c>
      <c r="L35" t="s">
        <v>29</v>
      </c>
      <c r="M35" t="s">
        <v>29</v>
      </c>
      <c r="N35" t="s">
        <v>29</v>
      </c>
      <c r="O35" t="s">
        <v>29</v>
      </c>
      <c r="P35" t="s">
        <v>29</v>
      </c>
      <c r="Q35" t="s">
        <v>29</v>
      </c>
      <c r="R35">
        <v>134</v>
      </c>
      <c r="S35">
        <v>46.66</v>
      </c>
      <c r="T35">
        <v>3.8</v>
      </c>
      <c r="U35">
        <v>4.4000000000000004</v>
      </c>
      <c r="V35" t="s">
        <v>149</v>
      </c>
    </row>
    <row r="36" spans="1:22" x14ac:dyDescent="0.35">
      <c r="A36" s="1">
        <v>45486</v>
      </c>
      <c r="B36" t="s">
        <v>108</v>
      </c>
      <c r="C36" s="2">
        <v>0.8286458333333333</v>
      </c>
      <c r="D36" t="s">
        <v>181</v>
      </c>
      <c r="E36" t="s">
        <v>93</v>
      </c>
      <c r="F36" t="s">
        <v>182</v>
      </c>
      <c r="G36" t="s">
        <v>34</v>
      </c>
      <c r="H36" t="s">
        <v>183</v>
      </c>
      <c r="I36" t="s">
        <v>57</v>
      </c>
      <c r="J36">
        <v>5.4</v>
      </c>
      <c r="K36" t="s">
        <v>29</v>
      </c>
      <c r="L36" t="s">
        <v>29</v>
      </c>
      <c r="M36" t="s">
        <v>29</v>
      </c>
      <c r="N36">
        <v>1</v>
      </c>
      <c r="O36" t="s">
        <v>115</v>
      </c>
      <c r="P36" t="s">
        <v>29</v>
      </c>
      <c r="Q36" t="s">
        <v>29</v>
      </c>
      <c r="R36" t="s">
        <v>29</v>
      </c>
      <c r="S36" t="s">
        <v>29</v>
      </c>
      <c r="T36" t="s">
        <v>29</v>
      </c>
      <c r="U36" t="s">
        <v>29</v>
      </c>
      <c r="V36" t="s">
        <v>29</v>
      </c>
    </row>
    <row r="37" spans="1:22" x14ac:dyDescent="0.35">
      <c r="A37" s="1">
        <v>45450</v>
      </c>
      <c r="B37" t="s">
        <v>64</v>
      </c>
      <c r="C37" s="2">
        <v>0.80636574074074074</v>
      </c>
      <c r="D37" t="s">
        <v>184</v>
      </c>
      <c r="E37" t="s">
        <v>41</v>
      </c>
      <c r="F37" t="s">
        <v>185</v>
      </c>
      <c r="G37" t="s">
        <v>34</v>
      </c>
      <c r="H37" t="s">
        <v>186</v>
      </c>
      <c r="I37" t="s">
        <v>45</v>
      </c>
      <c r="J37">
        <v>14.6</v>
      </c>
      <c r="K37">
        <v>25.4</v>
      </c>
      <c r="L37" t="s">
        <v>29</v>
      </c>
      <c r="M37" t="s">
        <v>29</v>
      </c>
      <c r="N37" t="s">
        <v>29</v>
      </c>
      <c r="O37" t="s">
        <v>29</v>
      </c>
      <c r="P37" t="s">
        <v>29</v>
      </c>
      <c r="Q37" t="s">
        <v>29</v>
      </c>
      <c r="R37">
        <v>470</v>
      </c>
      <c r="S37">
        <v>27.07</v>
      </c>
      <c r="T37">
        <v>3.7</v>
      </c>
      <c r="U37">
        <v>4.2</v>
      </c>
      <c r="V37" t="s">
        <v>84</v>
      </c>
    </row>
    <row r="38" spans="1:22" x14ac:dyDescent="0.35">
      <c r="A38" s="1">
        <v>45428</v>
      </c>
      <c r="B38" t="s">
        <v>122</v>
      </c>
      <c r="C38" s="2">
        <v>0.54480324074074071</v>
      </c>
      <c r="D38" t="s">
        <v>187</v>
      </c>
      <c r="E38" t="s">
        <v>41</v>
      </c>
      <c r="F38" t="s">
        <v>188</v>
      </c>
      <c r="G38" t="s">
        <v>43</v>
      </c>
      <c r="H38" t="s">
        <v>189</v>
      </c>
      <c r="I38" t="s">
        <v>190</v>
      </c>
      <c r="J38">
        <v>6.7</v>
      </c>
      <c r="K38">
        <v>20.5</v>
      </c>
      <c r="L38" t="s">
        <v>29</v>
      </c>
      <c r="M38" t="s">
        <v>29</v>
      </c>
      <c r="N38" t="s">
        <v>29</v>
      </c>
      <c r="O38" t="s">
        <v>29</v>
      </c>
      <c r="P38" t="s">
        <v>29</v>
      </c>
      <c r="Q38" t="s">
        <v>29</v>
      </c>
      <c r="R38">
        <v>187</v>
      </c>
      <c r="S38">
        <v>12.16</v>
      </c>
      <c r="T38">
        <v>4.9000000000000004</v>
      </c>
      <c r="U38">
        <v>4.3</v>
      </c>
      <c r="V38" t="s">
        <v>38</v>
      </c>
    </row>
    <row r="39" spans="1:22" x14ac:dyDescent="0.35">
      <c r="A39" s="1">
        <v>45567</v>
      </c>
      <c r="B39" t="s">
        <v>47</v>
      </c>
      <c r="C39" s="2">
        <v>0.13234953703703703</v>
      </c>
      <c r="D39" t="s">
        <v>191</v>
      </c>
      <c r="E39" t="s">
        <v>41</v>
      </c>
      <c r="F39" t="s">
        <v>192</v>
      </c>
      <c r="G39" t="s">
        <v>50</v>
      </c>
      <c r="H39" t="s">
        <v>193</v>
      </c>
      <c r="I39" t="s">
        <v>194</v>
      </c>
      <c r="J39">
        <v>6.6</v>
      </c>
      <c r="K39">
        <v>30</v>
      </c>
      <c r="L39" t="s">
        <v>29</v>
      </c>
      <c r="M39" t="s">
        <v>29</v>
      </c>
      <c r="N39" t="s">
        <v>29</v>
      </c>
      <c r="O39" t="s">
        <v>29</v>
      </c>
      <c r="P39" t="s">
        <v>29</v>
      </c>
      <c r="Q39" t="s">
        <v>29</v>
      </c>
      <c r="R39">
        <v>186</v>
      </c>
      <c r="S39">
        <v>10.28</v>
      </c>
      <c r="T39">
        <v>4.4000000000000004</v>
      </c>
      <c r="U39">
        <v>4.5999999999999996</v>
      </c>
      <c r="V39" t="s">
        <v>38</v>
      </c>
    </row>
    <row r="40" spans="1:22" x14ac:dyDescent="0.35">
      <c r="A40" s="1">
        <v>45348</v>
      </c>
      <c r="B40" t="s">
        <v>59</v>
      </c>
      <c r="C40" s="2">
        <v>0.65504629629629629</v>
      </c>
      <c r="D40" t="s">
        <v>195</v>
      </c>
      <c r="E40" t="s">
        <v>41</v>
      </c>
      <c r="F40" t="s">
        <v>196</v>
      </c>
      <c r="G40" t="s">
        <v>26</v>
      </c>
      <c r="H40" t="s">
        <v>197</v>
      </c>
      <c r="I40" t="s">
        <v>198</v>
      </c>
      <c r="J40">
        <v>10</v>
      </c>
      <c r="K40">
        <v>35.799999999999997</v>
      </c>
      <c r="L40" t="s">
        <v>29</v>
      </c>
      <c r="M40" t="s">
        <v>29</v>
      </c>
      <c r="N40" t="s">
        <v>29</v>
      </c>
      <c r="O40" t="s">
        <v>29</v>
      </c>
      <c r="P40" t="s">
        <v>29</v>
      </c>
      <c r="Q40" t="s">
        <v>29</v>
      </c>
      <c r="R40">
        <v>70</v>
      </c>
      <c r="S40">
        <v>44.42</v>
      </c>
      <c r="T40">
        <v>4.0999999999999996</v>
      </c>
      <c r="U40">
        <v>4.4000000000000004</v>
      </c>
      <c r="V40" t="s">
        <v>38</v>
      </c>
    </row>
    <row r="41" spans="1:22" x14ac:dyDescent="0.35">
      <c r="A41" s="1">
        <v>45545</v>
      </c>
      <c r="B41" t="s">
        <v>53</v>
      </c>
      <c r="C41" s="2">
        <v>0.5435416666666667</v>
      </c>
      <c r="D41" t="s">
        <v>199</v>
      </c>
      <c r="E41" t="s">
        <v>117</v>
      </c>
      <c r="F41" t="s">
        <v>200</v>
      </c>
      <c r="G41" t="s">
        <v>56</v>
      </c>
      <c r="H41" t="s">
        <v>201</v>
      </c>
      <c r="I41" t="s">
        <v>202</v>
      </c>
      <c r="J41">
        <v>11</v>
      </c>
      <c r="K41" t="s">
        <v>29</v>
      </c>
      <c r="L41">
        <v>1</v>
      </c>
      <c r="M41" t="s">
        <v>121</v>
      </c>
      <c r="N41" t="s">
        <v>29</v>
      </c>
      <c r="O41" t="s">
        <v>29</v>
      </c>
      <c r="P41" t="s">
        <v>29</v>
      </c>
      <c r="Q41" t="s">
        <v>29</v>
      </c>
      <c r="R41" t="s">
        <v>29</v>
      </c>
      <c r="S41" t="s">
        <v>29</v>
      </c>
      <c r="T41" t="s">
        <v>29</v>
      </c>
      <c r="U41" t="s">
        <v>29</v>
      </c>
      <c r="V41" t="s">
        <v>29</v>
      </c>
    </row>
    <row r="42" spans="1:22" x14ac:dyDescent="0.35">
      <c r="A42" s="1">
        <v>45547</v>
      </c>
      <c r="B42" t="s">
        <v>53</v>
      </c>
      <c r="C42" s="2">
        <v>0.38538194444444446</v>
      </c>
      <c r="D42" t="s">
        <v>203</v>
      </c>
      <c r="E42" t="s">
        <v>93</v>
      </c>
      <c r="F42" t="s">
        <v>204</v>
      </c>
      <c r="G42" t="s">
        <v>43</v>
      </c>
      <c r="H42" t="s">
        <v>82</v>
      </c>
      <c r="I42" t="s">
        <v>193</v>
      </c>
      <c r="J42">
        <v>8</v>
      </c>
      <c r="K42" t="s">
        <v>29</v>
      </c>
      <c r="L42" t="s">
        <v>29</v>
      </c>
      <c r="M42" t="s">
        <v>29</v>
      </c>
      <c r="N42">
        <v>1</v>
      </c>
      <c r="O42" t="s">
        <v>97</v>
      </c>
      <c r="P42" t="s">
        <v>29</v>
      </c>
      <c r="Q42" t="s">
        <v>29</v>
      </c>
      <c r="R42" t="s">
        <v>29</v>
      </c>
      <c r="S42" t="s">
        <v>29</v>
      </c>
      <c r="T42" t="s">
        <v>29</v>
      </c>
      <c r="U42" t="s">
        <v>29</v>
      </c>
      <c r="V42" t="s">
        <v>29</v>
      </c>
    </row>
    <row r="43" spans="1:22" x14ac:dyDescent="0.35">
      <c r="A43" s="1">
        <v>45315</v>
      </c>
      <c r="B43" t="s">
        <v>150</v>
      </c>
      <c r="C43" s="2">
        <v>0.44996527777777778</v>
      </c>
      <c r="D43" t="s">
        <v>205</v>
      </c>
      <c r="E43" t="s">
        <v>41</v>
      </c>
      <c r="F43" t="s">
        <v>206</v>
      </c>
      <c r="G43" t="s">
        <v>43</v>
      </c>
      <c r="H43" t="s">
        <v>114</v>
      </c>
      <c r="I43" t="s">
        <v>207</v>
      </c>
      <c r="J43">
        <v>12.8</v>
      </c>
      <c r="K43">
        <v>18.7</v>
      </c>
      <c r="L43" t="s">
        <v>29</v>
      </c>
      <c r="M43" t="s">
        <v>29</v>
      </c>
      <c r="N43" t="s">
        <v>29</v>
      </c>
      <c r="O43" t="s">
        <v>29</v>
      </c>
      <c r="P43" t="s">
        <v>29</v>
      </c>
      <c r="Q43" t="s">
        <v>29</v>
      </c>
      <c r="R43">
        <v>273</v>
      </c>
      <c r="S43">
        <v>34.64</v>
      </c>
      <c r="T43">
        <v>4.5</v>
      </c>
      <c r="U43">
        <v>4.5999999999999996</v>
      </c>
      <c r="V43" t="s">
        <v>107</v>
      </c>
    </row>
    <row r="44" spans="1:22" x14ac:dyDescent="0.35">
      <c r="A44" s="1">
        <v>45334</v>
      </c>
      <c r="B44" t="s">
        <v>59</v>
      </c>
      <c r="C44" s="2">
        <v>0.82128472222222226</v>
      </c>
      <c r="D44" t="s">
        <v>208</v>
      </c>
      <c r="E44" t="s">
        <v>32</v>
      </c>
      <c r="F44" t="s">
        <v>209</v>
      </c>
      <c r="G44" t="s">
        <v>50</v>
      </c>
      <c r="H44" t="s">
        <v>210</v>
      </c>
      <c r="I44" t="s">
        <v>211</v>
      </c>
      <c r="J44">
        <v>6.4</v>
      </c>
      <c r="K44">
        <v>10.5</v>
      </c>
      <c r="L44" t="s">
        <v>29</v>
      </c>
      <c r="M44" t="s">
        <v>29</v>
      </c>
      <c r="N44" t="s">
        <v>29</v>
      </c>
      <c r="O44" t="s">
        <v>29</v>
      </c>
      <c r="P44">
        <v>1</v>
      </c>
      <c r="Q44" t="s">
        <v>83</v>
      </c>
      <c r="R44">
        <v>966</v>
      </c>
      <c r="S44">
        <v>18.3</v>
      </c>
      <c r="T44" t="s">
        <v>29</v>
      </c>
      <c r="U44" t="s">
        <v>29</v>
      </c>
      <c r="V44" t="s">
        <v>46</v>
      </c>
    </row>
    <row r="45" spans="1:22" x14ac:dyDescent="0.35">
      <c r="A45" s="1">
        <v>45567</v>
      </c>
      <c r="B45" t="s">
        <v>47</v>
      </c>
      <c r="C45" s="2">
        <v>0.80347222222222225</v>
      </c>
      <c r="D45" t="s">
        <v>212</v>
      </c>
      <c r="E45" t="s">
        <v>93</v>
      </c>
      <c r="F45" t="s">
        <v>213</v>
      </c>
      <c r="G45" t="s">
        <v>43</v>
      </c>
      <c r="H45" t="s">
        <v>214</v>
      </c>
      <c r="I45" t="s">
        <v>211</v>
      </c>
      <c r="J45">
        <v>5.4</v>
      </c>
      <c r="K45" t="s">
        <v>29</v>
      </c>
      <c r="L45" t="s">
        <v>29</v>
      </c>
      <c r="M45" t="s">
        <v>29</v>
      </c>
      <c r="N45">
        <v>1</v>
      </c>
      <c r="O45" t="s">
        <v>169</v>
      </c>
      <c r="P45" t="s">
        <v>29</v>
      </c>
      <c r="Q45" t="s">
        <v>29</v>
      </c>
      <c r="R45" t="s">
        <v>29</v>
      </c>
      <c r="S45" t="s">
        <v>29</v>
      </c>
      <c r="T45" t="s">
        <v>29</v>
      </c>
      <c r="U45" t="s">
        <v>29</v>
      </c>
      <c r="V45" t="s">
        <v>29</v>
      </c>
    </row>
    <row r="46" spans="1:22" x14ac:dyDescent="0.35">
      <c r="A46" s="1">
        <v>45383</v>
      </c>
      <c r="B46" t="s">
        <v>154</v>
      </c>
      <c r="C46" s="2">
        <v>0.88494212962962959</v>
      </c>
      <c r="D46" t="s">
        <v>215</v>
      </c>
      <c r="E46" t="s">
        <v>41</v>
      </c>
      <c r="F46" t="s">
        <v>216</v>
      </c>
      <c r="G46" t="s">
        <v>34</v>
      </c>
      <c r="H46" t="s">
        <v>217</v>
      </c>
      <c r="I46" t="s">
        <v>201</v>
      </c>
      <c r="J46">
        <v>12.2</v>
      </c>
      <c r="K46">
        <v>42.3</v>
      </c>
      <c r="L46" t="s">
        <v>29</v>
      </c>
      <c r="M46" t="s">
        <v>29</v>
      </c>
      <c r="N46" t="s">
        <v>29</v>
      </c>
      <c r="O46" t="s">
        <v>29</v>
      </c>
      <c r="P46" t="s">
        <v>29</v>
      </c>
      <c r="Q46" t="s">
        <v>29</v>
      </c>
      <c r="R46">
        <v>251</v>
      </c>
      <c r="S46">
        <v>20.91</v>
      </c>
      <c r="T46">
        <v>4.2</v>
      </c>
      <c r="U46">
        <v>3.6</v>
      </c>
      <c r="V46" t="s">
        <v>46</v>
      </c>
    </row>
    <row r="47" spans="1:22" x14ac:dyDescent="0.35">
      <c r="A47" s="1">
        <v>45553</v>
      </c>
      <c r="B47" t="s">
        <v>53</v>
      </c>
      <c r="C47" s="2">
        <v>0.87958333333333338</v>
      </c>
      <c r="D47" t="s">
        <v>218</v>
      </c>
      <c r="E47" t="s">
        <v>93</v>
      </c>
      <c r="F47" t="s">
        <v>219</v>
      </c>
      <c r="G47" t="s">
        <v>67</v>
      </c>
      <c r="H47" t="s">
        <v>220</v>
      </c>
      <c r="I47" t="s">
        <v>221</v>
      </c>
      <c r="J47">
        <v>6.6</v>
      </c>
      <c r="K47" t="s">
        <v>29</v>
      </c>
      <c r="L47" t="s">
        <v>29</v>
      </c>
      <c r="M47" t="s">
        <v>29</v>
      </c>
      <c r="N47">
        <v>1</v>
      </c>
      <c r="O47" t="s">
        <v>169</v>
      </c>
      <c r="P47" t="s">
        <v>29</v>
      </c>
      <c r="Q47" t="s">
        <v>29</v>
      </c>
      <c r="R47" t="s">
        <v>29</v>
      </c>
      <c r="S47" t="s">
        <v>29</v>
      </c>
      <c r="T47" t="s">
        <v>29</v>
      </c>
      <c r="U47" t="s">
        <v>29</v>
      </c>
      <c r="V47" t="s">
        <v>29</v>
      </c>
    </row>
    <row r="48" spans="1:22" x14ac:dyDescent="0.35">
      <c r="A48" s="1">
        <v>45506</v>
      </c>
      <c r="B48" t="s">
        <v>39</v>
      </c>
      <c r="C48" s="2">
        <v>0.30355324074074075</v>
      </c>
      <c r="D48" t="s">
        <v>222</v>
      </c>
      <c r="E48" t="s">
        <v>117</v>
      </c>
      <c r="F48" t="s">
        <v>223</v>
      </c>
      <c r="G48" t="s">
        <v>43</v>
      </c>
      <c r="H48" t="s">
        <v>161</v>
      </c>
      <c r="I48" t="s">
        <v>221</v>
      </c>
      <c r="J48">
        <v>11.3</v>
      </c>
      <c r="K48" t="s">
        <v>29</v>
      </c>
      <c r="L48">
        <v>1</v>
      </c>
      <c r="M48" t="s">
        <v>224</v>
      </c>
      <c r="N48" t="s">
        <v>29</v>
      </c>
      <c r="O48" t="s">
        <v>29</v>
      </c>
      <c r="P48" t="s">
        <v>29</v>
      </c>
      <c r="Q48" t="s">
        <v>29</v>
      </c>
      <c r="R48" t="s">
        <v>29</v>
      </c>
      <c r="S48" t="s">
        <v>29</v>
      </c>
      <c r="T48" t="s">
        <v>29</v>
      </c>
      <c r="U48" t="s">
        <v>29</v>
      </c>
      <c r="V48" t="s">
        <v>29</v>
      </c>
    </row>
    <row r="49" spans="1:22" x14ac:dyDescent="0.35">
      <c r="A49" s="1">
        <v>45565</v>
      </c>
      <c r="B49" t="s">
        <v>53</v>
      </c>
      <c r="C49" s="2">
        <v>0.54918981481481477</v>
      </c>
      <c r="D49" t="s">
        <v>225</v>
      </c>
      <c r="E49" t="s">
        <v>32</v>
      </c>
      <c r="F49" t="s">
        <v>226</v>
      </c>
      <c r="G49" t="s">
        <v>56</v>
      </c>
      <c r="H49" t="s">
        <v>227</v>
      </c>
      <c r="I49" t="s">
        <v>177</v>
      </c>
      <c r="J49">
        <v>2.2999999999999998</v>
      </c>
      <c r="K49">
        <v>29.7</v>
      </c>
      <c r="L49" t="s">
        <v>29</v>
      </c>
      <c r="M49" t="s">
        <v>29</v>
      </c>
      <c r="N49" t="s">
        <v>29</v>
      </c>
      <c r="O49" t="s">
        <v>29</v>
      </c>
      <c r="P49">
        <v>1</v>
      </c>
      <c r="Q49" t="s">
        <v>37</v>
      </c>
      <c r="R49">
        <v>453</v>
      </c>
      <c r="S49">
        <v>19.239999999999998</v>
      </c>
      <c r="T49" t="s">
        <v>29</v>
      </c>
      <c r="U49" t="s">
        <v>29</v>
      </c>
      <c r="V49" t="s">
        <v>46</v>
      </c>
    </row>
    <row r="50" spans="1:22" x14ac:dyDescent="0.35">
      <c r="A50" s="1">
        <v>45459</v>
      </c>
      <c r="B50" t="s">
        <v>64</v>
      </c>
      <c r="C50" s="2">
        <v>3.1099537037037037E-2</v>
      </c>
      <c r="D50" t="s">
        <v>228</v>
      </c>
      <c r="E50" t="s">
        <v>41</v>
      </c>
      <c r="F50" t="s">
        <v>229</v>
      </c>
      <c r="G50" t="s">
        <v>34</v>
      </c>
      <c r="H50" t="s">
        <v>227</v>
      </c>
      <c r="I50" t="s">
        <v>177</v>
      </c>
      <c r="J50">
        <v>7.8</v>
      </c>
      <c r="K50">
        <v>42.2</v>
      </c>
      <c r="L50" t="s">
        <v>29</v>
      </c>
      <c r="M50" t="s">
        <v>29</v>
      </c>
      <c r="N50" t="s">
        <v>29</v>
      </c>
      <c r="O50" t="s">
        <v>29</v>
      </c>
      <c r="P50" t="s">
        <v>29</v>
      </c>
      <c r="Q50" t="s">
        <v>29</v>
      </c>
      <c r="R50">
        <v>246</v>
      </c>
      <c r="S50">
        <v>8.1300000000000008</v>
      </c>
      <c r="T50">
        <v>4.2</v>
      </c>
      <c r="U50">
        <v>4.5</v>
      </c>
      <c r="V50" t="s">
        <v>38</v>
      </c>
    </row>
    <row r="51" spans="1:22" x14ac:dyDescent="0.35">
      <c r="A51" s="1">
        <v>45553</v>
      </c>
      <c r="B51" t="s">
        <v>53</v>
      </c>
      <c r="C51" s="2">
        <v>0.39855324074074072</v>
      </c>
      <c r="D51" t="s">
        <v>230</v>
      </c>
      <c r="E51" t="s">
        <v>41</v>
      </c>
      <c r="F51" t="s">
        <v>231</v>
      </c>
      <c r="G51" t="s">
        <v>43</v>
      </c>
      <c r="H51" t="s">
        <v>232</v>
      </c>
      <c r="I51" t="s">
        <v>207</v>
      </c>
      <c r="J51">
        <v>8.8000000000000007</v>
      </c>
      <c r="K51">
        <v>25.2</v>
      </c>
      <c r="L51" t="s">
        <v>29</v>
      </c>
      <c r="M51" t="s">
        <v>29</v>
      </c>
      <c r="N51" t="s">
        <v>29</v>
      </c>
      <c r="O51" t="s">
        <v>29</v>
      </c>
      <c r="P51" t="s">
        <v>29</v>
      </c>
      <c r="Q51" t="s">
        <v>29</v>
      </c>
      <c r="R51">
        <v>237</v>
      </c>
      <c r="S51">
        <v>2.96</v>
      </c>
      <c r="T51">
        <v>3.9</v>
      </c>
      <c r="U51">
        <v>3.3</v>
      </c>
      <c r="V51" t="s">
        <v>38</v>
      </c>
    </row>
    <row r="52" spans="1:22" x14ac:dyDescent="0.35">
      <c r="A52" s="1">
        <v>45416</v>
      </c>
      <c r="B52" t="s">
        <v>122</v>
      </c>
      <c r="C52" s="2">
        <v>0.89373842592592589</v>
      </c>
      <c r="D52" t="s">
        <v>233</v>
      </c>
      <c r="E52" t="s">
        <v>32</v>
      </c>
      <c r="F52" t="s">
        <v>234</v>
      </c>
      <c r="G52" t="s">
        <v>67</v>
      </c>
      <c r="H52" t="s">
        <v>235</v>
      </c>
      <c r="I52" t="s">
        <v>51</v>
      </c>
      <c r="J52">
        <v>9.9</v>
      </c>
      <c r="K52">
        <v>21.6</v>
      </c>
      <c r="L52" t="s">
        <v>29</v>
      </c>
      <c r="M52" t="s">
        <v>29</v>
      </c>
      <c r="N52" t="s">
        <v>29</v>
      </c>
      <c r="O52" t="s">
        <v>29</v>
      </c>
      <c r="P52">
        <v>1</v>
      </c>
      <c r="Q52" t="s">
        <v>37</v>
      </c>
      <c r="R52">
        <v>1581</v>
      </c>
      <c r="S52">
        <v>1.82</v>
      </c>
      <c r="T52" t="s">
        <v>29</v>
      </c>
      <c r="U52" t="s">
        <v>29</v>
      </c>
      <c r="V52" t="s">
        <v>84</v>
      </c>
    </row>
    <row r="53" spans="1:22" x14ac:dyDescent="0.35">
      <c r="A53" s="1">
        <v>45446</v>
      </c>
      <c r="B53" t="s">
        <v>64</v>
      </c>
      <c r="C53" s="2">
        <v>0.76026620370370368</v>
      </c>
      <c r="D53" t="s">
        <v>236</v>
      </c>
      <c r="E53" t="s">
        <v>41</v>
      </c>
      <c r="F53" t="s">
        <v>237</v>
      </c>
      <c r="G53" t="s">
        <v>67</v>
      </c>
      <c r="H53" t="s">
        <v>238</v>
      </c>
      <c r="I53" t="s">
        <v>239</v>
      </c>
      <c r="J53">
        <v>4.0999999999999996</v>
      </c>
      <c r="K53">
        <v>25.1</v>
      </c>
      <c r="L53" t="s">
        <v>29</v>
      </c>
      <c r="M53" t="s">
        <v>29</v>
      </c>
      <c r="N53" t="s">
        <v>29</v>
      </c>
      <c r="O53" t="s">
        <v>29</v>
      </c>
      <c r="P53" t="s">
        <v>29</v>
      </c>
      <c r="Q53" t="s">
        <v>29</v>
      </c>
      <c r="R53">
        <v>379</v>
      </c>
      <c r="S53">
        <v>33.04</v>
      </c>
      <c r="T53">
        <v>4.2</v>
      </c>
      <c r="U53">
        <v>4.5</v>
      </c>
      <c r="V53" t="s">
        <v>107</v>
      </c>
    </row>
    <row r="54" spans="1:22" x14ac:dyDescent="0.35">
      <c r="A54" s="1">
        <v>45568</v>
      </c>
      <c r="B54" t="s">
        <v>47</v>
      </c>
      <c r="C54" s="2">
        <v>0.93094907407407412</v>
      </c>
      <c r="D54" t="s">
        <v>240</v>
      </c>
      <c r="E54" t="s">
        <v>41</v>
      </c>
      <c r="F54" t="s">
        <v>241</v>
      </c>
      <c r="G54" t="s">
        <v>67</v>
      </c>
      <c r="H54" t="s">
        <v>242</v>
      </c>
      <c r="I54" t="s">
        <v>27</v>
      </c>
      <c r="J54">
        <v>11.2</v>
      </c>
      <c r="K54">
        <v>40.700000000000003</v>
      </c>
      <c r="L54" t="s">
        <v>29</v>
      </c>
      <c r="M54" t="s">
        <v>29</v>
      </c>
      <c r="N54" t="s">
        <v>29</v>
      </c>
      <c r="O54" t="s">
        <v>29</v>
      </c>
      <c r="P54" t="s">
        <v>29</v>
      </c>
      <c r="Q54" t="s">
        <v>29</v>
      </c>
      <c r="R54">
        <v>545</v>
      </c>
      <c r="S54">
        <v>44.7</v>
      </c>
      <c r="T54">
        <v>4.3</v>
      </c>
      <c r="U54">
        <v>4.3</v>
      </c>
      <c r="V54" t="s">
        <v>84</v>
      </c>
    </row>
    <row r="55" spans="1:22" x14ac:dyDescent="0.35">
      <c r="A55" s="1">
        <v>45437</v>
      </c>
      <c r="B55" t="s">
        <v>122</v>
      </c>
      <c r="C55" s="2">
        <v>0.47533564814814816</v>
      </c>
      <c r="D55" t="s">
        <v>243</v>
      </c>
      <c r="E55" t="s">
        <v>41</v>
      </c>
      <c r="F55" t="s">
        <v>244</v>
      </c>
      <c r="G55" t="s">
        <v>67</v>
      </c>
      <c r="H55" t="s">
        <v>119</v>
      </c>
      <c r="I55" t="s">
        <v>245</v>
      </c>
      <c r="J55">
        <v>3</v>
      </c>
      <c r="K55">
        <v>35.4</v>
      </c>
      <c r="L55" t="s">
        <v>29</v>
      </c>
      <c r="M55" t="s">
        <v>29</v>
      </c>
      <c r="N55" t="s">
        <v>29</v>
      </c>
      <c r="O55" t="s">
        <v>29</v>
      </c>
      <c r="P55" t="s">
        <v>29</v>
      </c>
      <c r="Q55" t="s">
        <v>29</v>
      </c>
      <c r="R55">
        <v>479</v>
      </c>
      <c r="S55">
        <v>7.38</v>
      </c>
      <c r="T55">
        <v>4.2</v>
      </c>
      <c r="U55">
        <v>4.5999999999999996</v>
      </c>
      <c r="V55" t="s">
        <v>38</v>
      </c>
    </row>
    <row r="56" spans="1:22" x14ac:dyDescent="0.35">
      <c r="A56" s="1">
        <v>45355</v>
      </c>
      <c r="B56" t="s">
        <v>22</v>
      </c>
      <c r="C56" s="2">
        <v>0.74081018518518515</v>
      </c>
      <c r="D56" t="s">
        <v>246</v>
      </c>
      <c r="E56" t="s">
        <v>93</v>
      </c>
      <c r="F56" t="s">
        <v>247</v>
      </c>
      <c r="G56" t="s">
        <v>34</v>
      </c>
      <c r="H56" t="s">
        <v>248</v>
      </c>
      <c r="I56" t="s">
        <v>249</v>
      </c>
      <c r="J56">
        <v>11.2</v>
      </c>
      <c r="K56" t="s">
        <v>29</v>
      </c>
      <c r="L56" t="s">
        <v>29</v>
      </c>
      <c r="M56" t="s">
        <v>29</v>
      </c>
      <c r="N56">
        <v>1</v>
      </c>
      <c r="O56" t="s">
        <v>169</v>
      </c>
      <c r="P56" t="s">
        <v>29</v>
      </c>
      <c r="Q56" t="s">
        <v>29</v>
      </c>
      <c r="R56" t="s">
        <v>29</v>
      </c>
      <c r="S56" t="s">
        <v>29</v>
      </c>
      <c r="T56" t="s">
        <v>29</v>
      </c>
      <c r="U56" t="s">
        <v>29</v>
      </c>
      <c r="V56" t="s">
        <v>29</v>
      </c>
    </row>
    <row r="57" spans="1:22" x14ac:dyDescent="0.35">
      <c r="A57" s="1">
        <v>45606</v>
      </c>
      <c r="B57" t="s">
        <v>30</v>
      </c>
      <c r="C57" s="2">
        <v>0.21802083333333333</v>
      </c>
      <c r="D57" t="s">
        <v>250</v>
      </c>
      <c r="E57" t="s">
        <v>41</v>
      </c>
      <c r="F57" t="s">
        <v>251</v>
      </c>
      <c r="G57" t="s">
        <v>67</v>
      </c>
      <c r="H57" t="s">
        <v>69</v>
      </c>
      <c r="I57" t="s">
        <v>102</v>
      </c>
      <c r="J57">
        <v>9.1</v>
      </c>
      <c r="K57">
        <v>23.2</v>
      </c>
      <c r="L57" t="s">
        <v>29</v>
      </c>
      <c r="M57" t="s">
        <v>29</v>
      </c>
      <c r="N57" t="s">
        <v>29</v>
      </c>
      <c r="O57" t="s">
        <v>29</v>
      </c>
      <c r="P57" t="s">
        <v>29</v>
      </c>
      <c r="Q57" t="s">
        <v>29</v>
      </c>
      <c r="R57">
        <v>647</v>
      </c>
      <c r="S57">
        <v>24.93</v>
      </c>
      <c r="T57">
        <v>4.3</v>
      </c>
      <c r="U57">
        <v>4.7</v>
      </c>
      <c r="V57" t="s">
        <v>107</v>
      </c>
    </row>
    <row r="58" spans="1:22" x14ac:dyDescent="0.35">
      <c r="A58" s="1">
        <v>45546</v>
      </c>
      <c r="B58" t="s">
        <v>53</v>
      </c>
      <c r="C58" s="2">
        <v>0.44217592592592592</v>
      </c>
      <c r="D58" t="s">
        <v>252</v>
      </c>
      <c r="E58" t="s">
        <v>93</v>
      </c>
      <c r="F58" t="s">
        <v>253</v>
      </c>
      <c r="G58" t="s">
        <v>43</v>
      </c>
      <c r="H58" t="s">
        <v>254</v>
      </c>
      <c r="I58" t="s">
        <v>255</v>
      </c>
      <c r="J58">
        <v>4.3</v>
      </c>
      <c r="K58" t="s">
        <v>29</v>
      </c>
      <c r="L58" t="s">
        <v>29</v>
      </c>
      <c r="M58" t="s">
        <v>29</v>
      </c>
      <c r="N58">
        <v>1</v>
      </c>
      <c r="O58" t="s">
        <v>169</v>
      </c>
      <c r="P58" t="s">
        <v>29</v>
      </c>
      <c r="Q58" t="s">
        <v>29</v>
      </c>
      <c r="R58" t="s">
        <v>29</v>
      </c>
      <c r="S58" t="s">
        <v>29</v>
      </c>
      <c r="T58" t="s">
        <v>29</v>
      </c>
      <c r="U58" t="s">
        <v>29</v>
      </c>
      <c r="V58" t="s">
        <v>29</v>
      </c>
    </row>
    <row r="59" spans="1:22" x14ac:dyDescent="0.35">
      <c r="A59" s="1">
        <v>45393</v>
      </c>
      <c r="B59" t="s">
        <v>154</v>
      </c>
      <c r="C59" s="2">
        <v>0.65525462962962966</v>
      </c>
      <c r="D59" t="s">
        <v>256</v>
      </c>
      <c r="E59" t="s">
        <v>24</v>
      </c>
      <c r="F59" t="s">
        <v>257</v>
      </c>
      <c r="G59" t="s">
        <v>146</v>
      </c>
      <c r="H59" t="s">
        <v>221</v>
      </c>
      <c r="I59" t="s">
        <v>88</v>
      </c>
      <c r="J59" t="s">
        <v>29</v>
      </c>
      <c r="K59" t="s">
        <v>29</v>
      </c>
      <c r="L59" t="s">
        <v>29</v>
      </c>
      <c r="M59" t="s">
        <v>29</v>
      </c>
      <c r="N59" t="s">
        <v>29</v>
      </c>
      <c r="O59" t="s">
        <v>29</v>
      </c>
      <c r="P59" t="s">
        <v>29</v>
      </c>
      <c r="Q59" t="s">
        <v>29</v>
      </c>
      <c r="R59" t="s">
        <v>29</v>
      </c>
      <c r="S59" t="s">
        <v>29</v>
      </c>
      <c r="T59" t="s">
        <v>29</v>
      </c>
      <c r="U59" t="s">
        <v>29</v>
      </c>
      <c r="V59" t="s">
        <v>29</v>
      </c>
    </row>
    <row r="60" spans="1:22" x14ac:dyDescent="0.35">
      <c r="A60" s="1">
        <v>45444</v>
      </c>
      <c r="B60" t="s">
        <v>64</v>
      </c>
      <c r="C60" s="2">
        <v>0.4190625</v>
      </c>
      <c r="D60" t="s">
        <v>258</v>
      </c>
      <c r="E60" t="s">
        <v>41</v>
      </c>
      <c r="F60" t="s">
        <v>259</v>
      </c>
      <c r="G60" t="s">
        <v>50</v>
      </c>
      <c r="H60" t="s">
        <v>72</v>
      </c>
      <c r="I60" t="s">
        <v>27</v>
      </c>
      <c r="J60">
        <v>11.4</v>
      </c>
      <c r="K60">
        <v>42.1</v>
      </c>
      <c r="L60" t="s">
        <v>29</v>
      </c>
      <c r="M60" t="s">
        <v>29</v>
      </c>
      <c r="N60" t="s">
        <v>29</v>
      </c>
      <c r="O60" t="s">
        <v>29</v>
      </c>
      <c r="P60" t="s">
        <v>29</v>
      </c>
      <c r="Q60" t="s">
        <v>29</v>
      </c>
      <c r="R60">
        <v>125</v>
      </c>
      <c r="S60">
        <v>25.16</v>
      </c>
      <c r="T60">
        <v>4.3</v>
      </c>
      <c r="U60">
        <v>5</v>
      </c>
      <c r="V60" t="s">
        <v>149</v>
      </c>
    </row>
    <row r="61" spans="1:22" x14ac:dyDescent="0.35">
      <c r="A61" s="1">
        <v>45421</v>
      </c>
      <c r="B61" t="s">
        <v>122</v>
      </c>
      <c r="C61" s="2">
        <v>0.44756944444444446</v>
      </c>
      <c r="D61" t="s">
        <v>260</v>
      </c>
      <c r="E61" t="s">
        <v>93</v>
      </c>
      <c r="F61" t="s">
        <v>261</v>
      </c>
      <c r="G61" t="s">
        <v>50</v>
      </c>
      <c r="H61" t="s">
        <v>262</v>
      </c>
      <c r="I61" t="s">
        <v>263</v>
      </c>
      <c r="J61">
        <v>6.3</v>
      </c>
      <c r="K61" t="s">
        <v>29</v>
      </c>
      <c r="L61" t="s">
        <v>29</v>
      </c>
      <c r="M61" t="s">
        <v>29</v>
      </c>
      <c r="N61">
        <v>1</v>
      </c>
      <c r="O61" t="s">
        <v>115</v>
      </c>
      <c r="P61" t="s">
        <v>29</v>
      </c>
      <c r="Q61" t="s">
        <v>29</v>
      </c>
      <c r="R61" t="s">
        <v>29</v>
      </c>
      <c r="S61" t="s">
        <v>29</v>
      </c>
      <c r="T61" t="s">
        <v>29</v>
      </c>
      <c r="U61" t="s">
        <v>29</v>
      </c>
      <c r="V61" t="s">
        <v>29</v>
      </c>
    </row>
    <row r="62" spans="1:22" x14ac:dyDescent="0.35">
      <c r="A62" s="1">
        <v>45503</v>
      </c>
      <c r="B62" t="s">
        <v>108</v>
      </c>
      <c r="C62" s="2">
        <v>0.50168981481481478</v>
      </c>
      <c r="D62" t="s">
        <v>264</v>
      </c>
      <c r="E62" t="s">
        <v>41</v>
      </c>
      <c r="F62" t="s">
        <v>265</v>
      </c>
      <c r="G62" t="s">
        <v>50</v>
      </c>
      <c r="H62" t="s">
        <v>266</v>
      </c>
      <c r="I62" t="s">
        <v>267</v>
      </c>
      <c r="J62">
        <v>12.4</v>
      </c>
      <c r="K62">
        <v>21.5</v>
      </c>
      <c r="L62" t="s">
        <v>29</v>
      </c>
      <c r="M62" t="s">
        <v>29</v>
      </c>
      <c r="N62" t="s">
        <v>29</v>
      </c>
      <c r="O62" t="s">
        <v>29</v>
      </c>
      <c r="P62" t="s">
        <v>29</v>
      </c>
      <c r="Q62" t="s">
        <v>29</v>
      </c>
      <c r="R62">
        <v>375</v>
      </c>
      <c r="S62">
        <v>48.85</v>
      </c>
      <c r="T62">
        <v>3.3</v>
      </c>
      <c r="U62">
        <v>3.3</v>
      </c>
      <c r="V62" t="s">
        <v>84</v>
      </c>
    </row>
    <row r="63" spans="1:22" x14ac:dyDescent="0.35">
      <c r="A63" s="1">
        <v>45347</v>
      </c>
      <c r="B63" t="s">
        <v>59</v>
      </c>
      <c r="C63" s="2">
        <v>0.68285879629629631</v>
      </c>
      <c r="D63" t="s">
        <v>268</v>
      </c>
      <c r="E63" t="s">
        <v>41</v>
      </c>
      <c r="F63" t="s">
        <v>269</v>
      </c>
      <c r="G63" t="s">
        <v>43</v>
      </c>
      <c r="H63" t="s">
        <v>73</v>
      </c>
      <c r="I63" t="s">
        <v>270</v>
      </c>
      <c r="J63">
        <v>11.7</v>
      </c>
      <c r="K63">
        <v>33</v>
      </c>
      <c r="L63" t="s">
        <v>29</v>
      </c>
      <c r="M63" t="s">
        <v>29</v>
      </c>
      <c r="N63" t="s">
        <v>29</v>
      </c>
      <c r="O63" t="s">
        <v>29</v>
      </c>
      <c r="P63" t="s">
        <v>29</v>
      </c>
      <c r="Q63" t="s">
        <v>29</v>
      </c>
      <c r="R63">
        <v>310</v>
      </c>
      <c r="S63">
        <v>24.41</v>
      </c>
      <c r="T63">
        <v>4.5999999999999996</v>
      </c>
      <c r="U63">
        <v>3.8</v>
      </c>
      <c r="V63" t="s">
        <v>46</v>
      </c>
    </row>
    <row r="64" spans="1:22" x14ac:dyDescent="0.35">
      <c r="A64" s="1">
        <v>45331</v>
      </c>
      <c r="B64" t="s">
        <v>59</v>
      </c>
      <c r="C64" s="2">
        <v>0.46943287037037035</v>
      </c>
      <c r="D64" t="s">
        <v>271</v>
      </c>
      <c r="E64" t="s">
        <v>117</v>
      </c>
      <c r="F64" t="s">
        <v>272</v>
      </c>
      <c r="G64" t="s">
        <v>43</v>
      </c>
      <c r="H64" t="s">
        <v>207</v>
      </c>
      <c r="I64" t="s">
        <v>111</v>
      </c>
      <c r="J64">
        <v>16.600000000000001</v>
      </c>
      <c r="K64" t="s">
        <v>29</v>
      </c>
      <c r="L64">
        <v>1</v>
      </c>
      <c r="M64" t="s">
        <v>121</v>
      </c>
      <c r="N64" t="s">
        <v>29</v>
      </c>
      <c r="O64" t="s">
        <v>29</v>
      </c>
      <c r="P64" t="s">
        <v>29</v>
      </c>
      <c r="Q64" t="s">
        <v>29</v>
      </c>
      <c r="R64" t="s">
        <v>29</v>
      </c>
      <c r="S64" t="s">
        <v>29</v>
      </c>
      <c r="T64" t="s">
        <v>29</v>
      </c>
      <c r="U64" t="s">
        <v>29</v>
      </c>
      <c r="V64" t="s">
        <v>29</v>
      </c>
    </row>
    <row r="65" spans="1:22" x14ac:dyDescent="0.35">
      <c r="A65" s="1">
        <v>45353</v>
      </c>
      <c r="B65" t="s">
        <v>22</v>
      </c>
      <c r="C65" s="2">
        <v>0.2076736111111111</v>
      </c>
      <c r="D65" t="s">
        <v>273</v>
      </c>
      <c r="E65" t="s">
        <v>93</v>
      </c>
      <c r="F65" t="s">
        <v>274</v>
      </c>
      <c r="G65" t="s">
        <v>34</v>
      </c>
      <c r="H65" t="s">
        <v>35</v>
      </c>
      <c r="I65" t="s">
        <v>183</v>
      </c>
      <c r="J65">
        <v>5.4</v>
      </c>
      <c r="K65" t="s">
        <v>29</v>
      </c>
      <c r="L65" t="s">
        <v>29</v>
      </c>
      <c r="M65" t="s">
        <v>29</v>
      </c>
      <c r="N65">
        <v>1</v>
      </c>
      <c r="O65" t="s">
        <v>115</v>
      </c>
      <c r="P65" t="s">
        <v>29</v>
      </c>
      <c r="Q65" t="s">
        <v>29</v>
      </c>
      <c r="R65" t="s">
        <v>29</v>
      </c>
      <c r="S65" t="s">
        <v>29</v>
      </c>
      <c r="T65" t="s">
        <v>29</v>
      </c>
      <c r="U65" t="s">
        <v>29</v>
      </c>
      <c r="V65" t="s">
        <v>29</v>
      </c>
    </row>
    <row r="66" spans="1:22" x14ac:dyDescent="0.35">
      <c r="A66" s="1">
        <v>45531</v>
      </c>
      <c r="B66" t="s">
        <v>39</v>
      </c>
      <c r="C66" s="2">
        <v>0.76530092592592591</v>
      </c>
      <c r="D66" t="s">
        <v>275</v>
      </c>
      <c r="E66" t="s">
        <v>32</v>
      </c>
      <c r="F66" t="s">
        <v>276</v>
      </c>
      <c r="G66" t="s">
        <v>43</v>
      </c>
      <c r="H66" t="s">
        <v>232</v>
      </c>
      <c r="I66" t="s">
        <v>277</v>
      </c>
      <c r="J66">
        <v>2.2999999999999998</v>
      </c>
      <c r="K66">
        <v>10.1</v>
      </c>
      <c r="L66" t="s">
        <v>29</v>
      </c>
      <c r="M66" t="s">
        <v>29</v>
      </c>
      <c r="N66" t="s">
        <v>29</v>
      </c>
      <c r="O66" t="s">
        <v>29</v>
      </c>
      <c r="P66">
        <v>1</v>
      </c>
      <c r="Q66" t="s">
        <v>37</v>
      </c>
      <c r="R66">
        <v>370</v>
      </c>
      <c r="S66">
        <v>13.85</v>
      </c>
      <c r="T66" t="s">
        <v>29</v>
      </c>
      <c r="U66" t="s">
        <v>29</v>
      </c>
      <c r="V66" t="s">
        <v>84</v>
      </c>
    </row>
    <row r="67" spans="1:22" x14ac:dyDescent="0.35">
      <c r="A67" s="1">
        <v>45359</v>
      </c>
      <c r="B67" t="s">
        <v>22</v>
      </c>
      <c r="C67" s="2">
        <v>0.39488425925925924</v>
      </c>
      <c r="D67" t="s">
        <v>278</v>
      </c>
      <c r="E67" t="s">
        <v>93</v>
      </c>
      <c r="F67" t="s">
        <v>279</v>
      </c>
      <c r="G67" t="s">
        <v>50</v>
      </c>
      <c r="H67" t="s">
        <v>280</v>
      </c>
      <c r="I67" t="s">
        <v>281</v>
      </c>
      <c r="J67">
        <v>5.8</v>
      </c>
      <c r="K67" t="s">
        <v>29</v>
      </c>
      <c r="L67" t="s">
        <v>29</v>
      </c>
      <c r="M67" t="s">
        <v>29</v>
      </c>
      <c r="N67">
        <v>1</v>
      </c>
      <c r="O67" t="s">
        <v>169</v>
      </c>
      <c r="P67" t="s">
        <v>29</v>
      </c>
      <c r="Q67" t="s">
        <v>29</v>
      </c>
      <c r="R67" t="s">
        <v>29</v>
      </c>
      <c r="S67" t="s">
        <v>29</v>
      </c>
      <c r="T67" t="s">
        <v>29</v>
      </c>
      <c r="U67" t="s">
        <v>29</v>
      </c>
      <c r="V67" t="s">
        <v>29</v>
      </c>
    </row>
    <row r="68" spans="1:22" x14ac:dyDescent="0.35">
      <c r="A68" s="1">
        <v>45371</v>
      </c>
      <c r="B68" t="s">
        <v>22</v>
      </c>
      <c r="C68" s="2">
        <v>0.41609953703703706</v>
      </c>
      <c r="D68" t="s">
        <v>282</v>
      </c>
      <c r="E68" t="s">
        <v>93</v>
      </c>
      <c r="F68" t="s">
        <v>283</v>
      </c>
      <c r="G68" t="s">
        <v>50</v>
      </c>
      <c r="H68" t="s">
        <v>82</v>
      </c>
      <c r="I68" t="s">
        <v>201</v>
      </c>
      <c r="J68">
        <v>6.7</v>
      </c>
      <c r="K68" t="s">
        <v>29</v>
      </c>
      <c r="L68" t="s">
        <v>29</v>
      </c>
      <c r="M68" t="s">
        <v>29</v>
      </c>
      <c r="N68">
        <v>1</v>
      </c>
      <c r="O68" t="s">
        <v>115</v>
      </c>
      <c r="P68" t="s">
        <v>29</v>
      </c>
      <c r="Q68" t="s">
        <v>29</v>
      </c>
      <c r="R68" t="s">
        <v>29</v>
      </c>
      <c r="S68" t="s">
        <v>29</v>
      </c>
      <c r="T68" t="s">
        <v>29</v>
      </c>
      <c r="U68" t="s">
        <v>29</v>
      </c>
      <c r="V68" t="s">
        <v>29</v>
      </c>
    </row>
    <row r="69" spans="1:22" x14ac:dyDescent="0.35">
      <c r="A69" s="1">
        <v>45316</v>
      </c>
      <c r="B69" t="s">
        <v>150</v>
      </c>
      <c r="C69" s="2">
        <v>0.52732638888888894</v>
      </c>
      <c r="D69" t="s">
        <v>284</v>
      </c>
      <c r="E69" t="s">
        <v>41</v>
      </c>
      <c r="F69" t="s">
        <v>285</v>
      </c>
      <c r="G69" t="s">
        <v>26</v>
      </c>
      <c r="H69" t="s">
        <v>91</v>
      </c>
      <c r="I69" t="s">
        <v>158</v>
      </c>
      <c r="J69">
        <v>12.1</v>
      </c>
      <c r="K69">
        <v>18.100000000000001</v>
      </c>
      <c r="L69" t="s">
        <v>29</v>
      </c>
      <c r="M69" t="s">
        <v>29</v>
      </c>
      <c r="N69" t="s">
        <v>29</v>
      </c>
      <c r="O69" t="s">
        <v>29</v>
      </c>
      <c r="P69" t="s">
        <v>29</v>
      </c>
      <c r="Q69" t="s">
        <v>29</v>
      </c>
      <c r="R69">
        <v>291</v>
      </c>
      <c r="S69">
        <v>3.71</v>
      </c>
      <c r="T69">
        <v>3.2</v>
      </c>
      <c r="U69">
        <v>4.3</v>
      </c>
      <c r="V69" t="s">
        <v>38</v>
      </c>
    </row>
    <row r="70" spans="1:22" x14ac:dyDescent="0.35">
      <c r="A70" s="1">
        <v>45393</v>
      </c>
      <c r="B70" t="s">
        <v>154</v>
      </c>
      <c r="C70" s="2">
        <v>0.46846064814814814</v>
      </c>
      <c r="D70" t="s">
        <v>286</v>
      </c>
      <c r="E70" t="s">
        <v>41</v>
      </c>
      <c r="F70" t="s">
        <v>287</v>
      </c>
      <c r="G70" t="s">
        <v>43</v>
      </c>
      <c r="H70" t="s">
        <v>120</v>
      </c>
      <c r="I70" t="s">
        <v>153</v>
      </c>
      <c r="J70">
        <v>5.8</v>
      </c>
      <c r="K70">
        <v>24.3</v>
      </c>
      <c r="L70" t="s">
        <v>29</v>
      </c>
      <c r="M70" t="s">
        <v>29</v>
      </c>
      <c r="N70" t="s">
        <v>29</v>
      </c>
      <c r="O70" t="s">
        <v>29</v>
      </c>
      <c r="P70" t="s">
        <v>29</v>
      </c>
      <c r="Q70" t="s">
        <v>29</v>
      </c>
      <c r="R70">
        <v>114</v>
      </c>
      <c r="S70">
        <v>32.979999999999997</v>
      </c>
      <c r="T70">
        <v>4.3</v>
      </c>
      <c r="U70">
        <v>4.5</v>
      </c>
      <c r="V70" t="s">
        <v>107</v>
      </c>
    </row>
    <row r="71" spans="1:22" x14ac:dyDescent="0.35">
      <c r="A71" s="1">
        <v>45460</v>
      </c>
      <c r="B71" t="s">
        <v>64</v>
      </c>
      <c r="C71" s="2">
        <v>0.85123842592592591</v>
      </c>
      <c r="D71" t="s">
        <v>288</v>
      </c>
      <c r="E71" t="s">
        <v>41</v>
      </c>
      <c r="F71" t="s">
        <v>289</v>
      </c>
      <c r="G71" t="s">
        <v>67</v>
      </c>
      <c r="H71" t="s">
        <v>290</v>
      </c>
      <c r="I71" t="s">
        <v>189</v>
      </c>
      <c r="J71">
        <v>4</v>
      </c>
      <c r="K71">
        <v>44.5</v>
      </c>
      <c r="L71" t="s">
        <v>29</v>
      </c>
      <c r="M71" t="s">
        <v>29</v>
      </c>
      <c r="N71" t="s">
        <v>29</v>
      </c>
      <c r="O71" t="s">
        <v>29</v>
      </c>
      <c r="P71" t="s">
        <v>29</v>
      </c>
      <c r="Q71" t="s">
        <v>29</v>
      </c>
      <c r="R71">
        <v>464</v>
      </c>
      <c r="S71">
        <v>11.2</v>
      </c>
      <c r="T71">
        <v>4.5</v>
      </c>
      <c r="U71">
        <v>4.2</v>
      </c>
      <c r="V71" t="s">
        <v>84</v>
      </c>
    </row>
    <row r="72" spans="1:22" x14ac:dyDescent="0.35">
      <c r="A72" s="1">
        <v>45502</v>
      </c>
      <c r="B72" t="s">
        <v>108</v>
      </c>
      <c r="C72" s="2">
        <v>0.82833333333333337</v>
      </c>
      <c r="D72" t="s">
        <v>291</v>
      </c>
      <c r="E72" t="s">
        <v>41</v>
      </c>
      <c r="F72" t="s">
        <v>292</v>
      </c>
      <c r="G72" t="s">
        <v>34</v>
      </c>
      <c r="H72" t="s">
        <v>293</v>
      </c>
      <c r="I72" t="s">
        <v>172</v>
      </c>
      <c r="J72">
        <v>3.4</v>
      </c>
      <c r="K72">
        <v>27.1</v>
      </c>
      <c r="L72" t="s">
        <v>29</v>
      </c>
      <c r="M72" t="s">
        <v>29</v>
      </c>
      <c r="N72" t="s">
        <v>29</v>
      </c>
      <c r="O72" t="s">
        <v>29</v>
      </c>
      <c r="P72" t="s">
        <v>29</v>
      </c>
      <c r="Q72" t="s">
        <v>29</v>
      </c>
      <c r="R72">
        <v>160</v>
      </c>
      <c r="S72">
        <v>45.4</v>
      </c>
      <c r="T72">
        <v>4</v>
      </c>
      <c r="U72">
        <v>5</v>
      </c>
      <c r="V72" t="s">
        <v>84</v>
      </c>
    </row>
    <row r="73" spans="1:22" x14ac:dyDescent="0.35">
      <c r="A73" s="1">
        <v>45648</v>
      </c>
      <c r="B73" t="s">
        <v>78</v>
      </c>
      <c r="C73" s="2">
        <v>0.45370370370370372</v>
      </c>
      <c r="D73" t="s">
        <v>294</v>
      </c>
      <c r="E73" t="s">
        <v>93</v>
      </c>
      <c r="F73" t="s">
        <v>295</v>
      </c>
      <c r="G73" t="s">
        <v>43</v>
      </c>
      <c r="H73" t="s">
        <v>194</v>
      </c>
      <c r="I73" t="s">
        <v>296</v>
      </c>
      <c r="J73">
        <v>11.1</v>
      </c>
      <c r="K73" t="s">
        <v>29</v>
      </c>
      <c r="L73" t="s">
        <v>29</v>
      </c>
      <c r="M73" t="s">
        <v>29</v>
      </c>
      <c r="N73">
        <v>1</v>
      </c>
      <c r="O73" t="s">
        <v>97</v>
      </c>
      <c r="P73" t="s">
        <v>29</v>
      </c>
      <c r="Q73" t="s">
        <v>29</v>
      </c>
      <c r="R73" t="s">
        <v>29</v>
      </c>
      <c r="S73" t="s">
        <v>29</v>
      </c>
      <c r="T73" t="s">
        <v>29</v>
      </c>
      <c r="U73" t="s">
        <v>29</v>
      </c>
      <c r="V73" t="s">
        <v>29</v>
      </c>
    </row>
    <row r="74" spans="1:22" x14ac:dyDescent="0.35">
      <c r="A74" s="1">
        <v>45647</v>
      </c>
      <c r="B74" t="s">
        <v>78</v>
      </c>
      <c r="C74" s="2">
        <v>0.90277777777777779</v>
      </c>
      <c r="D74" t="s">
        <v>297</v>
      </c>
      <c r="E74" t="s">
        <v>41</v>
      </c>
      <c r="F74" t="s">
        <v>298</v>
      </c>
      <c r="G74" t="s">
        <v>26</v>
      </c>
      <c r="H74" t="s">
        <v>299</v>
      </c>
      <c r="I74" t="s">
        <v>125</v>
      </c>
      <c r="J74">
        <v>9.9</v>
      </c>
      <c r="K74">
        <v>38.5</v>
      </c>
      <c r="L74" t="s">
        <v>29</v>
      </c>
      <c r="M74" t="s">
        <v>29</v>
      </c>
      <c r="N74" t="s">
        <v>29</v>
      </c>
      <c r="O74" t="s">
        <v>29</v>
      </c>
      <c r="P74" t="s">
        <v>29</v>
      </c>
      <c r="Q74" t="s">
        <v>29</v>
      </c>
      <c r="R74">
        <v>206</v>
      </c>
      <c r="S74">
        <v>28.78</v>
      </c>
      <c r="T74">
        <v>4.0999999999999996</v>
      </c>
      <c r="U74">
        <v>3.7</v>
      </c>
      <c r="V74" t="s">
        <v>84</v>
      </c>
    </row>
    <row r="75" spans="1:22" x14ac:dyDescent="0.35">
      <c r="A75" s="1">
        <v>45345</v>
      </c>
      <c r="B75" t="s">
        <v>59</v>
      </c>
      <c r="C75" s="2">
        <v>0.4848263888888889</v>
      </c>
      <c r="D75" t="s">
        <v>300</v>
      </c>
      <c r="E75" t="s">
        <v>32</v>
      </c>
      <c r="F75" t="s">
        <v>301</v>
      </c>
      <c r="G75" t="s">
        <v>67</v>
      </c>
      <c r="H75" t="s">
        <v>57</v>
      </c>
      <c r="I75" t="s">
        <v>27</v>
      </c>
      <c r="J75">
        <v>5.9</v>
      </c>
      <c r="K75">
        <v>17.2</v>
      </c>
      <c r="L75" t="s">
        <v>29</v>
      </c>
      <c r="M75" t="s">
        <v>29</v>
      </c>
      <c r="N75" t="s">
        <v>29</v>
      </c>
      <c r="O75" t="s">
        <v>29</v>
      </c>
      <c r="P75">
        <v>1</v>
      </c>
      <c r="Q75" t="s">
        <v>302</v>
      </c>
      <c r="R75">
        <v>217</v>
      </c>
      <c r="S75">
        <v>2.81</v>
      </c>
      <c r="T75" t="s">
        <v>29</v>
      </c>
      <c r="U75" t="s">
        <v>29</v>
      </c>
      <c r="V75" t="s">
        <v>149</v>
      </c>
    </row>
    <row r="76" spans="1:22" x14ac:dyDescent="0.35">
      <c r="A76" s="1">
        <v>45417</v>
      </c>
      <c r="B76" t="s">
        <v>122</v>
      </c>
      <c r="C76" s="2">
        <v>0.89072916666666668</v>
      </c>
      <c r="D76" t="s">
        <v>303</v>
      </c>
      <c r="E76" t="s">
        <v>41</v>
      </c>
      <c r="F76" t="s">
        <v>304</v>
      </c>
      <c r="G76" t="s">
        <v>56</v>
      </c>
      <c r="H76" t="s">
        <v>147</v>
      </c>
      <c r="I76" t="s">
        <v>305</v>
      </c>
      <c r="J76">
        <v>8.1</v>
      </c>
      <c r="K76">
        <v>37.299999999999997</v>
      </c>
      <c r="L76" t="s">
        <v>29</v>
      </c>
      <c r="M76" t="s">
        <v>29</v>
      </c>
      <c r="N76" t="s">
        <v>29</v>
      </c>
      <c r="O76" t="s">
        <v>29</v>
      </c>
      <c r="P76" t="s">
        <v>29</v>
      </c>
      <c r="Q76" t="s">
        <v>29</v>
      </c>
      <c r="R76">
        <v>633</v>
      </c>
      <c r="S76">
        <v>17.34</v>
      </c>
      <c r="T76">
        <v>4.5</v>
      </c>
      <c r="U76">
        <v>4.9000000000000004</v>
      </c>
      <c r="V76" t="s">
        <v>149</v>
      </c>
    </row>
    <row r="77" spans="1:22" x14ac:dyDescent="0.35">
      <c r="A77" s="1">
        <v>45604</v>
      </c>
      <c r="B77" t="s">
        <v>30</v>
      </c>
      <c r="C77" s="2">
        <v>0.70914351851851853</v>
      </c>
      <c r="D77" t="s">
        <v>306</v>
      </c>
      <c r="E77" t="s">
        <v>41</v>
      </c>
      <c r="F77" t="s">
        <v>307</v>
      </c>
      <c r="G77" t="s">
        <v>43</v>
      </c>
      <c r="H77" t="s">
        <v>176</v>
      </c>
      <c r="I77" t="s">
        <v>202</v>
      </c>
      <c r="J77">
        <v>6.1</v>
      </c>
      <c r="K77">
        <v>28.2</v>
      </c>
      <c r="L77" t="s">
        <v>29</v>
      </c>
      <c r="M77" t="s">
        <v>29</v>
      </c>
      <c r="N77" t="s">
        <v>29</v>
      </c>
      <c r="O77" t="s">
        <v>29</v>
      </c>
      <c r="P77" t="s">
        <v>29</v>
      </c>
      <c r="Q77" t="s">
        <v>29</v>
      </c>
      <c r="R77">
        <v>717</v>
      </c>
      <c r="S77">
        <v>9.3800000000000008</v>
      </c>
      <c r="T77">
        <v>4.2</v>
      </c>
      <c r="U77">
        <v>4.5</v>
      </c>
      <c r="V77" t="s">
        <v>38</v>
      </c>
    </row>
    <row r="78" spans="1:22" x14ac:dyDescent="0.35">
      <c r="A78" s="1">
        <v>45652</v>
      </c>
      <c r="B78" t="s">
        <v>78</v>
      </c>
      <c r="C78" s="2">
        <v>0.89021990740740742</v>
      </c>
      <c r="D78" t="s">
        <v>308</v>
      </c>
      <c r="E78" t="s">
        <v>41</v>
      </c>
      <c r="F78" t="s">
        <v>309</v>
      </c>
      <c r="G78" t="s">
        <v>34</v>
      </c>
      <c r="H78" t="s">
        <v>126</v>
      </c>
      <c r="I78" t="s">
        <v>263</v>
      </c>
      <c r="J78">
        <v>6</v>
      </c>
      <c r="K78">
        <v>26.7</v>
      </c>
      <c r="L78" t="s">
        <v>29</v>
      </c>
      <c r="M78" t="s">
        <v>29</v>
      </c>
      <c r="N78" t="s">
        <v>29</v>
      </c>
      <c r="O78" t="s">
        <v>29</v>
      </c>
      <c r="P78" t="s">
        <v>29</v>
      </c>
      <c r="Q78" t="s">
        <v>29</v>
      </c>
      <c r="R78">
        <v>151</v>
      </c>
      <c r="S78">
        <v>11.9</v>
      </c>
      <c r="T78">
        <v>4.9000000000000004</v>
      </c>
      <c r="U78">
        <v>4.5</v>
      </c>
      <c r="V78" t="s">
        <v>38</v>
      </c>
    </row>
    <row r="79" spans="1:22" x14ac:dyDescent="0.35">
      <c r="A79" s="1">
        <v>45540</v>
      </c>
      <c r="B79" t="s">
        <v>53</v>
      </c>
      <c r="C79" s="2">
        <v>0.32243055555555555</v>
      </c>
      <c r="D79" t="s">
        <v>310</v>
      </c>
      <c r="E79" t="s">
        <v>41</v>
      </c>
      <c r="F79" t="s">
        <v>311</v>
      </c>
      <c r="G79" t="s">
        <v>50</v>
      </c>
      <c r="H79" t="s">
        <v>312</v>
      </c>
      <c r="I79" t="s">
        <v>189</v>
      </c>
      <c r="J79">
        <v>5</v>
      </c>
      <c r="K79">
        <v>34.700000000000003</v>
      </c>
      <c r="L79" t="s">
        <v>29</v>
      </c>
      <c r="M79" t="s">
        <v>29</v>
      </c>
      <c r="N79" t="s">
        <v>29</v>
      </c>
      <c r="O79" t="s">
        <v>29</v>
      </c>
      <c r="P79" t="s">
        <v>29</v>
      </c>
      <c r="Q79" t="s">
        <v>29</v>
      </c>
      <c r="R79">
        <v>512</v>
      </c>
      <c r="S79">
        <v>35.659999999999997</v>
      </c>
      <c r="T79">
        <v>3.7</v>
      </c>
      <c r="U79">
        <v>4.9000000000000004</v>
      </c>
      <c r="V79" t="s">
        <v>38</v>
      </c>
    </row>
    <row r="80" spans="1:22" x14ac:dyDescent="0.35">
      <c r="A80" s="1">
        <v>45621</v>
      </c>
      <c r="B80" t="s">
        <v>30</v>
      </c>
      <c r="C80" s="2">
        <v>0.35363425925925923</v>
      </c>
      <c r="D80" t="s">
        <v>313</v>
      </c>
      <c r="E80" t="s">
        <v>117</v>
      </c>
      <c r="F80" t="s">
        <v>314</v>
      </c>
      <c r="G80" t="s">
        <v>34</v>
      </c>
      <c r="H80" t="s">
        <v>157</v>
      </c>
      <c r="I80" t="s">
        <v>315</v>
      </c>
      <c r="J80">
        <v>12</v>
      </c>
      <c r="K80" t="s">
        <v>29</v>
      </c>
      <c r="L80">
        <v>1</v>
      </c>
      <c r="M80" t="s">
        <v>224</v>
      </c>
      <c r="N80" t="s">
        <v>29</v>
      </c>
      <c r="O80" t="s">
        <v>29</v>
      </c>
      <c r="P80" t="s">
        <v>29</v>
      </c>
      <c r="Q80" t="s">
        <v>29</v>
      </c>
      <c r="R80" t="s">
        <v>29</v>
      </c>
      <c r="S80" t="s">
        <v>29</v>
      </c>
      <c r="T80" t="s">
        <v>29</v>
      </c>
      <c r="U80" t="s">
        <v>29</v>
      </c>
      <c r="V80" t="s">
        <v>29</v>
      </c>
    </row>
    <row r="81" spans="1:22" x14ac:dyDescent="0.35">
      <c r="A81" s="1">
        <v>45519</v>
      </c>
      <c r="B81" t="s">
        <v>39</v>
      </c>
      <c r="C81" s="2">
        <v>0.77781250000000002</v>
      </c>
      <c r="D81" t="s">
        <v>316</v>
      </c>
      <c r="E81" t="s">
        <v>93</v>
      </c>
      <c r="F81" t="s">
        <v>317</v>
      </c>
      <c r="G81" t="s">
        <v>50</v>
      </c>
      <c r="H81" t="s">
        <v>221</v>
      </c>
      <c r="I81" t="s">
        <v>81</v>
      </c>
      <c r="J81">
        <v>3.2</v>
      </c>
      <c r="K81" t="s">
        <v>29</v>
      </c>
      <c r="L81" t="s">
        <v>29</v>
      </c>
      <c r="M81" t="s">
        <v>29</v>
      </c>
      <c r="N81">
        <v>1</v>
      </c>
      <c r="O81" t="s">
        <v>97</v>
      </c>
      <c r="P81" t="s">
        <v>29</v>
      </c>
      <c r="Q81" t="s">
        <v>29</v>
      </c>
      <c r="R81" t="s">
        <v>29</v>
      </c>
      <c r="S81" t="s">
        <v>29</v>
      </c>
      <c r="T81" t="s">
        <v>29</v>
      </c>
      <c r="U81" t="s">
        <v>29</v>
      </c>
      <c r="V81" t="s">
        <v>29</v>
      </c>
    </row>
    <row r="82" spans="1:22" x14ac:dyDescent="0.35">
      <c r="A82" s="1">
        <v>45332</v>
      </c>
      <c r="B82" t="s">
        <v>59</v>
      </c>
      <c r="C82" s="2">
        <v>0.38725694444444442</v>
      </c>
      <c r="D82" t="s">
        <v>318</v>
      </c>
      <c r="E82" t="s">
        <v>41</v>
      </c>
      <c r="F82" t="s">
        <v>319</v>
      </c>
      <c r="G82" t="s">
        <v>50</v>
      </c>
      <c r="H82" t="s">
        <v>262</v>
      </c>
      <c r="I82" t="s">
        <v>320</v>
      </c>
      <c r="J82">
        <v>9.6</v>
      </c>
      <c r="K82">
        <v>39.1</v>
      </c>
      <c r="L82" t="s">
        <v>29</v>
      </c>
      <c r="M82" t="s">
        <v>29</v>
      </c>
      <c r="N82" t="s">
        <v>29</v>
      </c>
      <c r="O82" t="s">
        <v>29</v>
      </c>
      <c r="P82" t="s">
        <v>29</v>
      </c>
      <c r="Q82" t="s">
        <v>29</v>
      </c>
      <c r="R82">
        <v>1390</v>
      </c>
      <c r="S82">
        <v>21.79</v>
      </c>
      <c r="T82">
        <v>5</v>
      </c>
      <c r="U82">
        <v>4.9000000000000004</v>
      </c>
      <c r="V82" t="s">
        <v>38</v>
      </c>
    </row>
    <row r="83" spans="1:22" x14ac:dyDescent="0.35">
      <c r="A83" s="1">
        <v>45561</v>
      </c>
      <c r="B83" t="s">
        <v>53</v>
      </c>
      <c r="C83" s="2">
        <v>0.48184027777777777</v>
      </c>
      <c r="D83" t="s">
        <v>321</v>
      </c>
      <c r="E83" t="s">
        <v>93</v>
      </c>
      <c r="F83" t="s">
        <v>322</v>
      </c>
      <c r="G83" t="s">
        <v>50</v>
      </c>
      <c r="H83" t="s">
        <v>323</v>
      </c>
      <c r="I83" t="s">
        <v>324</v>
      </c>
      <c r="J83">
        <v>3.9</v>
      </c>
      <c r="K83" t="s">
        <v>29</v>
      </c>
      <c r="L83" t="s">
        <v>29</v>
      </c>
      <c r="M83" t="s">
        <v>29</v>
      </c>
      <c r="N83">
        <v>1</v>
      </c>
      <c r="O83" t="s">
        <v>169</v>
      </c>
      <c r="P83" t="s">
        <v>29</v>
      </c>
      <c r="Q83" t="s">
        <v>29</v>
      </c>
      <c r="R83" t="s">
        <v>29</v>
      </c>
      <c r="S83" t="s">
        <v>29</v>
      </c>
      <c r="T83" t="s">
        <v>29</v>
      </c>
      <c r="U83" t="s">
        <v>29</v>
      </c>
      <c r="V83" t="s">
        <v>29</v>
      </c>
    </row>
    <row r="84" spans="1:22" x14ac:dyDescent="0.35">
      <c r="A84" s="1">
        <v>45474</v>
      </c>
      <c r="B84" t="s">
        <v>108</v>
      </c>
      <c r="C84" s="2">
        <v>0.73606481481481478</v>
      </c>
      <c r="D84" t="s">
        <v>325</v>
      </c>
      <c r="E84" t="s">
        <v>41</v>
      </c>
      <c r="F84" t="s">
        <v>326</v>
      </c>
      <c r="G84" t="s">
        <v>56</v>
      </c>
      <c r="H84" t="s">
        <v>327</v>
      </c>
      <c r="I84" t="s">
        <v>214</v>
      </c>
      <c r="J84">
        <v>3.9</v>
      </c>
      <c r="K84">
        <v>23</v>
      </c>
      <c r="L84" t="s">
        <v>29</v>
      </c>
      <c r="M84" t="s">
        <v>29</v>
      </c>
      <c r="N84" t="s">
        <v>29</v>
      </c>
      <c r="O84" t="s">
        <v>29</v>
      </c>
      <c r="P84" t="s">
        <v>29</v>
      </c>
      <c r="Q84" t="s">
        <v>29</v>
      </c>
      <c r="R84">
        <v>224</v>
      </c>
      <c r="S84">
        <v>7.86</v>
      </c>
      <c r="T84">
        <v>4.0999999999999996</v>
      </c>
      <c r="U84">
        <v>4.2</v>
      </c>
      <c r="V84" t="s">
        <v>84</v>
      </c>
    </row>
    <row r="85" spans="1:22" x14ac:dyDescent="0.35">
      <c r="A85" s="1">
        <v>45584</v>
      </c>
      <c r="B85" t="s">
        <v>47</v>
      </c>
      <c r="C85" s="2">
        <v>0.68391203703703707</v>
      </c>
      <c r="D85" t="s">
        <v>328</v>
      </c>
      <c r="E85" t="s">
        <v>41</v>
      </c>
      <c r="F85" t="s">
        <v>329</v>
      </c>
      <c r="G85" t="s">
        <v>43</v>
      </c>
      <c r="H85" t="s">
        <v>290</v>
      </c>
      <c r="I85" t="s">
        <v>68</v>
      </c>
      <c r="J85">
        <v>8.4</v>
      </c>
      <c r="K85">
        <v>31.3</v>
      </c>
      <c r="L85" t="s">
        <v>29</v>
      </c>
      <c r="M85" t="s">
        <v>29</v>
      </c>
      <c r="N85" t="s">
        <v>29</v>
      </c>
      <c r="O85" t="s">
        <v>29</v>
      </c>
      <c r="P85" t="s">
        <v>29</v>
      </c>
      <c r="Q85" t="s">
        <v>29</v>
      </c>
      <c r="R85">
        <v>708</v>
      </c>
      <c r="S85">
        <v>18.04</v>
      </c>
      <c r="T85">
        <v>4.5999999999999996</v>
      </c>
      <c r="U85">
        <v>4.8</v>
      </c>
      <c r="V85" t="s">
        <v>38</v>
      </c>
    </row>
    <row r="86" spans="1:22" x14ac:dyDescent="0.35">
      <c r="A86" s="1">
        <v>45331</v>
      </c>
      <c r="B86" t="s">
        <v>59</v>
      </c>
      <c r="C86" s="2">
        <v>0.45209490740740743</v>
      </c>
      <c r="D86" t="s">
        <v>330</v>
      </c>
      <c r="E86" t="s">
        <v>41</v>
      </c>
      <c r="F86" t="s">
        <v>331</v>
      </c>
      <c r="G86" t="s">
        <v>43</v>
      </c>
      <c r="H86" t="s">
        <v>332</v>
      </c>
      <c r="I86" t="s">
        <v>333</v>
      </c>
      <c r="J86">
        <v>7.7</v>
      </c>
      <c r="K86">
        <v>43.7</v>
      </c>
      <c r="L86" t="s">
        <v>29</v>
      </c>
      <c r="M86" t="s">
        <v>29</v>
      </c>
      <c r="N86" t="s">
        <v>29</v>
      </c>
      <c r="O86" t="s">
        <v>29</v>
      </c>
      <c r="P86" t="s">
        <v>29</v>
      </c>
      <c r="Q86" t="s">
        <v>29</v>
      </c>
      <c r="R86">
        <v>153</v>
      </c>
      <c r="S86">
        <v>15.18</v>
      </c>
      <c r="T86">
        <v>4.2</v>
      </c>
      <c r="U86">
        <v>3.6</v>
      </c>
      <c r="V86" t="s">
        <v>107</v>
      </c>
    </row>
    <row r="87" spans="1:22" x14ac:dyDescent="0.35">
      <c r="A87" s="1">
        <v>45382</v>
      </c>
      <c r="B87" t="s">
        <v>22</v>
      </c>
      <c r="C87" s="2">
        <v>0.52583333333333337</v>
      </c>
      <c r="D87" t="s">
        <v>334</v>
      </c>
      <c r="E87" t="s">
        <v>93</v>
      </c>
      <c r="F87" t="s">
        <v>335</v>
      </c>
      <c r="G87" t="s">
        <v>56</v>
      </c>
      <c r="H87" t="s">
        <v>336</v>
      </c>
      <c r="I87" t="s">
        <v>76</v>
      </c>
      <c r="J87">
        <v>6.3</v>
      </c>
      <c r="K87" t="s">
        <v>29</v>
      </c>
      <c r="L87" t="s">
        <v>29</v>
      </c>
      <c r="M87" t="s">
        <v>29</v>
      </c>
      <c r="N87">
        <v>1</v>
      </c>
      <c r="O87" t="s">
        <v>337</v>
      </c>
      <c r="P87" t="s">
        <v>29</v>
      </c>
      <c r="Q87" t="s">
        <v>29</v>
      </c>
      <c r="R87" t="s">
        <v>29</v>
      </c>
      <c r="S87" t="s">
        <v>29</v>
      </c>
      <c r="T87" t="s">
        <v>29</v>
      </c>
      <c r="U87" t="s">
        <v>29</v>
      </c>
      <c r="V87" t="s">
        <v>29</v>
      </c>
    </row>
    <row r="88" spans="1:22" x14ac:dyDescent="0.35">
      <c r="A88" s="1">
        <v>45637</v>
      </c>
      <c r="B88" t="s">
        <v>78</v>
      </c>
      <c r="C88" s="2">
        <v>0.7122222222222222</v>
      </c>
      <c r="D88" t="s">
        <v>338</v>
      </c>
      <c r="E88" t="s">
        <v>41</v>
      </c>
      <c r="F88" t="s">
        <v>339</v>
      </c>
      <c r="G88" t="s">
        <v>56</v>
      </c>
      <c r="H88" t="s">
        <v>340</v>
      </c>
      <c r="I88" t="s">
        <v>129</v>
      </c>
      <c r="J88">
        <v>5</v>
      </c>
      <c r="K88">
        <v>35</v>
      </c>
      <c r="L88" t="s">
        <v>29</v>
      </c>
      <c r="M88" t="s">
        <v>29</v>
      </c>
      <c r="N88" t="s">
        <v>29</v>
      </c>
      <c r="O88" t="s">
        <v>29</v>
      </c>
      <c r="P88" t="s">
        <v>29</v>
      </c>
      <c r="Q88" t="s">
        <v>29</v>
      </c>
      <c r="R88">
        <v>72</v>
      </c>
      <c r="S88">
        <v>13.38</v>
      </c>
      <c r="T88">
        <v>4.7</v>
      </c>
      <c r="U88">
        <v>4.2</v>
      </c>
      <c r="V88" t="s">
        <v>84</v>
      </c>
    </row>
    <row r="89" spans="1:22" x14ac:dyDescent="0.35">
      <c r="A89" s="1">
        <v>45462</v>
      </c>
      <c r="B89" t="s">
        <v>64</v>
      </c>
      <c r="C89" s="2">
        <v>0.68033564814814818</v>
      </c>
      <c r="D89" t="s">
        <v>341</v>
      </c>
      <c r="E89" t="s">
        <v>32</v>
      </c>
      <c r="F89" t="s">
        <v>342</v>
      </c>
      <c r="G89" t="s">
        <v>34</v>
      </c>
      <c r="H89" t="s">
        <v>343</v>
      </c>
      <c r="I89" t="s">
        <v>69</v>
      </c>
      <c r="J89">
        <v>8.9</v>
      </c>
      <c r="K89">
        <v>15.6</v>
      </c>
      <c r="L89" t="s">
        <v>29</v>
      </c>
      <c r="M89" t="s">
        <v>29</v>
      </c>
      <c r="N89" t="s">
        <v>29</v>
      </c>
      <c r="O89" t="s">
        <v>29</v>
      </c>
      <c r="P89">
        <v>1</v>
      </c>
      <c r="Q89" t="s">
        <v>302</v>
      </c>
      <c r="R89">
        <v>282</v>
      </c>
      <c r="S89">
        <v>11.81</v>
      </c>
      <c r="T89" t="s">
        <v>29</v>
      </c>
      <c r="U89" t="s">
        <v>29</v>
      </c>
      <c r="V89" t="s">
        <v>38</v>
      </c>
    </row>
    <row r="90" spans="1:22" x14ac:dyDescent="0.35">
      <c r="A90" s="1">
        <v>45463</v>
      </c>
      <c r="B90" t="s">
        <v>64</v>
      </c>
      <c r="C90" s="2">
        <v>0.79069444444444448</v>
      </c>
      <c r="D90" t="s">
        <v>344</v>
      </c>
      <c r="E90" t="s">
        <v>24</v>
      </c>
      <c r="F90" t="s">
        <v>345</v>
      </c>
      <c r="G90" t="s">
        <v>67</v>
      </c>
      <c r="H90" t="s">
        <v>82</v>
      </c>
      <c r="I90" t="s">
        <v>346</v>
      </c>
      <c r="J90" t="s">
        <v>29</v>
      </c>
      <c r="K90" t="s">
        <v>29</v>
      </c>
      <c r="L90" t="s">
        <v>29</v>
      </c>
      <c r="M90" t="s">
        <v>29</v>
      </c>
      <c r="N90" t="s">
        <v>29</v>
      </c>
      <c r="O90" t="s">
        <v>29</v>
      </c>
      <c r="P90" t="s">
        <v>29</v>
      </c>
      <c r="Q90" t="s">
        <v>29</v>
      </c>
      <c r="R90" t="s">
        <v>29</v>
      </c>
      <c r="S90" t="s">
        <v>29</v>
      </c>
      <c r="T90" t="s">
        <v>29</v>
      </c>
      <c r="U90" t="s">
        <v>29</v>
      </c>
      <c r="V90" t="s">
        <v>29</v>
      </c>
    </row>
    <row r="91" spans="1:22" x14ac:dyDescent="0.35">
      <c r="A91" s="1">
        <v>45483</v>
      </c>
      <c r="B91" t="s">
        <v>108</v>
      </c>
      <c r="C91" s="2">
        <v>9.9444444444444446E-2</v>
      </c>
      <c r="D91" t="s">
        <v>347</v>
      </c>
      <c r="E91" t="s">
        <v>41</v>
      </c>
      <c r="F91" t="s">
        <v>348</v>
      </c>
      <c r="G91" t="s">
        <v>50</v>
      </c>
      <c r="H91" t="s">
        <v>349</v>
      </c>
      <c r="I91" t="s">
        <v>350</v>
      </c>
      <c r="J91">
        <v>10.9</v>
      </c>
      <c r="K91">
        <v>43.6</v>
      </c>
      <c r="L91" t="s">
        <v>29</v>
      </c>
      <c r="M91" t="s">
        <v>29</v>
      </c>
      <c r="N91" t="s">
        <v>29</v>
      </c>
      <c r="O91" t="s">
        <v>29</v>
      </c>
      <c r="P91" t="s">
        <v>29</v>
      </c>
      <c r="Q91" t="s">
        <v>29</v>
      </c>
      <c r="R91">
        <v>696</v>
      </c>
      <c r="S91">
        <v>30.9</v>
      </c>
      <c r="T91">
        <v>4.7</v>
      </c>
      <c r="U91">
        <v>3.7</v>
      </c>
      <c r="V91" t="s">
        <v>38</v>
      </c>
    </row>
    <row r="92" spans="1:22" x14ac:dyDescent="0.35">
      <c r="A92" s="1">
        <v>45328</v>
      </c>
      <c r="B92" t="s">
        <v>59</v>
      </c>
      <c r="C92" s="2">
        <v>0.89375000000000004</v>
      </c>
      <c r="D92" t="s">
        <v>351</v>
      </c>
      <c r="E92" t="s">
        <v>32</v>
      </c>
      <c r="F92" t="s">
        <v>352</v>
      </c>
      <c r="G92" t="s">
        <v>26</v>
      </c>
      <c r="H92" t="s">
        <v>183</v>
      </c>
      <c r="I92" t="s">
        <v>242</v>
      </c>
      <c r="J92">
        <v>5.7</v>
      </c>
      <c r="K92">
        <v>18</v>
      </c>
      <c r="L92" t="s">
        <v>29</v>
      </c>
      <c r="M92" t="s">
        <v>29</v>
      </c>
      <c r="N92" t="s">
        <v>29</v>
      </c>
      <c r="O92" t="s">
        <v>29</v>
      </c>
      <c r="P92">
        <v>1</v>
      </c>
      <c r="Q92" t="s">
        <v>37</v>
      </c>
      <c r="R92">
        <v>936</v>
      </c>
      <c r="S92">
        <v>14.91</v>
      </c>
      <c r="T92" t="s">
        <v>29</v>
      </c>
      <c r="U92" t="s">
        <v>29</v>
      </c>
      <c r="V92" t="s">
        <v>107</v>
      </c>
    </row>
    <row r="93" spans="1:22" x14ac:dyDescent="0.35">
      <c r="A93" s="1">
        <v>45565</v>
      </c>
      <c r="B93" t="s">
        <v>53</v>
      </c>
      <c r="C93" s="2">
        <v>0.5242013888888889</v>
      </c>
      <c r="D93" t="s">
        <v>353</v>
      </c>
      <c r="E93" t="s">
        <v>41</v>
      </c>
      <c r="F93" t="s">
        <v>354</v>
      </c>
      <c r="G93" t="s">
        <v>43</v>
      </c>
      <c r="H93" t="s">
        <v>355</v>
      </c>
      <c r="I93" t="s">
        <v>136</v>
      </c>
      <c r="J93">
        <v>8.6</v>
      </c>
      <c r="K93">
        <v>32.700000000000003</v>
      </c>
      <c r="L93" t="s">
        <v>29</v>
      </c>
      <c r="M93" t="s">
        <v>29</v>
      </c>
      <c r="N93" t="s">
        <v>29</v>
      </c>
      <c r="O93" t="s">
        <v>29</v>
      </c>
      <c r="P93" t="s">
        <v>29</v>
      </c>
      <c r="Q93" t="s">
        <v>29</v>
      </c>
      <c r="R93">
        <v>2169</v>
      </c>
      <c r="S93">
        <v>44.25</v>
      </c>
      <c r="T93">
        <v>4.4000000000000004</v>
      </c>
      <c r="U93">
        <v>4.3</v>
      </c>
      <c r="V93" t="s">
        <v>107</v>
      </c>
    </row>
    <row r="94" spans="1:22" x14ac:dyDescent="0.35">
      <c r="A94" s="1">
        <v>45555</v>
      </c>
      <c r="B94" t="s">
        <v>53</v>
      </c>
      <c r="C94" s="2">
        <v>0.5481018518518519</v>
      </c>
      <c r="D94" t="s">
        <v>356</v>
      </c>
      <c r="E94" t="s">
        <v>41</v>
      </c>
      <c r="F94" t="s">
        <v>357</v>
      </c>
      <c r="G94" t="s">
        <v>26</v>
      </c>
      <c r="H94" t="s">
        <v>254</v>
      </c>
      <c r="I94" t="s">
        <v>87</v>
      </c>
      <c r="J94">
        <v>9.5</v>
      </c>
      <c r="K94">
        <v>24.6</v>
      </c>
      <c r="L94" t="s">
        <v>29</v>
      </c>
      <c r="M94" t="s">
        <v>29</v>
      </c>
      <c r="N94" t="s">
        <v>29</v>
      </c>
      <c r="O94" t="s">
        <v>29</v>
      </c>
      <c r="P94" t="s">
        <v>29</v>
      </c>
      <c r="Q94" t="s">
        <v>29</v>
      </c>
      <c r="R94">
        <v>136</v>
      </c>
      <c r="S94">
        <v>45.46</v>
      </c>
      <c r="T94">
        <v>3.2</v>
      </c>
      <c r="U94">
        <v>3.8</v>
      </c>
      <c r="V94" t="s">
        <v>107</v>
      </c>
    </row>
    <row r="95" spans="1:22" x14ac:dyDescent="0.35">
      <c r="A95" s="1">
        <v>45412</v>
      </c>
      <c r="B95" t="s">
        <v>154</v>
      </c>
      <c r="C95" s="2">
        <v>0.85101851851851851</v>
      </c>
      <c r="D95" t="s">
        <v>358</v>
      </c>
      <c r="E95" t="s">
        <v>41</v>
      </c>
      <c r="F95" t="s">
        <v>359</v>
      </c>
      <c r="G95" t="s">
        <v>67</v>
      </c>
      <c r="H95" t="s">
        <v>69</v>
      </c>
      <c r="I95" t="s">
        <v>360</v>
      </c>
      <c r="J95">
        <v>4.5999999999999996</v>
      </c>
      <c r="K95">
        <v>38.9</v>
      </c>
      <c r="L95" t="s">
        <v>29</v>
      </c>
      <c r="M95" t="s">
        <v>29</v>
      </c>
      <c r="N95" t="s">
        <v>29</v>
      </c>
      <c r="O95" t="s">
        <v>29</v>
      </c>
      <c r="P95" t="s">
        <v>29</v>
      </c>
      <c r="Q95" t="s">
        <v>29</v>
      </c>
      <c r="R95">
        <v>214</v>
      </c>
      <c r="S95">
        <v>2.91</v>
      </c>
      <c r="T95">
        <v>4.0999999999999996</v>
      </c>
      <c r="U95">
        <v>4.7</v>
      </c>
      <c r="V95" t="s">
        <v>38</v>
      </c>
    </row>
    <row r="96" spans="1:22" x14ac:dyDescent="0.35">
      <c r="A96" s="1">
        <v>45447</v>
      </c>
      <c r="B96" t="s">
        <v>64</v>
      </c>
      <c r="C96" s="2">
        <v>0.85980324074074077</v>
      </c>
      <c r="D96" t="s">
        <v>361</v>
      </c>
      <c r="E96" t="s">
        <v>41</v>
      </c>
      <c r="F96" t="s">
        <v>362</v>
      </c>
      <c r="G96" t="s">
        <v>67</v>
      </c>
      <c r="H96" t="s">
        <v>267</v>
      </c>
      <c r="I96" t="s">
        <v>72</v>
      </c>
      <c r="J96">
        <v>10.3</v>
      </c>
      <c r="K96">
        <v>16.399999999999999</v>
      </c>
      <c r="L96" t="s">
        <v>29</v>
      </c>
      <c r="M96" t="s">
        <v>29</v>
      </c>
      <c r="N96" t="s">
        <v>29</v>
      </c>
      <c r="O96" t="s">
        <v>29</v>
      </c>
      <c r="P96" t="s">
        <v>29</v>
      </c>
      <c r="Q96" t="s">
        <v>29</v>
      </c>
      <c r="R96">
        <v>835</v>
      </c>
      <c r="S96">
        <v>37.57</v>
      </c>
      <c r="T96">
        <v>4.2</v>
      </c>
      <c r="U96">
        <v>4.8</v>
      </c>
      <c r="V96" t="s">
        <v>38</v>
      </c>
    </row>
    <row r="97" spans="1:22" x14ac:dyDescent="0.35">
      <c r="A97" s="1">
        <v>45595</v>
      </c>
      <c r="B97" t="s">
        <v>47</v>
      </c>
      <c r="C97" s="2">
        <v>0.68722222222222218</v>
      </c>
      <c r="D97" t="s">
        <v>363</v>
      </c>
      <c r="E97" t="s">
        <v>93</v>
      </c>
      <c r="F97" t="s">
        <v>364</v>
      </c>
      <c r="G97" t="s">
        <v>26</v>
      </c>
      <c r="H97" t="s">
        <v>365</v>
      </c>
      <c r="I97" t="s">
        <v>366</v>
      </c>
      <c r="J97">
        <v>6</v>
      </c>
      <c r="K97" t="s">
        <v>29</v>
      </c>
      <c r="L97" t="s">
        <v>29</v>
      </c>
      <c r="M97" t="s">
        <v>29</v>
      </c>
      <c r="N97">
        <v>1</v>
      </c>
      <c r="O97" t="s">
        <v>169</v>
      </c>
      <c r="P97" t="s">
        <v>29</v>
      </c>
      <c r="Q97" t="s">
        <v>29</v>
      </c>
      <c r="R97" t="s">
        <v>29</v>
      </c>
      <c r="S97" t="s">
        <v>29</v>
      </c>
      <c r="T97" t="s">
        <v>29</v>
      </c>
      <c r="U97" t="s">
        <v>29</v>
      </c>
      <c r="V97" t="s">
        <v>29</v>
      </c>
    </row>
    <row r="98" spans="1:22" x14ac:dyDescent="0.35">
      <c r="A98" s="1">
        <v>45515</v>
      </c>
      <c r="B98" t="s">
        <v>39</v>
      </c>
      <c r="C98" s="2">
        <v>0.76495370370370375</v>
      </c>
      <c r="D98" t="s">
        <v>367</v>
      </c>
      <c r="E98" t="s">
        <v>41</v>
      </c>
      <c r="F98" t="s">
        <v>368</v>
      </c>
      <c r="G98" t="s">
        <v>34</v>
      </c>
      <c r="H98" t="s">
        <v>137</v>
      </c>
      <c r="I98" t="s">
        <v>369</v>
      </c>
      <c r="J98">
        <v>2.6</v>
      </c>
      <c r="K98">
        <v>36.200000000000003</v>
      </c>
      <c r="L98" t="s">
        <v>29</v>
      </c>
      <c r="M98" t="s">
        <v>29</v>
      </c>
      <c r="N98" t="s">
        <v>29</v>
      </c>
      <c r="O98" t="s">
        <v>29</v>
      </c>
      <c r="P98" t="s">
        <v>29</v>
      </c>
      <c r="Q98" t="s">
        <v>29</v>
      </c>
      <c r="R98">
        <v>705</v>
      </c>
      <c r="S98">
        <v>40.18</v>
      </c>
      <c r="T98">
        <v>3.9</v>
      </c>
      <c r="U98">
        <v>4.8</v>
      </c>
      <c r="V98" t="s">
        <v>38</v>
      </c>
    </row>
    <row r="99" spans="1:22" x14ac:dyDescent="0.35">
      <c r="A99" s="1">
        <v>45433</v>
      </c>
      <c r="B99" t="s">
        <v>122</v>
      </c>
      <c r="C99" s="2">
        <v>0.73608796296296297</v>
      </c>
      <c r="D99" t="s">
        <v>370</v>
      </c>
      <c r="E99" t="s">
        <v>24</v>
      </c>
      <c r="F99" t="s">
        <v>371</v>
      </c>
      <c r="G99" t="s">
        <v>146</v>
      </c>
      <c r="H99" t="s">
        <v>102</v>
      </c>
      <c r="I99" t="s">
        <v>176</v>
      </c>
      <c r="J99" t="s">
        <v>29</v>
      </c>
      <c r="K99" t="s">
        <v>29</v>
      </c>
      <c r="L99" t="s">
        <v>29</v>
      </c>
      <c r="M99" t="s">
        <v>29</v>
      </c>
      <c r="N99" t="s">
        <v>29</v>
      </c>
      <c r="O99" t="s">
        <v>29</v>
      </c>
      <c r="P99" t="s">
        <v>29</v>
      </c>
      <c r="Q99" t="s">
        <v>29</v>
      </c>
      <c r="R99" t="s">
        <v>29</v>
      </c>
      <c r="S99" t="s">
        <v>29</v>
      </c>
      <c r="T99" t="s">
        <v>29</v>
      </c>
      <c r="U99" t="s">
        <v>29</v>
      </c>
      <c r="V99" t="s">
        <v>29</v>
      </c>
    </row>
    <row r="100" spans="1:22" x14ac:dyDescent="0.35">
      <c r="A100" s="1">
        <v>45573</v>
      </c>
      <c r="B100" t="s">
        <v>47</v>
      </c>
      <c r="C100" s="2">
        <v>0.37010416666666668</v>
      </c>
      <c r="D100" t="s">
        <v>372</v>
      </c>
      <c r="E100" t="s">
        <v>41</v>
      </c>
      <c r="F100" t="s">
        <v>373</v>
      </c>
      <c r="G100" t="s">
        <v>34</v>
      </c>
      <c r="H100" t="s">
        <v>374</v>
      </c>
      <c r="I100" t="s">
        <v>58</v>
      </c>
      <c r="J100">
        <v>2.1</v>
      </c>
      <c r="K100">
        <v>35.5</v>
      </c>
      <c r="L100" t="s">
        <v>29</v>
      </c>
      <c r="M100" t="s">
        <v>29</v>
      </c>
      <c r="N100" t="s">
        <v>29</v>
      </c>
      <c r="O100" t="s">
        <v>29</v>
      </c>
      <c r="P100" t="s">
        <v>29</v>
      </c>
      <c r="Q100" t="s">
        <v>29</v>
      </c>
      <c r="R100">
        <v>480</v>
      </c>
      <c r="S100">
        <v>20.22</v>
      </c>
      <c r="T100">
        <v>4.3</v>
      </c>
      <c r="U100">
        <v>4.8</v>
      </c>
      <c r="V100" t="s">
        <v>46</v>
      </c>
    </row>
    <row r="101" spans="1:22" x14ac:dyDescent="0.35">
      <c r="A101" s="1">
        <v>45377</v>
      </c>
      <c r="B101" t="s">
        <v>22</v>
      </c>
      <c r="C101" s="2">
        <v>0.7915740740740741</v>
      </c>
      <c r="D101" t="s">
        <v>375</v>
      </c>
      <c r="E101" t="s">
        <v>117</v>
      </c>
      <c r="F101" t="s">
        <v>376</v>
      </c>
      <c r="G101" t="s">
        <v>50</v>
      </c>
      <c r="H101" t="s">
        <v>365</v>
      </c>
      <c r="I101" t="s">
        <v>377</v>
      </c>
      <c r="J101">
        <v>14.4</v>
      </c>
      <c r="K101" t="s">
        <v>29</v>
      </c>
      <c r="L101">
        <v>1</v>
      </c>
      <c r="M101" t="s">
        <v>378</v>
      </c>
      <c r="N101" t="s">
        <v>29</v>
      </c>
      <c r="O101" t="s">
        <v>29</v>
      </c>
      <c r="P101" t="s">
        <v>29</v>
      </c>
      <c r="Q101" t="s">
        <v>29</v>
      </c>
      <c r="R101" t="s">
        <v>29</v>
      </c>
      <c r="S101" t="s">
        <v>29</v>
      </c>
      <c r="T101" t="s">
        <v>29</v>
      </c>
      <c r="U101" t="s">
        <v>29</v>
      </c>
      <c r="V101" t="s">
        <v>29</v>
      </c>
    </row>
    <row r="102" spans="1:22" x14ac:dyDescent="0.35">
      <c r="A102" s="1">
        <v>45467</v>
      </c>
      <c r="B102" t="s">
        <v>64</v>
      </c>
      <c r="C102" s="2">
        <v>0.75322916666666662</v>
      </c>
      <c r="D102" t="s">
        <v>379</v>
      </c>
      <c r="E102" t="s">
        <v>41</v>
      </c>
      <c r="F102" t="s">
        <v>380</v>
      </c>
      <c r="G102" t="s">
        <v>67</v>
      </c>
      <c r="H102" t="s">
        <v>73</v>
      </c>
      <c r="I102" t="s">
        <v>140</v>
      </c>
      <c r="J102">
        <v>7.5</v>
      </c>
      <c r="K102">
        <v>41.7</v>
      </c>
      <c r="L102" t="s">
        <v>29</v>
      </c>
      <c r="M102" t="s">
        <v>29</v>
      </c>
      <c r="N102" t="s">
        <v>29</v>
      </c>
      <c r="O102" t="s">
        <v>29</v>
      </c>
      <c r="P102" t="s">
        <v>29</v>
      </c>
      <c r="Q102" t="s">
        <v>29</v>
      </c>
      <c r="R102">
        <v>707</v>
      </c>
      <c r="S102">
        <v>44.76</v>
      </c>
      <c r="T102">
        <v>4.8</v>
      </c>
      <c r="U102">
        <v>4.4000000000000004</v>
      </c>
      <c r="V102" t="s">
        <v>38</v>
      </c>
    </row>
    <row r="103" spans="1:22" x14ac:dyDescent="0.35">
      <c r="A103" s="1">
        <v>45379</v>
      </c>
      <c r="B103" t="s">
        <v>22</v>
      </c>
      <c r="C103" s="2">
        <v>0.80556712962962962</v>
      </c>
      <c r="D103" t="s">
        <v>381</v>
      </c>
      <c r="E103" t="s">
        <v>93</v>
      </c>
      <c r="F103" t="s">
        <v>382</v>
      </c>
      <c r="G103" t="s">
        <v>56</v>
      </c>
      <c r="H103" t="s">
        <v>28</v>
      </c>
      <c r="I103" t="s">
        <v>383</v>
      </c>
      <c r="J103">
        <v>9.9</v>
      </c>
      <c r="K103" t="s">
        <v>29</v>
      </c>
      <c r="L103" t="s">
        <v>29</v>
      </c>
      <c r="M103" t="s">
        <v>29</v>
      </c>
      <c r="N103">
        <v>1</v>
      </c>
      <c r="O103" t="s">
        <v>97</v>
      </c>
      <c r="P103" t="s">
        <v>29</v>
      </c>
      <c r="Q103" t="s">
        <v>29</v>
      </c>
      <c r="R103" t="s">
        <v>29</v>
      </c>
      <c r="S103" t="s">
        <v>29</v>
      </c>
      <c r="T103" t="s">
        <v>29</v>
      </c>
      <c r="U103" t="s">
        <v>29</v>
      </c>
      <c r="V103" t="s">
        <v>29</v>
      </c>
    </row>
    <row r="104" spans="1:22" x14ac:dyDescent="0.35">
      <c r="A104" s="1">
        <v>45562</v>
      </c>
      <c r="B104" t="s">
        <v>53</v>
      </c>
      <c r="C104" s="2">
        <v>0.84505787037037039</v>
      </c>
      <c r="D104" t="s">
        <v>384</v>
      </c>
      <c r="E104" t="s">
        <v>41</v>
      </c>
      <c r="F104" t="s">
        <v>385</v>
      </c>
      <c r="G104" t="s">
        <v>26</v>
      </c>
      <c r="H104" t="s">
        <v>386</v>
      </c>
      <c r="I104" t="s">
        <v>132</v>
      </c>
      <c r="J104">
        <v>10</v>
      </c>
      <c r="K104">
        <v>38</v>
      </c>
      <c r="L104" t="s">
        <v>29</v>
      </c>
      <c r="M104" t="s">
        <v>29</v>
      </c>
      <c r="N104" t="s">
        <v>29</v>
      </c>
      <c r="O104" t="s">
        <v>29</v>
      </c>
      <c r="P104" t="s">
        <v>29</v>
      </c>
      <c r="Q104" t="s">
        <v>29</v>
      </c>
      <c r="R104">
        <v>865</v>
      </c>
      <c r="S104">
        <v>43.34</v>
      </c>
      <c r="T104">
        <v>3.2</v>
      </c>
      <c r="U104">
        <v>3.8</v>
      </c>
      <c r="V104" t="s">
        <v>84</v>
      </c>
    </row>
    <row r="105" spans="1:22" x14ac:dyDescent="0.35">
      <c r="A105" s="1">
        <v>45408</v>
      </c>
      <c r="B105" t="s">
        <v>154</v>
      </c>
      <c r="C105" s="2">
        <v>0.65684027777777776</v>
      </c>
      <c r="D105" t="s">
        <v>387</v>
      </c>
      <c r="E105" t="s">
        <v>41</v>
      </c>
      <c r="F105" t="s">
        <v>388</v>
      </c>
      <c r="G105" t="s">
        <v>56</v>
      </c>
      <c r="H105" t="s">
        <v>72</v>
      </c>
      <c r="I105" t="s">
        <v>355</v>
      </c>
      <c r="J105">
        <v>10.8</v>
      </c>
      <c r="K105">
        <v>40</v>
      </c>
      <c r="L105" t="s">
        <v>29</v>
      </c>
      <c r="M105" t="s">
        <v>29</v>
      </c>
      <c r="N105" t="s">
        <v>29</v>
      </c>
      <c r="O105" t="s">
        <v>29</v>
      </c>
      <c r="P105" t="s">
        <v>29</v>
      </c>
      <c r="Q105" t="s">
        <v>29</v>
      </c>
      <c r="R105">
        <v>768</v>
      </c>
      <c r="S105">
        <v>5.97</v>
      </c>
      <c r="T105">
        <v>4.3</v>
      </c>
      <c r="U105">
        <v>4.8</v>
      </c>
      <c r="V105" t="s">
        <v>84</v>
      </c>
    </row>
    <row r="106" spans="1:22" x14ac:dyDescent="0.35">
      <c r="A106" s="1">
        <v>45431</v>
      </c>
      <c r="B106" t="s">
        <v>122</v>
      </c>
      <c r="C106" s="2">
        <v>0.78282407407407406</v>
      </c>
      <c r="D106" t="s">
        <v>389</v>
      </c>
      <c r="E106" t="s">
        <v>41</v>
      </c>
      <c r="F106" t="s">
        <v>390</v>
      </c>
      <c r="G106" t="s">
        <v>56</v>
      </c>
      <c r="H106" t="s">
        <v>391</v>
      </c>
      <c r="I106" t="s">
        <v>270</v>
      </c>
      <c r="J106">
        <v>7</v>
      </c>
      <c r="K106">
        <v>37</v>
      </c>
      <c r="L106" t="s">
        <v>29</v>
      </c>
      <c r="M106" t="s">
        <v>29</v>
      </c>
      <c r="N106" t="s">
        <v>29</v>
      </c>
      <c r="O106" t="s">
        <v>29</v>
      </c>
      <c r="P106" t="s">
        <v>29</v>
      </c>
      <c r="Q106" t="s">
        <v>29</v>
      </c>
      <c r="R106">
        <v>626</v>
      </c>
      <c r="S106">
        <v>27.96</v>
      </c>
      <c r="T106">
        <v>3.9</v>
      </c>
      <c r="U106">
        <v>4.3</v>
      </c>
      <c r="V106" t="s">
        <v>107</v>
      </c>
    </row>
    <row r="107" spans="1:22" x14ac:dyDescent="0.35">
      <c r="A107" s="1">
        <v>45448</v>
      </c>
      <c r="B107" t="s">
        <v>64</v>
      </c>
      <c r="C107" s="2">
        <v>0.46958333333333335</v>
      </c>
      <c r="D107" t="s">
        <v>392</v>
      </c>
      <c r="E107" t="s">
        <v>41</v>
      </c>
      <c r="F107" t="s">
        <v>393</v>
      </c>
      <c r="G107" t="s">
        <v>67</v>
      </c>
      <c r="H107" t="s">
        <v>194</v>
      </c>
      <c r="I107" t="s">
        <v>323</v>
      </c>
      <c r="J107">
        <v>9.1999999999999993</v>
      </c>
      <c r="K107">
        <v>40.4</v>
      </c>
      <c r="L107" t="s">
        <v>29</v>
      </c>
      <c r="M107" t="s">
        <v>29</v>
      </c>
      <c r="N107" t="s">
        <v>29</v>
      </c>
      <c r="O107" t="s">
        <v>29</v>
      </c>
      <c r="P107" t="s">
        <v>29</v>
      </c>
      <c r="Q107" t="s">
        <v>29</v>
      </c>
      <c r="R107">
        <v>443</v>
      </c>
      <c r="S107">
        <v>21.19</v>
      </c>
      <c r="T107">
        <v>4.2</v>
      </c>
      <c r="U107">
        <v>5</v>
      </c>
      <c r="V107" t="s">
        <v>38</v>
      </c>
    </row>
    <row r="108" spans="1:22" x14ac:dyDescent="0.35">
      <c r="A108" s="1">
        <v>45298</v>
      </c>
      <c r="B108" t="s">
        <v>150</v>
      </c>
      <c r="C108" s="2">
        <v>0.68160879629629634</v>
      </c>
      <c r="D108" t="s">
        <v>394</v>
      </c>
      <c r="E108" t="s">
        <v>117</v>
      </c>
      <c r="F108" t="s">
        <v>395</v>
      </c>
      <c r="G108" t="s">
        <v>43</v>
      </c>
      <c r="H108" t="s">
        <v>374</v>
      </c>
      <c r="I108" t="s">
        <v>239</v>
      </c>
      <c r="J108">
        <v>7.9</v>
      </c>
      <c r="K108" t="s">
        <v>29</v>
      </c>
      <c r="L108">
        <v>1</v>
      </c>
      <c r="M108" t="s">
        <v>224</v>
      </c>
      <c r="N108" t="s">
        <v>29</v>
      </c>
      <c r="O108" t="s">
        <v>29</v>
      </c>
      <c r="P108" t="s">
        <v>29</v>
      </c>
      <c r="Q108" t="s">
        <v>29</v>
      </c>
      <c r="R108" t="s">
        <v>29</v>
      </c>
      <c r="S108" t="s">
        <v>29</v>
      </c>
      <c r="T108" t="s">
        <v>29</v>
      </c>
      <c r="U108" t="s">
        <v>29</v>
      </c>
      <c r="V108" t="s">
        <v>29</v>
      </c>
    </row>
    <row r="109" spans="1:22" x14ac:dyDescent="0.35">
      <c r="A109" s="1">
        <v>45401</v>
      </c>
      <c r="B109" t="s">
        <v>154</v>
      </c>
      <c r="C109" s="2">
        <v>0.59336805555555561</v>
      </c>
      <c r="D109" t="s">
        <v>396</v>
      </c>
      <c r="E109" t="s">
        <v>41</v>
      </c>
      <c r="F109" t="s">
        <v>397</v>
      </c>
      <c r="G109" t="s">
        <v>34</v>
      </c>
      <c r="H109" t="s">
        <v>232</v>
      </c>
      <c r="I109" t="s">
        <v>398</v>
      </c>
      <c r="J109">
        <v>9.9</v>
      </c>
      <c r="K109">
        <v>28.7</v>
      </c>
      <c r="L109" t="s">
        <v>29</v>
      </c>
      <c r="M109" t="s">
        <v>29</v>
      </c>
      <c r="N109" t="s">
        <v>29</v>
      </c>
      <c r="O109" t="s">
        <v>29</v>
      </c>
      <c r="P109" t="s">
        <v>29</v>
      </c>
      <c r="Q109" t="s">
        <v>29</v>
      </c>
      <c r="R109">
        <v>226</v>
      </c>
      <c r="S109">
        <v>47.63</v>
      </c>
      <c r="T109">
        <v>3.6</v>
      </c>
      <c r="U109">
        <v>4.0999999999999996</v>
      </c>
      <c r="V109" t="s">
        <v>38</v>
      </c>
    </row>
    <row r="110" spans="1:22" x14ac:dyDescent="0.35">
      <c r="A110" s="1">
        <v>45382</v>
      </c>
      <c r="B110" t="s">
        <v>22</v>
      </c>
      <c r="C110" s="2">
        <v>0.69093749999999998</v>
      </c>
      <c r="D110" t="s">
        <v>399</v>
      </c>
      <c r="E110" t="s">
        <v>41</v>
      </c>
      <c r="F110" t="s">
        <v>400</v>
      </c>
      <c r="G110" t="s">
        <v>43</v>
      </c>
      <c r="H110" t="s">
        <v>35</v>
      </c>
      <c r="I110" t="s">
        <v>360</v>
      </c>
      <c r="J110">
        <v>12.8</v>
      </c>
      <c r="K110">
        <v>30.6</v>
      </c>
      <c r="L110" t="s">
        <v>29</v>
      </c>
      <c r="M110" t="s">
        <v>29</v>
      </c>
      <c r="N110" t="s">
        <v>29</v>
      </c>
      <c r="O110" t="s">
        <v>29</v>
      </c>
      <c r="P110" t="s">
        <v>29</v>
      </c>
      <c r="Q110" t="s">
        <v>29</v>
      </c>
      <c r="R110">
        <v>449</v>
      </c>
      <c r="S110">
        <v>24.4</v>
      </c>
      <c r="T110">
        <v>3.3</v>
      </c>
      <c r="U110">
        <v>4.0999999999999996</v>
      </c>
      <c r="V110" t="s">
        <v>38</v>
      </c>
    </row>
    <row r="111" spans="1:22" x14ac:dyDescent="0.35">
      <c r="A111" s="1">
        <v>45377</v>
      </c>
      <c r="B111" t="s">
        <v>22</v>
      </c>
      <c r="C111" s="2">
        <v>0.80075231481481479</v>
      </c>
      <c r="D111" t="s">
        <v>401</v>
      </c>
      <c r="E111" t="s">
        <v>41</v>
      </c>
      <c r="F111" t="s">
        <v>402</v>
      </c>
      <c r="G111" t="s">
        <v>67</v>
      </c>
      <c r="H111" t="s">
        <v>114</v>
      </c>
      <c r="I111" t="s">
        <v>161</v>
      </c>
      <c r="J111">
        <v>5.9</v>
      </c>
      <c r="K111">
        <v>21.1</v>
      </c>
      <c r="L111" t="s">
        <v>29</v>
      </c>
      <c r="M111" t="s">
        <v>29</v>
      </c>
      <c r="N111" t="s">
        <v>29</v>
      </c>
      <c r="O111" t="s">
        <v>29</v>
      </c>
      <c r="P111" t="s">
        <v>29</v>
      </c>
      <c r="Q111" t="s">
        <v>29</v>
      </c>
      <c r="R111">
        <v>778</v>
      </c>
      <c r="S111">
        <v>7.49</v>
      </c>
      <c r="T111">
        <v>4.3</v>
      </c>
      <c r="U111">
        <v>4.9000000000000004</v>
      </c>
      <c r="V111" t="s">
        <v>38</v>
      </c>
    </row>
    <row r="112" spans="1:22" x14ac:dyDescent="0.35">
      <c r="A112" s="1">
        <v>45453</v>
      </c>
      <c r="B112" t="s">
        <v>64</v>
      </c>
      <c r="C112" s="2">
        <v>0.64225694444444448</v>
      </c>
      <c r="D112" t="s">
        <v>403</v>
      </c>
      <c r="E112" t="s">
        <v>41</v>
      </c>
      <c r="F112" t="s">
        <v>404</v>
      </c>
      <c r="G112" t="s">
        <v>56</v>
      </c>
      <c r="H112" t="s">
        <v>391</v>
      </c>
      <c r="I112" t="s">
        <v>270</v>
      </c>
      <c r="J112">
        <v>14.7</v>
      </c>
      <c r="K112">
        <v>18.8</v>
      </c>
      <c r="L112" t="s">
        <v>29</v>
      </c>
      <c r="M112" t="s">
        <v>29</v>
      </c>
      <c r="N112" t="s">
        <v>29</v>
      </c>
      <c r="O112" t="s">
        <v>29</v>
      </c>
      <c r="P112" t="s">
        <v>29</v>
      </c>
      <c r="Q112" t="s">
        <v>29</v>
      </c>
      <c r="R112">
        <v>361</v>
      </c>
      <c r="S112">
        <v>24.44</v>
      </c>
      <c r="T112">
        <v>4.3</v>
      </c>
      <c r="U112">
        <v>4.8</v>
      </c>
      <c r="V112" t="s">
        <v>38</v>
      </c>
    </row>
    <row r="113" spans="1:22" x14ac:dyDescent="0.35">
      <c r="A113" s="1">
        <v>45520</v>
      </c>
      <c r="B113" t="s">
        <v>39</v>
      </c>
      <c r="C113" s="2">
        <v>0.71202546296296299</v>
      </c>
      <c r="D113" t="s">
        <v>405</v>
      </c>
      <c r="E113" t="s">
        <v>41</v>
      </c>
      <c r="F113" t="s">
        <v>406</v>
      </c>
      <c r="G113" t="s">
        <v>43</v>
      </c>
      <c r="H113" t="s">
        <v>407</v>
      </c>
      <c r="I113" t="s">
        <v>183</v>
      </c>
      <c r="J113">
        <v>3.5</v>
      </c>
      <c r="K113">
        <v>30.4</v>
      </c>
      <c r="L113" t="s">
        <v>29</v>
      </c>
      <c r="M113" t="s">
        <v>29</v>
      </c>
      <c r="N113" t="s">
        <v>29</v>
      </c>
      <c r="O113" t="s">
        <v>29</v>
      </c>
      <c r="P113" t="s">
        <v>29</v>
      </c>
      <c r="Q113" t="s">
        <v>29</v>
      </c>
      <c r="R113">
        <v>235</v>
      </c>
      <c r="S113">
        <v>9.1999999999999993</v>
      </c>
      <c r="T113">
        <v>4.3</v>
      </c>
      <c r="U113">
        <v>3.9</v>
      </c>
      <c r="V113" t="s">
        <v>38</v>
      </c>
    </row>
    <row r="114" spans="1:22" x14ac:dyDescent="0.35">
      <c r="A114" s="1">
        <v>45326</v>
      </c>
      <c r="B114" t="s">
        <v>59</v>
      </c>
      <c r="C114" s="2">
        <v>0.64740740740740743</v>
      </c>
      <c r="D114" t="s">
        <v>408</v>
      </c>
      <c r="E114" t="s">
        <v>41</v>
      </c>
      <c r="F114" t="s">
        <v>409</v>
      </c>
      <c r="G114" t="s">
        <v>34</v>
      </c>
      <c r="H114" t="s">
        <v>81</v>
      </c>
      <c r="I114" t="s">
        <v>133</v>
      </c>
      <c r="J114">
        <v>8.6</v>
      </c>
      <c r="K114">
        <v>15.9</v>
      </c>
      <c r="L114" t="s">
        <v>29</v>
      </c>
      <c r="M114" t="s">
        <v>29</v>
      </c>
      <c r="N114" t="s">
        <v>29</v>
      </c>
      <c r="O114" t="s">
        <v>29</v>
      </c>
      <c r="P114" t="s">
        <v>29</v>
      </c>
      <c r="Q114" t="s">
        <v>29</v>
      </c>
      <c r="R114">
        <v>186</v>
      </c>
      <c r="S114">
        <v>28.09</v>
      </c>
      <c r="T114">
        <v>4.2</v>
      </c>
      <c r="U114">
        <v>4.4000000000000004</v>
      </c>
      <c r="V114" t="s">
        <v>84</v>
      </c>
    </row>
    <row r="115" spans="1:22" x14ac:dyDescent="0.35">
      <c r="A115" s="1">
        <v>45467</v>
      </c>
      <c r="B115" t="s">
        <v>64</v>
      </c>
      <c r="C115" s="2">
        <v>0.78233796296296299</v>
      </c>
      <c r="D115" t="s">
        <v>410</v>
      </c>
      <c r="E115" t="s">
        <v>32</v>
      </c>
      <c r="F115" t="s">
        <v>411</v>
      </c>
      <c r="G115" t="s">
        <v>146</v>
      </c>
      <c r="H115" t="s">
        <v>96</v>
      </c>
      <c r="I115" t="s">
        <v>412</v>
      </c>
      <c r="J115">
        <v>3.2</v>
      </c>
      <c r="K115">
        <v>21.9</v>
      </c>
      <c r="L115" t="s">
        <v>29</v>
      </c>
      <c r="M115" t="s">
        <v>29</v>
      </c>
      <c r="N115" t="s">
        <v>29</v>
      </c>
      <c r="O115" t="s">
        <v>29</v>
      </c>
      <c r="P115">
        <v>1</v>
      </c>
      <c r="Q115" t="s">
        <v>83</v>
      </c>
      <c r="R115">
        <v>544</v>
      </c>
      <c r="S115">
        <v>3.37</v>
      </c>
      <c r="T115" t="s">
        <v>29</v>
      </c>
      <c r="U115" t="s">
        <v>29</v>
      </c>
      <c r="V115" t="s">
        <v>84</v>
      </c>
    </row>
    <row r="116" spans="1:22" x14ac:dyDescent="0.35">
      <c r="A116" s="1">
        <v>45374</v>
      </c>
      <c r="B116" t="s">
        <v>22</v>
      </c>
      <c r="C116" s="2">
        <v>0.48006944444444444</v>
      </c>
      <c r="D116" t="s">
        <v>413</v>
      </c>
      <c r="E116" t="s">
        <v>24</v>
      </c>
      <c r="F116" t="s">
        <v>414</v>
      </c>
      <c r="G116" t="s">
        <v>56</v>
      </c>
      <c r="H116" t="s">
        <v>333</v>
      </c>
      <c r="I116" t="s">
        <v>227</v>
      </c>
      <c r="J116" t="s">
        <v>29</v>
      </c>
      <c r="K116" t="s">
        <v>29</v>
      </c>
      <c r="L116" t="s">
        <v>29</v>
      </c>
      <c r="M116" t="s">
        <v>29</v>
      </c>
      <c r="N116" t="s">
        <v>29</v>
      </c>
      <c r="O116" t="s">
        <v>29</v>
      </c>
      <c r="P116" t="s">
        <v>29</v>
      </c>
      <c r="Q116" t="s">
        <v>29</v>
      </c>
      <c r="R116" t="s">
        <v>29</v>
      </c>
      <c r="S116" t="s">
        <v>29</v>
      </c>
      <c r="T116" t="s">
        <v>29</v>
      </c>
      <c r="U116" t="s">
        <v>29</v>
      </c>
      <c r="V116" t="s">
        <v>29</v>
      </c>
    </row>
    <row r="117" spans="1:22" x14ac:dyDescent="0.35">
      <c r="A117" s="1">
        <v>45494</v>
      </c>
      <c r="B117" t="s">
        <v>108</v>
      </c>
      <c r="C117" s="2">
        <v>0.44791666666666669</v>
      </c>
      <c r="D117" t="s">
        <v>415</v>
      </c>
      <c r="E117" t="s">
        <v>117</v>
      </c>
      <c r="F117" t="s">
        <v>416</v>
      </c>
      <c r="G117" t="s">
        <v>67</v>
      </c>
      <c r="H117" t="s">
        <v>239</v>
      </c>
      <c r="I117" t="s">
        <v>417</v>
      </c>
      <c r="J117">
        <v>13.1</v>
      </c>
      <c r="K117" t="s">
        <v>29</v>
      </c>
      <c r="L117">
        <v>1</v>
      </c>
      <c r="M117" t="s">
        <v>224</v>
      </c>
      <c r="N117" t="s">
        <v>29</v>
      </c>
      <c r="O117" t="s">
        <v>29</v>
      </c>
      <c r="P117" t="s">
        <v>29</v>
      </c>
      <c r="Q117" t="s">
        <v>29</v>
      </c>
      <c r="R117" t="s">
        <v>29</v>
      </c>
      <c r="S117" t="s">
        <v>29</v>
      </c>
      <c r="T117" t="s">
        <v>29</v>
      </c>
      <c r="U117" t="s">
        <v>29</v>
      </c>
      <c r="V117" t="s">
        <v>29</v>
      </c>
    </row>
    <row r="118" spans="1:22" x14ac:dyDescent="0.35">
      <c r="A118" s="1">
        <v>45557</v>
      </c>
      <c r="B118" t="s">
        <v>53</v>
      </c>
      <c r="C118" s="2">
        <v>0.2775347222222222</v>
      </c>
      <c r="D118" t="s">
        <v>418</v>
      </c>
      <c r="E118" t="s">
        <v>117</v>
      </c>
      <c r="F118" t="s">
        <v>419</v>
      </c>
      <c r="G118" t="s">
        <v>43</v>
      </c>
      <c r="H118" t="s">
        <v>227</v>
      </c>
      <c r="I118" t="s">
        <v>167</v>
      </c>
      <c r="J118">
        <v>8.1</v>
      </c>
      <c r="K118" t="s">
        <v>29</v>
      </c>
      <c r="L118">
        <v>1</v>
      </c>
      <c r="M118" t="s">
        <v>420</v>
      </c>
      <c r="N118" t="s">
        <v>29</v>
      </c>
      <c r="O118" t="s">
        <v>29</v>
      </c>
      <c r="P118" t="s">
        <v>29</v>
      </c>
      <c r="Q118" t="s">
        <v>29</v>
      </c>
      <c r="R118" t="s">
        <v>29</v>
      </c>
      <c r="S118" t="s">
        <v>29</v>
      </c>
      <c r="T118" t="s">
        <v>29</v>
      </c>
      <c r="U118" t="s">
        <v>29</v>
      </c>
      <c r="V118" t="s">
        <v>29</v>
      </c>
    </row>
    <row r="119" spans="1:22" x14ac:dyDescent="0.35">
      <c r="A119" s="1">
        <v>45438</v>
      </c>
      <c r="B119" t="s">
        <v>122</v>
      </c>
      <c r="C119" s="2">
        <v>0.94172453703703707</v>
      </c>
      <c r="D119" t="s">
        <v>421</v>
      </c>
      <c r="E119" t="s">
        <v>41</v>
      </c>
      <c r="F119" t="s">
        <v>422</v>
      </c>
      <c r="G119" t="s">
        <v>56</v>
      </c>
      <c r="H119" t="s">
        <v>164</v>
      </c>
      <c r="I119" t="s">
        <v>114</v>
      </c>
      <c r="J119">
        <v>7.7</v>
      </c>
      <c r="K119">
        <v>25</v>
      </c>
      <c r="L119" t="s">
        <v>29</v>
      </c>
      <c r="M119" t="s">
        <v>29</v>
      </c>
      <c r="N119" t="s">
        <v>29</v>
      </c>
      <c r="O119" t="s">
        <v>29</v>
      </c>
      <c r="P119" t="s">
        <v>29</v>
      </c>
      <c r="Q119" t="s">
        <v>29</v>
      </c>
      <c r="R119">
        <v>86</v>
      </c>
      <c r="S119">
        <v>40.1</v>
      </c>
      <c r="T119">
        <v>3.6</v>
      </c>
      <c r="U119">
        <v>4.4000000000000004</v>
      </c>
      <c r="V119" t="s">
        <v>84</v>
      </c>
    </row>
    <row r="120" spans="1:22" x14ac:dyDescent="0.35">
      <c r="A120" s="1">
        <v>45381</v>
      </c>
      <c r="B120" t="s">
        <v>22</v>
      </c>
      <c r="C120" s="2">
        <v>0.58008101851851857</v>
      </c>
      <c r="D120" t="s">
        <v>423</v>
      </c>
      <c r="E120" t="s">
        <v>93</v>
      </c>
      <c r="F120" t="s">
        <v>424</v>
      </c>
      <c r="G120" t="s">
        <v>43</v>
      </c>
      <c r="H120" t="s">
        <v>425</v>
      </c>
      <c r="I120" t="s">
        <v>51</v>
      </c>
      <c r="J120">
        <v>8.1</v>
      </c>
      <c r="K120" t="s">
        <v>29</v>
      </c>
      <c r="L120" t="s">
        <v>29</v>
      </c>
      <c r="M120" t="s">
        <v>29</v>
      </c>
      <c r="N120">
        <v>1</v>
      </c>
      <c r="O120" t="s">
        <v>97</v>
      </c>
      <c r="P120" t="s">
        <v>29</v>
      </c>
      <c r="Q120" t="s">
        <v>29</v>
      </c>
      <c r="R120" t="s">
        <v>29</v>
      </c>
      <c r="S120" t="s">
        <v>29</v>
      </c>
      <c r="T120" t="s">
        <v>29</v>
      </c>
      <c r="U120" t="s">
        <v>29</v>
      </c>
      <c r="V120" t="s">
        <v>29</v>
      </c>
    </row>
    <row r="121" spans="1:22" x14ac:dyDescent="0.35">
      <c r="A121" s="1">
        <v>45554</v>
      </c>
      <c r="B121" t="s">
        <v>53</v>
      </c>
      <c r="C121" s="2">
        <v>0.36623842592592593</v>
      </c>
      <c r="D121" t="s">
        <v>426</v>
      </c>
      <c r="E121" t="s">
        <v>24</v>
      </c>
      <c r="F121" t="s">
        <v>427</v>
      </c>
      <c r="G121" t="s">
        <v>67</v>
      </c>
      <c r="H121" t="s">
        <v>168</v>
      </c>
      <c r="I121" t="s">
        <v>238</v>
      </c>
      <c r="J121" t="s">
        <v>29</v>
      </c>
      <c r="K121" t="s">
        <v>29</v>
      </c>
      <c r="L121" t="s">
        <v>29</v>
      </c>
      <c r="M121" t="s">
        <v>29</v>
      </c>
      <c r="N121" t="s">
        <v>29</v>
      </c>
      <c r="O121" t="s">
        <v>29</v>
      </c>
      <c r="P121" t="s">
        <v>29</v>
      </c>
      <c r="Q121" t="s">
        <v>29</v>
      </c>
      <c r="R121" t="s">
        <v>29</v>
      </c>
      <c r="S121" t="s">
        <v>29</v>
      </c>
      <c r="T121" t="s">
        <v>29</v>
      </c>
      <c r="U121" t="s">
        <v>29</v>
      </c>
      <c r="V121" t="s">
        <v>29</v>
      </c>
    </row>
    <row r="122" spans="1:22" x14ac:dyDescent="0.35">
      <c r="A122" s="1">
        <v>45652</v>
      </c>
      <c r="B122" t="s">
        <v>78</v>
      </c>
      <c r="C122" s="2">
        <v>0.67842592592592588</v>
      </c>
      <c r="D122" t="s">
        <v>428</v>
      </c>
      <c r="E122" t="s">
        <v>41</v>
      </c>
      <c r="F122" t="s">
        <v>429</v>
      </c>
      <c r="G122" t="s">
        <v>50</v>
      </c>
      <c r="H122" t="s">
        <v>45</v>
      </c>
      <c r="I122" t="s">
        <v>430</v>
      </c>
      <c r="J122">
        <v>8.3000000000000007</v>
      </c>
      <c r="K122">
        <v>43.7</v>
      </c>
      <c r="L122" t="s">
        <v>29</v>
      </c>
      <c r="M122" t="s">
        <v>29</v>
      </c>
      <c r="N122" t="s">
        <v>29</v>
      </c>
      <c r="O122" t="s">
        <v>29</v>
      </c>
      <c r="P122" t="s">
        <v>29</v>
      </c>
      <c r="Q122" t="s">
        <v>29</v>
      </c>
      <c r="R122">
        <v>234</v>
      </c>
      <c r="S122">
        <v>42.5</v>
      </c>
      <c r="T122">
        <v>3.7</v>
      </c>
      <c r="U122">
        <v>4.9000000000000004</v>
      </c>
      <c r="V122" t="s">
        <v>84</v>
      </c>
    </row>
    <row r="123" spans="1:22" x14ac:dyDescent="0.35">
      <c r="A123" s="1">
        <v>45471</v>
      </c>
      <c r="B123" t="s">
        <v>64</v>
      </c>
      <c r="C123" s="2">
        <v>0.43228009259259259</v>
      </c>
      <c r="D123" t="s">
        <v>431</v>
      </c>
      <c r="E123" t="s">
        <v>93</v>
      </c>
      <c r="F123" t="s">
        <v>432</v>
      </c>
      <c r="G123" t="s">
        <v>26</v>
      </c>
      <c r="H123" t="s">
        <v>72</v>
      </c>
      <c r="I123" t="s">
        <v>91</v>
      </c>
      <c r="J123">
        <v>11.9</v>
      </c>
      <c r="K123" t="s">
        <v>29</v>
      </c>
      <c r="L123" t="s">
        <v>29</v>
      </c>
      <c r="M123" t="s">
        <v>29</v>
      </c>
      <c r="N123">
        <v>1</v>
      </c>
      <c r="O123" t="s">
        <v>337</v>
      </c>
      <c r="P123" t="s">
        <v>29</v>
      </c>
      <c r="Q123" t="s">
        <v>29</v>
      </c>
      <c r="R123" t="s">
        <v>29</v>
      </c>
      <c r="S123" t="s">
        <v>29</v>
      </c>
      <c r="T123" t="s">
        <v>29</v>
      </c>
      <c r="U123" t="s">
        <v>29</v>
      </c>
      <c r="V123" t="s">
        <v>29</v>
      </c>
    </row>
    <row r="124" spans="1:22" x14ac:dyDescent="0.35">
      <c r="A124" s="1">
        <v>45626</v>
      </c>
      <c r="B124" t="s">
        <v>30</v>
      </c>
      <c r="C124" s="2">
        <v>0.77557870370370374</v>
      </c>
      <c r="D124" t="s">
        <v>433</v>
      </c>
      <c r="E124" t="s">
        <v>41</v>
      </c>
      <c r="F124" t="s">
        <v>434</v>
      </c>
      <c r="G124" t="s">
        <v>34</v>
      </c>
      <c r="H124" t="s">
        <v>68</v>
      </c>
      <c r="I124" t="s">
        <v>435</v>
      </c>
      <c r="J124">
        <v>6</v>
      </c>
      <c r="K124">
        <v>44.4</v>
      </c>
      <c r="L124" t="s">
        <v>29</v>
      </c>
      <c r="M124" t="s">
        <v>29</v>
      </c>
      <c r="N124" t="s">
        <v>29</v>
      </c>
      <c r="O124" t="s">
        <v>29</v>
      </c>
      <c r="P124" t="s">
        <v>29</v>
      </c>
      <c r="Q124" t="s">
        <v>29</v>
      </c>
      <c r="R124">
        <v>758</v>
      </c>
      <c r="S124">
        <v>41.42</v>
      </c>
      <c r="T124">
        <v>4.9000000000000004</v>
      </c>
      <c r="U124">
        <v>3.6</v>
      </c>
      <c r="V124" t="s">
        <v>84</v>
      </c>
    </row>
    <row r="125" spans="1:22" x14ac:dyDescent="0.35">
      <c r="A125" s="1">
        <v>45600</v>
      </c>
      <c r="B125" t="s">
        <v>30</v>
      </c>
      <c r="C125" s="2">
        <v>0.57391203703703708</v>
      </c>
      <c r="D125" t="s">
        <v>436</v>
      </c>
      <c r="E125" t="s">
        <v>32</v>
      </c>
      <c r="F125" t="s">
        <v>437</v>
      </c>
      <c r="G125" t="s">
        <v>43</v>
      </c>
      <c r="H125" t="s">
        <v>407</v>
      </c>
      <c r="I125" t="s">
        <v>438</v>
      </c>
      <c r="J125">
        <v>7.9</v>
      </c>
      <c r="K125">
        <v>16.7</v>
      </c>
      <c r="L125" t="s">
        <v>29</v>
      </c>
      <c r="M125" t="s">
        <v>29</v>
      </c>
      <c r="N125" t="s">
        <v>29</v>
      </c>
      <c r="O125" t="s">
        <v>29</v>
      </c>
      <c r="P125">
        <v>1</v>
      </c>
      <c r="Q125" t="s">
        <v>83</v>
      </c>
      <c r="R125">
        <v>629</v>
      </c>
      <c r="S125">
        <v>17.52</v>
      </c>
      <c r="T125" t="s">
        <v>29</v>
      </c>
      <c r="U125" t="s">
        <v>29</v>
      </c>
      <c r="V125" t="s">
        <v>38</v>
      </c>
    </row>
    <row r="126" spans="1:22" x14ac:dyDescent="0.35">
      <c r="A126" s="1">
        <v>45398</v>
      </c>
      <c r="B126" t="s">
        <v>154</v>
      </c>
      <c r="C126" s="2">
        <v>0.82060185185185186</v>
      </c>
      <c r="D126" t="s">
        <v>439</v>
      </c>
      <c r="E126" t="s">
        <v>41</v>
      </c>
      <c r="F126" t="s">
        <v>440</v>
      </c>
      <c r="G126" t="s">
        <v>43</v>
      </c>
      <c r="H126" t="s">
        <v>441</v>
      </c>
      <c r="I126" t="s">
        <v>442</v>
      </c>
      <c r="J126">
        <v>12.5</v>
      </c>
      <c r="K126">
        <v>26.3</v>
      </c>
      <c r="L126" t="s">
        <v>29</v>
      </c>
      <c r="M126" t="s">
        <v>29</v>
      </c>
      <c r="N126" t="s">
        <v>29</v>
      </c>
      <c r="O126" t="s">
        <v>29</v>
      </c>
      <c r="P126" t="s">
        <v>29</v>
      </c>
      <c r="Q126" t="s">
        <v>29</v>
      </c>
      <c r="R126">
        <v>273</v>
      </c>
      <c r="S126">
        <v>31.69</v>
      </c>
      <c r="T126">
        <v>4.4000000000000004</v>
      </c>
      <c r="U126">
        <v>4.8</v>
      </c>
      <c r="V126" t="s">
        <v>38</v>
      </c>
    </row>
    <row r="127" spans="1:22" x14ac:dyDescent="0.35">
      <c r="A127" s="1">
        <v>45547</v>
      </c>
      <c r="B127" t="s">
        <v>53</v>
      </c>
      <c r="C127" s="2">
        <v>0.24460648148148148</v>
      </c>
      <c r="D127" t="s">
        <v>443</v>
      </c>
      <c r="E127" t="s">
        <v>41</v>
      </c>
      <c r="F127" t="s">
        <v>444</v>
      </c>
      <c r="G127" t="s">
        <v>43</v>
      </c>
      <c r="H127" t="s">
        <v>270</v>
      </c>
      <c r="I127" t="s">
        <v>186</v>
      </c>
      <c r="J127">
        <v>11.1</v>
      </c>
      <c r="K127">
        <v>19.600000000000001</v>
      </c>
      <c r="L127" t="s">
        <v>29</v>
      </c>
      <c r="M127" t="s">
        <v>29</v>
      </c>
      <c r="N127" t="s">
        <v>29</v>
      </c>
      <c r="O127" t="s">
        <v>29</v>
      </c>
      <c r="P127" t="s">
        <v>29</v>
      </c>
      <c r="Q127" t="s">
        <v>29</v>
      </c>
      <c r="R127">
        <v>117</v>
      </c>
      <c r="S127">
        <v>33.74</v>
      </c>
      <c r="T127">
        <v>4.5</v>
      </c>
      <c r="U127">
        <v>3.7</v>
      </c>
      <c r="V127" t="s">
        <v>46</v>
      </c>
    </row>
    <row r="128" spans="1:22" x14ac:dyDescent="0.35">
      <c r="A128" s="1">
        <v>45450</v>
      </c>
      <c r="B128" t="s">
        <v>64</v>
      </c>
      <c r="C128" s="2">
        <v>0.75567129629629626</v>
      </c>
      <c r="D128" t="s">
        <v>445</v>
      </c>
      <c r="E128" t="s">
        <v>41</v>
      </c>
      <c r="F128" t="s">
        <v>446</v>
      </c>
      <c r="G128" t="s">
        <v>34</v>
      </c>
      <c r="H128" t="s">
        <v>58</v>
      </c>
      <c r="I128" t="s">
        <v>51</v>
      </c>
      <c r="J128">
        <v>13.3</v>
      </c>
      <c r="K128">
        <v>15.8</v>
      </c>
      <c r="L128" t="s">
        <v>29</v>
      </c>
      <c r="M128" t="s">
        <v>29</v>
      </c>
      <c r="N128" t="s">
        <v>29</v>
      </c>
      <c r="O128" t="s">
        <v>29</v>
      </c>
      <c r="P128" t="s">
        <v>29</v>
      </c>
      <c r="Q128" t="s">
        <v>29</v>
      </c>
      <c r="R128">
        <v>955</v>
      </c>
      <c r="S128">
        <v>36.82</v>
      </c>
      <c r="T128">
        <v>3.7</v>
      </c>
      <c r="U128">
        <v>3.7</v>
      </c>
      <c r="V128" t="s">
        <v>38</v>
      </c>
    </row>
    <row r="129" spans="1:22" x14ac:dyDescent="0.35">
      <c r="A129" s="1">
        <v>45444</v>
      </c>
      <c r="B129" t="s">
        <v>64</v>
      </c>
      <c r="C129" s="2">
        <v>0.66361111111111115</v>
      </c>
      <c r="D129" t="s">
        <v>447</v>
      </c>
      <c r="E129" t="s">
        <v>41</v>
      </c>
      <c r="F129" t="s">
        <v>448</v>
      </c>
      <c r="G129" t="s">
        <v>34</v>
      </c>
      <c r="H129" t="s">
        <v>449</v>
      </c>
      <c r="I129" t="s">
        <v>106</v>
      </c>
      <c r="J129">
        <v>9.6999999999999993</v>
      </c>
      <c r="K129">
        <v>31.5</v>
      </c>
      <c r="L129" t="s">
        <v>29</v>
      </c>
      <c r="M129" t="s">
        <v>29</v>
      </c>
      <c r="N129" t="s">
        <v>29</v>
      </c>
      <c r="O129" t="s">
        <v>29</v>
      </c>
      <c r="P129" t="s">
        <v>29</v>
      </c>
      <c r="Q129" t="s">
        <v>29</v>
      </c>
      <c r="R129">
        <v>139</v>
      </c>
      <c r="S129">
        <v>38.75</v>
      </c>
      <c r="T129">
        <v>4.4000000000000004</v>
      </c>
      <c r="U129">
        <v>4.3</v>
      </c>
      <c r="V129" t="s">
        <v>38</v>
      </c>
    </row>
    <row r="130" spans="1:22" x14ac:dyDescent="0.35">
      <c r="A130" s="1">
        <v>45417</v>
      </c>
      <c r="B130" t="s">
        <v>122</v>
      </c>
      <c r="C130" s="2">
        <v>0.59541666666666671</v>
      </c>
      <c r="D130" t="s">
        <v>450</v>
      </c>
      <c r="E130" t="s">
        <v>41</v>
      </c>
      <c r="F130" t="s">
        <v>451</v>
      </c>
      <c r="G130" t="s">
        <v>67</v>
      </c>
      <c r="H130" t="s">
        <v>129</v>
      </c>
      <c r="I130" t="s">
        <v>81</v>
      </c>
      <c r="J130">
        <v>13.3</v>
      </c>
      <c r="K130">
        <v>30.7</v>
      </c>
      <c r="L130" t="s">
        <v>29</v>
      </c>
      <c r="M130" t="s">
        <v>29</v>
      </c>
      <c r="N130" t="s">
        <v>29</v>
      </c>
      <c r="O130" t="s">
        <v>29</v>
      </c>
      <c r="P130" t="s">
        <v>29</v>
      </c>
      <c r="Q130" t="s">
        <v>29</v>
      </c>
      <c r="R130">
        <v>255</v>
      </c>
      <c r="S130">
        <v>17.07</v>
      </c>
      <c r="T130">
        <v>4.3</v>
      </c>
      <c r="U130">
        <v>4.4000000000000004</v>
      </c>
      <c r="V130" t="s">
        <v>84</v>
      </c>
    </row>
    <row r="131" spans="1:22" x14ac:dyDescent="0.35">
      <c r="A131" s="1">
        <v>45306</v>
      </c>
      <c r="B131" t="s">
        <v>150</v>
      </c>
      <c r="C131" s="2">
        <v>0.71210648148148148</v>
      </c>
      <c r="D131" t="s">
        <v>452</v>
      </c>
      <c r="E131" t="s">
        <v>41</v>
      </c>
      <c r="F131" t="s">
        <v>453</v>
      </c>
      <c r="G131" t="s">
        <v>43</v>
      </c>
      <c r="H131" t="s">
        <v>454</v>
      </c>
      <c r="I131" t="s">
        <v>232</v>
      </c>
      <c r="J131">
        <v>9.5</v>
      </c>
      <c r="K131">
        <v>18</v>
      </c>
      <c r="L131" t="s">
        <v>29</v>
      </c>
      <c r="M131" t="s">
        <v>29</v>
      </c>
      <c r="N131" t="s">
        <v>29</v>
      </c>
      <c r="O131" t="s">
        <v>29</v>
      </c>
      <c r="P131" t="s">
        <v>29</v>
      </c>
      <c r="Q131" t="s">
        <v>29</v>
      </c>
      <c r="R131">
        <v>1212</v>
      </c>
      <c r="S131">
        <v>19.18</v>
      </c>
      <c r="T131">
        <v>4.3</v>
      </c>
      <c r="U131">
        <v>4.3</v>
      </c>
      <c r="V131" t="s">
        <v>38</v>
      </c>
    </row>
    <row r="132" spans="1:22" x14ac:dyDescent="0.35">
      <c r="A132" s="1">
        <v>45481</v>
      </c>
      <c r="B132" t="s">
        <v>108</v>
      </c>
      <c r="C132" s="2">
        <v>0.7431712962962963</v>
      </c>
      <c r="D132" t="s">
        <v>455</v>
      </c>
      <c r="E132" t="s">
        <v>41</v>
      </c>
      <c r="F132" t="s">
        <v>456</v>
      </c>
      <c r="G132" t="s">
        <v>34</v>
      </c>
      <c r="H132" t="s">
        <v>161</v>
      </c>
      <c r="I132" t="s">
        <v>315</v>
      </c>
      <c r="J132">
        <v>10</v>
      </c>
      <c r="K132">
        <v>23.6</v>
      </c>
      <c r="L132" t="s">
        <v>29</v>
      </c>
      <c r="M132" t="s">
        <v>29</v>
      </c>
      <c r="N132" t="s">
        <v>29</v>
      </c>
      <c r="O132" t="s">
        <v>29</v>
      </c>
      <c r="P132" t="s">
        <v>29</v>
      </c>
      <c r="Q132" t="s">
        <v>29</v>
      </c>
      <c r="R132">
        <v>81</v>
      </c>
      <c r="S132">
        <v>23.93</v>
      </c>
      <c r="T132">
        <v>4.7</v>
      </c>
      <c r="U132">
        <v>3.9</v>
      </c>
      <c r="V132" t="s">
        <v>46</v>
      </c>
    </row>
    <row r="133" spans="1:22" x14ac:dyDescent="0.35">
      <c r="A133" s="1">
        <v>45518</v>
      </c>
      <c r="B133" t="s">
        <v>39</v>
      </c>
      <c r="C133" s="2">
        <v>0.7368055555555556</v>
      </c>
      <c r="D133" t="s">
        <v>457</v>
      </c>
      <c r="E133" t="s">
        <v>41</v>
      </c>
      <c r="F133" t="s">
        <v>458</v>
      </c>
      <c r="G133" t="s">
        <v>43</v>
      </c>
      <c r="H133" t="s">
        <v>73</v>
      </c>
      <c r="I133" t="s">
        <v>87</v>
      </c>
      <c r="J133">
        <v>3.6</v>
      </c>
      <c r="K133">
        <v>24.2</v>
      </c>
      <c r="L133" t="s">
        <v>29</v>
      </c>
      <c r="M133" t="s">
        <v>29</v>
      </c>
      <c r="N133" t="s">
        <v>29</v>
      </c>
      <c r="O133" t="s">
        <v>29</v>
      </c>
      <c r="P133" t="s">
        <v>29</v>
      </c>
      <c r="Q133" t="s">
        <v>29</v>
      </c>
      <c r="R133">
        <v>940</v>
      </c>
      <c r="S133">
        <v>29.09</v>
      </c>
      <c r="T133">
        <v>4.2</v>
      </c>
      <c r="U133">
        <v>4.5999999999999996</v>
      </c>
      <c r="V133" t="s">
        <v>38</v>
      </c>
    </row>
    <row r="134" spans="1:22" x14ac:dyDescent="0.35">
      <c r="A134" s="1">
        <v>45504</v>
      </c>
      <c r="B134" t="s">
        <v>108</v>
      </c>
      <c r="C134" s="2">
        <v>0.71361111111111108</v>
      </c>
      <c r="D134" t="s">
        <v>459</v>
      </c>
      <c r="E134" t="s">
        <v>93</v>
      </c>
      <c r="F134" t="s">
        <v>460</v>
      </c>
      <c r="G134" t="s">
        <v>43</v>
      </c>
      <c r="H134" t="s">
        <v>28</v>
      </c>
      <c r="I134" t="s">
        <v>91</v>
      </c>
      <c r="J134">
        <v>8.5</v>
      </c>
      <c r="K134" t="s">
        <v>29</v>
      </c>
      <c r="L134" t="s">
        <v>29</v>
      </c>
      <c r="M134" t="s">
        <v>29</v>
      </c>
      <c r="N134">
        <v>1</v>
      </c>
      <c r="O134" t="s">
        <v>337</v>
      </c>
      <c r="P134" t="s">
        <v>29</v>
      </c>
      <c r="Q134" t="s">
        <v>29</v>
      </c>
      <c r="R134" t="s">
        <v>29</v>
      </c>
      <c r="S134" t="s">
        <v>29</v>
      </c>
      <c r="T134" t="s">
        <v>29</v>
      </c>
      <c r="U134" t="s">
        <v>29</v>
      </c>
      <c r="V134" t="s">
        <v>29</v>
      </c>
    </row>
    <row r="135" spans="1:22" x14ac:dyDescent="0.35">
      <c r="A135" s="1">
        <v>45420</v>
      </c>
      <c r="B135" t="s">
        <v>122</v>
      </c>
      <c r="C135" s="2">
        <v>0.69260416666666669</v>
      </c>
      <c r="D135" t="s">
        <v>461</v>
      </c>
      <c r="E135" t="s">
        <v>41</v>
      </c>
      <c r="F135" t="s">
        <v>462</v>
      </c>
      <c r="G135" t="s">
        <v>26</v>
      </c>
      <c r="H135" t="s">
        <v>350</v>
      </c>
      <c r="I135" t="s">
        <v>463</v>
      </c>
      <c r="J135">
        <v>10</v>
      </c>
      <c r="K135">
        <v>17.899999999999999</v>
      </c>
      <c r="L135" t="s">
        <v>29</v>
      </c>
      <c r="M135" t="s">
        <v>29</v>
      </c>
      <c r="N135" t="s">
        <v>29</v>
      </c>
      <c r="O135" t="s">
        <v>29</v>
      </c>
      <c r="P135" t="s">
        <v>29</v>
      </c>
      <c r="Q135" t="s">
        <v>29</v>
      </c>
      <c r="R135">
        <v>98</v>
      </c>
      <c r="S135">
        <v>27.55</v>
      </c>
      <c r="T135">
        <v>4.2</v>
      </c>
      <c r="U135">
        <v>4.0999999999999996</v>
      </c>
      <c r="V135" t="s">
        <v>84</v>
      </c>
    </row>
    <row r="136" spans="1:22" x14ac:dyDescent="0.35">
      <c r="A136" s="1">
        <v>45502</v>
      </c>
      <c r="B136" t="s">
        <v>108</v>
      </c>
      <c r="C136" s="2">
        <v>0.51981481481481484</v>
      </c>
      <c r="D136" t="s">
        <v>464</v>
      </c>
      <c r="E136" t="s">
        <v>41</v>
      </c>
      <c r="F136" t="s">
        <v>465</v>
      </c>
      <c r="G136" t="s">
        <v>50</v>
      </c>
      <c r="H136" t="s">
        <v>266</v>
      </c>
      <c r="I136" t="s">
        <v>254</v>
      </c>
      <c r="J136">
        <v>5.9</v>
      </c>
      <c r="K136">
        <v>15.5</v>
      </c>
      <c r="L136" t="s">
        <v>29</v>
      </c>
      <c r="M136" t="s">
        <v>29</v>
      </c>
      <c r="N136" t="s">
        <v>29</v>
      </c>
      <c r="O136" t="s">
        <v>29</v>
      </c>
      <c r="P136" t="s">
        <v>29</v>
      </c>
      <c r="Q136" t="s">
        <v>29</v>
      </c>
      <c r="R136">
        <v>724</v>
      </c>
      <c r="S136">
        <v>14</v>
      </c>
      <c r="T136">
        <v>4.0999999999999996</v>
      </c>
      <c r="U136">
        <v>4.2</v>
      </c>
      <c r="V136" t="s">
        <v>84</v>
      </c>
    </row>
    <row r="137" spans="1:22" x14ac:dyDescent="0.35">
      <c r="A137" s="1">
        <v>45513</v>
      </c>
      <c r="B137" t="s">
        <v>39</v>
      </c>
      <c r="C137" s="2">
        <v>0.69554398148148144</v>
      </c>
      <c r="D137" t="s">
        <v>466</v>
      </c>
      <c r="E137" t="s">
        <v>41</v>
      </c>
      <c r="F137" t="s">
        <v>467</v>
      </c>
      <c r="G137" t="s">
        <v>26</v>
      </c>
      <c r="H137" t="s">
        <v>119</v>
      </c>
      <c r="I137" t="s">
        <v>207</v>
      </c>
      <c r="J137">
        <v>8</v>
      </c>
      <c r="K137">
        <v>25.3</v>
      </c>
      <c r="L137" t="s">
        <v>29</v>
      </c>
      <c r="M137" t="s">
        <v>29</v>
      </c>
      <c r="N137" t="s">
        <v>29</v>
      </c>
      <c r="O137" t="s">
        <v>29</v>
      </c>
      <c r="P137" t="s">
        <v>29</v>
      </c>
      <c r="Q137" t="s">
        <v>29</v>
      </c>
      <c r="R137">
        <v>749</v>
      </c>
      <c r="S137">
        <v>47.3</v>
      </c>
      <c r="T137">
        <v>4.4000000000000004</v>
      </c>
      <c r="U137">
        <v>4.3</v>
      </c>
      <c r="V137" t="s">
        <v>38</v>
      </c>
    </row>
    <row r="138" spans="1:22" x14ac:dyDescent="0.35">
      <c r="A138" s="1">
        <v>45519</v>
      </c>
      <c r="B138" t="s">
        <v>39</v>
      </c>
      <c r="C138" s="2">
        <v>0.92770833333333336</v>
      </c>
      <c r="D138" t="s">
        <v>468</v>
      </c>
      <c r="E138" t="s">
        <v>24</v>
      </c>
      <c r="F138" t="s">
        <v>469</v>
      </c>
      <c r="G138" t="s">
        <v>26</v>
      </c>
      <c r="H138" t="s">
        <v>102</v>
      </c>
      <c r="I138" t="s">
        <v>153</v>
      </c>
      <c r="J138" t="s">
        <v>29</v>
      </c>
      <c r="K138" t="s">
        <v>29</v>
      </c>
      <c r="L138" t="s">
        <v>29</v>
      </c>
      <c r="M138" t="s">
        <v>29</v>
      </c>
      <c r="N138" t="s">
        <v>29</v>
      </c>
      <c r="O138" t="s">
        <v>29</v>
      </c>
      <c r="P138" t="s">
        <v>29</v>
      </c>
      <c r="Q138" t="s">
        <v>29</v>
      </c>
      <c r="R138" t="s">
        <v>29</v>
      </c>
      <c r="S138" t="s">
        <v>29</v>
      </c>
      <c r="T138" t="s">
        <v>29</v>
      </c>
      <c r="U138" t="s">
        <v>29</v>
      </c>
      <c r="V138" t="s">
        <v>29</v>
      </c>
    </row>
    <row r="139" spans="1:22" x14ac:dyDescent="0.35">
      <c r="A139" s="1">
        <v>45567</v>
      </c>
      <c r="B139" t="s">
        <v>47</v>
      </c>
      <c r="C139" s="2">
        <v>0.38209490740740742</v>
      </c>
      <c r="D139" t="s">
        <v>470</v>
      </c>
      <c r="E139" t="s">
        <v>41</v>
      </c>
      <c r="F139" t="s">
        <v>471</v>
      </c>
      <c r="G139" t="s">
        <v>43</v>
      </c>
      <c r="H139" t="s">
        <v>161</v>
      </c>
      <c r="I139" t="s">
        <v>148</v>
      </c>
      <c r="J139">
        <v>11.5</v>
      </c>
      <c r="K139">
        <v>37.4</v>
      </c>
      <c r="L139" t="s">
        <v>29</v>
      </c>
      <c r="M139" t="s">
        <v>29</v>
      </c>
      <c r="N139" t="s">
        <v>29</v>
      </c>
      <c r="O139" t="s">
        <v>29</v>
      </c>
      <c r="P139" t="s">
        <v>29</v>
      </c>
      <c r="Q139" t="s">
        <v>29</v>
      </c>
      <c r="R139">
        <v>244</v>
      </c>
      <c r="S139">
        <v>14.59</v>
      </c>
      <c r="T139">
        <v>4.0999999999999996</v>
      </c>
      <c r="U139">
        <v>4.8</v>
      </c>
      <c r="V139" t="s">
        <v>38</v>
      </c>
    </row>
    <row r="140" spans="1:22" x14ac:dyDescent="0.35">
      <c r="A140" s="1">
        <v>45424</v>
      </c>
      <c r="B140" t="s">
        <v>122</v>
      </c>
      <c r="C140" s="2">
        <v>4.7997685185185185E-2</v>
      </c>
      <c r="D140" t="s">
        <v>472</v>
      </c>
      <c r="E140" t="s">
        <v>24</v>
      </c>
      <c r="F140" t="s">
        <v>473</v>
      </c>
      <c r="G140" t="s">
        <v>43</v>
      </c>
      <c r="H140" t="s">
        <v>412</v>
      </c>
      <c r="I140" t="s">
        <v>474</v>
      </c>
      <c r="J140" t="s">
        <v>29</v>
      </c>
      <c r="K140" t="s">
        <v>29</v>
      </c>
      <c r="L140" t="s">
        <v>29</v>
      </c>
      <c r="M140" t="s">
        <v>29</v>
      </c>
      <c r="N140" t="s">
        <v>29</v>
      </c>
      <c r="O140" t="s">
        <v>29</v>
      </c>
      <c r="P140" t="s">
        <v>29</v>
      </c>
      <c r="Q140" t="s">
        <v>29</v>
      </c>
      <c r="R140" t="s">
        <v>29</v>
      </c>
      <c r="S140" t="s">
        <v>29</v>
      </c>
      <c r="T140" t="s">
        <v>29</v>
      </c>
      <c r="U140" t="s">
        <v>29</v>
      </c>
      <c r="V140" t="s">
        <v>29</v>
      </c>
    </row>
    <row r="141" spans="1:22" x14ac:dyDescent="0.35">
      <c r="A141" s="1">
        <v>45342</v>
      </c>
      <c r="B141" t="s">
        <v>59</v>
      </c>
      <c r="C141" s="2">
        <v>0.78581018518518519</v>
      </c>
      <c r="D141" t="s">
        <v>475</v>
      </c>
      <c r="E141" t="s">
        <v>32</v>
      </c>
      <c r="F141" t="s">
        <v>476</v>
      </c>
      <c r="G141" t="s">
        <v>43</v>
      </c>
      <c r="H141" t="s">
        <v>180</v>
      </c>
      <c r="I141" t="s">
        <v>477</v>
      </c>
      <c r="J141">
        <v>2.6</v>
      </c>
      <c r="K141">
        <v>22.8</v>
      </c>
      <c r="L141" t="s">
        <v>29</v>
      </c>
      <c r="M141" t="s">
        <v>29</v>
      </c>
      <c r="N141" t="s">
        <v>29</v>
      </c>
      <c r="O141" t="s">
        <v>29</v>
      </c>
      <c r="P141">
        <v>1</v>
      </c>
      <c r="Q141" t="s">
        <v>37</v>
      </c>
      <c r="R141">
        <v>351</v>
      </c>
      <c r="S141">
        <v>8.68</v>
      </c>
      <c r="T141" t="s">
        <v>29</v>
      </c>
      <c r="U141" t="s">
        <v>29</v>
      </c>
      <c r="V141" t="s">
        <v>38</v>
      </c>
    </row>
    <row r="142" spans="1:22" x14ac:dyDescent="0.35">
      <c r="A142" s="1">
        <v>45438</v>
      </c>
      <c r="B142" t="s">
        <v>122</v>
      </c>
      <c r="C142" s="2">
        <v>0.86525462962962962</v>
      </c>
      <c r="D142" t="s">
        <v>478</v>
      </c>
      <c r="E142" t="s">
        <v>41</v>
      </c>
      <c r="F142" t="s">
        <v>479</v>
      </c>
      <c r="G142" t="s">
        <v>43</v>
      </c>
      <c r="H142" t="s">
        <v>435</v>
      </c>
      <c r="I142" t="s">
        <v>374</v>
      </c>
      <c r="J142">
        <v>5.4</v>
      </c>
      <c r="K142">
        <v>28.9</v>
      </c>
      <c r="L142" t="s">
        <v>29</v>
      </c>
      <c r="M142" t="s">
        <v>29</v>
      </c>
      <c r="N142" t="s">
        <v>29</v>
      </c>
      <c r="O142" t="s">
        <v>29</v>
      </c>
      <c r="P142" t="s">
        <v>29</v>
      </c>
      <c r="Q142" t="s">
        <v>29</v>
      </c>
      <c r="R142">
        <v>585</v>
      </c>
      <c r="S142">
        <v>34.14</v>
      </c>
      <c r="T142">
        <v>4.5999999999999996</v>
      </c>
      <c r="U142">
        <v>4.0999999999999996</v>
      </c>
      <c r="V142" t="s">
        <v>46</v>
      </c>
    </row>
    <row r="143" spans="1:22" x14ac:dyDescent="0.35">
      <c r="A143" s="1">
        <v>45650</v>
      </c>
      <c r="B143" t="s">
        <v>78</v>
      </c>
      <c r="C143" s="2">
        <v>0.4377314814814815</v>
      </c>
      <c r="D143" t="s">
        <v>480</v>
      </c>
      <c r="E143" t="s">
        <v>41</v>
      </c>
      <c r="F143" t="s">
        <v>481</v>
      </c>
      <c r="G143" t="s">
        <v>43</v>
      </c>
      <c r="H143" t="s">
        <v>383</v>
      </c>
      <c r="I143" t="s">
        <v>202</v>
      </c>
      <c r="J143">
        <v>6.4</v>
      </c>
      <c r="K143">
        <v>44.7</v>
      </c>
      <c r="L143" t="s">
        <v>29</v>
      </c>
      <c r="M143" t="s">
        <v>29</v>
      </c>
      <c r="N143" t="s">
        <v>29</v>
      </c>
      <c r="O143" t="s">
        <v>29</v>
      </c>
      <c r="P143" t="s">
        <v>29</v>
      </c>
      <c r="Q143" t="s">
        <v>29</v>
      </c>
      <c r="R143">
        <v>554</v>
      </c>
      <c r="S143">
        <v>31.79</v>
      </c>
      <c r="T143">
        <v>4.3</v>
      </c>
      <c r="U143">
        <v>4.5999999999999996</v>
      </c>
      <c r="V143" t="s">
        <v>84</v>
      </c>
    </row>
    <row r="144" spans="1:22" x14ac:dyDescent="0.35">
      <c r="A144" s="1">
        <v>45450</v>
      </c>
      <c r="B144" t="s">
        <v>64</v>
      </c>
      <c r="C144" s="2">
        <v>0.71665509259259264</v>
      </c>
      <c r="D144" t="s">
        <v>482</v>
      </c>
      <c r="E144" t="s">
        <v>41</v>
      </c>
      <c r="F144" t="s">
        <v>483</v>
      </c>
      <c r="G144" t="s">
        <v>56</v>
      </c>
      <c r="H144" t="s">
        <v>438</v>
      </c>
      <c r="I144" t="s">
        <v>312</v>
      </c>
      <c r="J144">
        <v>10.8</v>
      </c>
      <c r="K144">
        <v>28.5</v>
      </c>
      <c r="L144" t="s">
        <v>29</v>
      </c>
      <c r="M144" t="s">
        <v>29</v>
      </c>
      <c r="N144" t="s">
        <v>29</v>
      </c>
      <c r="O144" t="s">
        <v>29</v>
      </c>
      <c r="P144" t="s">
        <v>29</v>
      </c>
      <c r="Q144" t="s">
        <v>29</v>
      </c>
      <c r="R144">
        <v>803</v>
      </c>
      <c r="S144">
        <v>25.01</v>
      </c>
      <c r="T144">
        <v>4.0999999999999996</v>
      </c>
      <c r="U144">
        <v>4.5</v>
      </c>
      <c r="V144" t="s">
        <v>149</v>
      </c>
    </row>
    <row r="145" spans="1:22" x14ac:dyDescent="0.35">
      <c r="A145" s="1">
        <v>45410</v>
      </c>
      <c r="B145" t="s">
        <v>154</v>
      </c>
      <c r="C145" s="2">
        <v>0.83265046296296297</v>
      </c>
      <c r="D145" t="s">
        <v>484</v>
      </c>
      <c r="E145" t="s">
        <v>41</v>
      </c>
      <c r="F145" t="s">
        <v>485</v>
      </c>
      <c r="G145" t="s">
        <v>67</v>
      </c>
      <c r="H145" t="s">
        <v>486</v>
      </c>
      <c r="I145" t="s">
        <v>267</v>
      </c>
      <c r="J145">
        <v>9.4</v>
      </c>
      <c r="K145">
        <v>24.8</v>
      </c>
      <c r="L145" t="s">
        <v>29</v>
      </c>
      <c r="M145" t="s">
        <v>29</v>
      </c>
      <c r="N145" t="s">
        <v>29</v>
      </c>
      <c r="O145" t="s">
        <v>29</v>
      </c>
      <c r="P145" t="s">
        <v>29</v>
      </c>
      <c r="Q145" t="s">
        <v>29</v>
      </c>
      <c r="R145">
        <v>388</v>
      </c>
      <c r="S145">
        <v>17.559999999999999</v>
      </c>
      <c r="T145">
        <v>4.2</v>
      </c>
      <c r="U145">
        <v>4.7</v>
      </c>
      <c r="V145" t="s">
        <v>38</v>
      </c>
    </row>
    <row r="146" spans="1:22" x14ac:dyDescent="0.35">
      <c r="A146" s="1">
        <v>45317</v>
      </c>
      <c r="B146" t="s">
        <v>150</v>
      </c>
      <c r="C146" s="2">
        <v>0.75971064814814815</v>
      </c>
      <c r="D146" t="s">
        <v>487</v>
      </c>
      <c r="E146" t="s">
        <v>117</v>
      </c>
      <c r="F146" t="s">
        <v>488</v>
      </c>
      <c r="G146" t="s">
        <v>56</v>
      </c>
      <c r="H146" t="s">
        <v>35</v>
      </c>
      <c r="I146" t="s">
        <v>489</v>
      </c>
      <c r="J146">
        <v>7</v>
      </c>
      <c r="K146" t="s">
        <v>29</v>
      </c>
      <c r="L146">
        <v>1</v>
      </c>
      <c r="M146" t="s">
        <v>490</v>
      </c>
      <c r="N146" t="s">
        <v>29</v>
      </c>
      <c r="O146" t="s">
        <v>29</v>
      </c>
      <c r="P146" t="s">
        <v>29</v>
      </c>
      <c r="Q146" t="s">
        <v>29</v>
      </c>
      <c r="R146" t="s">
        <v>29</v>
      </c>
      <c r="S146" t="s">
        <v>29</v>
      </c>
      <c r="T146" t="s">
        <v>29</v>
      </c>
      <c r="U146" t="s">
        <v>29</v>
      </c>
      <c r="V146" t="s">
        <v>29</v>
      </c>
    </row>
    <row r="147" spans="1:22" x14ac:dyDescent="0.35">
      <c r="A147" s="1">
        <v>45309</v>
      </c>
      <c r="B147" t="s">
        <v>150</v>
      </c>
      <c r="C147" s="2">
        <v>0.9614583333333333</v>
      </c>
      <c r="D147" t="s">
        <v>491</v>
      </c>
      <c r="E147" t="s">
        <v>41</v>
      </c>
      <c r="F147" t="s">
        <v>492</v>
      </c>
      <c r="G147" t="s">
        <v>67</v>
      </c>
      <c r="H147" t="s">
        <v>290</v>
      </c>
      <c r="I147" t="s">
        <v>493</v>
      </c>
      <c r="J147">
        <v>11.2</v>
      </c>
      <c r="K147">
        <v>38.5</v>
      </c>
      <c r="L147" t="s">
        <v>29</v>
      </c>
      <c r="M147" t="s">
        <v>29</v>
      </c>
      <c r="N147" t="s">
        <v>29</v>
      </c>
      <c r="O147" t="s">
        <v>29</v>
      </c>
      <c r="P147" t="s">
        <v>29</v>
      </c>
      <c r="Q147" t="s">
        <v>29</v>
      </c>
      <c r="R147">
        <v>192</v>
      </c>
      <c r="S147">
        <v>48.96</v>
      </c>
      <c r="T147">
        <v>3.1</v>
      </c>
      <c r="U147">
        <v>4.5999999999999996</v>
      </c>
      <c r="V147" t="s">
        <v>38</v>
      </c>
    </row>
    <row r="148" spans="1:22" x14ac:dyDescent="0.35">
      <c r="A148" s="1">
        <v>45397</v>
      </c>
      <c r="B148" t="s">
        <v>154</v>
      </c>
      <c r="C148" s="2">
        <v>0.79407407407407404</v>
      </c>
      <c r="D148" t="s">
        <v>494</v>
      </c>
      <c r="E148" t="s">
        <v>41</v>
      </c>
      <c r="F148" t="s">
        <v>495</v>
      </c>
      <c r="G148" t="s">
        <v>67</v>
      </c>
      <c r="H148" t="s">
        <v>158</v>
      </c>
      <c r="I148" t="s">
        <v>412</v>
      </c>
      <c r="J148">
        <v>9</v>
      </c>
      <c r="K148">
        <v>39.1</v>
      </c>
      <c r="L148" t="s">
        <v>29</v>
      </c>
      <c r="M148" t="s">
        <v>29</v>
      </c>
      <c r="N148" t="s">
        <v>29</v>
      </c>
      <c r="O148" t="s">
        <v>29</v>
      </c>
      <c r="P148" t="s">
        <v>29</v>
      </c>
      <c r="Q148" t="s">
        <v>29</v>
      </c>
      <c r="R148">
        <v>79</v>
      </c>
      <c r="S148">
        <v>32.909999999999997</v>
      </c>
      <c r="T148">
        <v>4.4000000000000004</v>
      </c>
      <c r="U148">
        <v>3.8</v>
      </c>
      <c r="V148" t="s">
        <v>107</v>
      </c>
    </row>
    <row r="149" spans="1:22" x14ac:dyDescent="0.35">
      <c r="A149" s="1">
        <v>45645</v>
      </c>
      <c r="B149" t="s">
        <v>78</v>
      </c>
      <c r="C149" s="2">
        <v>0.86318287037037034</v>
      </c>
      <c r="D149" t="s">
        <v>496</v>
      </c>
      <c r="E149" t="s">
        <v>24</v>
      </c>
      <c r="F149" t="s">
        <v>497</v>
      </c>
      <c r="G149" t="s">
        <v>67</v>
      </c>
      <c r="H149" t="s">
        <v>129</v>
      </c>
      <c r="I149" t="s">
        <v>498</v>
      </c>
      <c r="J149" t="s">
        <v>29</v>
      </c>
      <c r="K149" t="s">
        <v>29</v>
      </c>
      <c r="L149" t="s">
        <v>29</v>
      </c>
      <c r="M149" t="s">
        <v>29</v>
      </c>
      <c r="N149" t="s">
        <v>29</v>
      </c>
      <c r="O149" t="s">
        <v>29</v>
      </c>
      <c r="P149" t="s">
        <v>29</v>
      </c>
      <c r="Q149" t="s">
        <v>29</v>
      </c>
      <c r="R149" t="s">
        <v>29</v>
      </c>
      <c r="S149" t="s">
        <v>29</v>
      </c>
      <c r="T149" t="s">
        <v>29</v>
      </c>
      <c r="U149" t="s">
        <v>29</v>
      </c>
      <c r="V149" t="s">
        <v>29</v>
      </c>
    </row>
    <row r="150" spans="1:22" x14ac:dyDescent="0.35">
      <c r="A150" s="1">
        <v>45313</v>
      </c>
      <c r="B150" t="s">
        <v>150</v>
      </c>
      <c r="C150" s="2">
        <v>0.76643518518518516</v>
      </c>
      <c r="D150" t="s">
        <v>499</v>
      </c>
      <c r="E150" t="s">
        <v>41</v>
      </c>
      <c r="F150" t="s">
        <v>500</v>
      </c>
      <c r="G150" t="s">
        <v>56</v>
      </c>
      <c r="H150" t="s">
        <v>262</v>
      </c>
      <c r="I150" t="s">
        <v>147</v>
      </c>
      <c r="J150">
        <v>2.4</v>
      </c>
      <c r="K150">
        <v>26.6</v>
      </c>
      <c r="L150" t="s">
        <v>29</v>
      </c>
      <c r="M150" t="s">
        <v>29</v>
      </c>
      <c r="N150" t="s">
        <v>29</v>
      </c>
      <c r="O150" t="s">
        <v>29</v>
      </c>
      <c r="P150" t="s">
        <v>29</v>
      </c>
      <c r="Q150" t="s">
        <v>29</v>
      </c>
      <c r="R150">
        <v>242</v>
      </c>
      <c r="S150">
        <v>45.7</v>
      </c>
      <c r="T150">
        <v>4</v>
      </c>
      <c r="U150">
        <v>4.9000000000000004</v>
      </c>
      <c r="V150" t="s">
        <v>38</v>
      </c>
    </row>
    <row r="151" spans="1:22" x14ac:dyDescent="0.35">
      <c r="A151" s="1">
        <v>45512</v>
      </c>
      <c r="B151" t="s">
        <v>39</v>
      </c>
      <c r="C151" s="2">
        <v>0.8846180555555555</v>
      </c>
      <c r="D151" t="s">
        <v>501</v>
      </c>
      <c r="E151" t="s">
        <v>117</v>
      </c>
      <c r="F151" t="s">
        <v>502</v>
      </c>
      <c r="G151" t="s">
        <v>34</v>
      </c>
      <c r="H151" t="s">
        <v>95</v>
      </c>
      <c r="I151" t="s">
        <v>186</v>
      </c>
      <c r="J151">
        <v>13.4</v>
      </c>
      <c r="K151" t="s">
        <v>29</v>
      </c>
      <c r="L151">
        <v>1</v>
      </c>
      <c r="M151" t="s">
        <v>224</v>
      </c>
      <c r="N151" t="s">
        <v>29</v>
      </c>
      <c r="O151" t="s">
        <v>29</v>
      </c>
      <c r="P151" t="s">
        <v>29</v>
      </c>
      <c r="Q151" t="s">
        <v>29</v>
      </c>
      <c r="R151" t="s">
        <v>29</v>
      </c>
      <c r="S151" t="s">
        <v>29</v>
      </c>
      <c r="T151" t="s">
        <v>29</v>
      </c>
      <c r="U151" t="s">
        <v>29</v>
      </c>
      <c r="V151" t="s">
        <v>29</v>
      </c>
    </row>
    <row r="152" spans="1:22" x14ac:dyDescent="0.35">
      <c r="A152" s="1">
        <v>45433</v>
      </c>
      <c r="B152" t="s">
        <v>122</v>
      </c>
      <c r="C152" s="2">
        <v>0.85552083333333329</v>
      </c>
      <c r="D152" t="s">
        <v>503</v>
      </c>
      <c r="E152" t="s">
        <v>41</v>
      </c>
      <c r="F152" t="s">
        <v>504</v>
      </c>
      <c r="G152" t="s">
        <v>67</v>
      </c>
      <c r="H152" t="s">
        <v>133</v>
      </c>
      <c r="I152" t="s">
        <v>374</v>
      </c>
      <c r="J152">
        <v>5.4</v>
      </c>
      <c r="K152">
        <v>32.6</v>
      </c>
      <c r="L152" t="s">
        <v>29</v>
      </c>
      <c r="M152" t="s">
        <v>29</v>
      </c>
      <c r="N152" t="s">
        <v>29</v>
      </c>
      <c r="O152" t="s">
        <v>29</v>
      </c>
      <c r="P152" t="s">
        <v>29</v>
      </c>
      <c r="Q152" t="s">
        <v>29</v>
      </c>
      <c r="R152">
        <v>323</v>
      </c>
      <c r="S152">
        <v>38.32</v>
      </c>
      <c r="T152">
        <v>4.4000000000000004</v>
      </c>
      <c r="U152">
        <v>3.7</v>
      </c>
      <c r="V152" t="s">
        <v>107</v>
      </c>
    </row>
    <row r="153" spans="1:22" x14ac:dyDescent="0.35">
      <c r="A153" s="1">
        <v>45521</v>
      </c>
      <c r="B153" t="s">
        <v>39</v>
      </c>
      <c r="C153" s="2">
        <v>0.52434027777777781</v>
      </c>
      <c r="D153" t="s">
        <v>505</v>
      </c>
      <c r="E153" t="s">
        <v>93</v>
      </c>
      <c r="F153" t="s">
        <v>506</v>
      </c>
      <c r="G153" t="s">
        <v>43</v>
      </c>
      <c r="H153" t="s">
        <v>323</v>
      </c>
      <c r="I153" t="s">
        <v>449</v>
      </c>
      <c r="J153">
        <v>7.7</v>
      </c>
      <c r="K153" t="s">
        <v>29</v>
      </c>
      <c r="L153" t="s">
        <v>29</v>
      </c>
      <c r="M153" t="s">
        <v>29</v>
      </c>
      <c r="N153">
        <v>1</v>
      </c>
      <c r="O153" t="s">
        <v>115</v>
      </c>
      <c r="P153" t="s">
        <v>29</v>
      </c>
      <c r="Q153" t="s">
        <v>29</v>
      </c>
      <c r="R153" t="s">
        <v>29</v>
      </c>
      <c r="S153" t="s">
        <v>29</v>
      </c>
      <c r="T153" t="s">
        <v>29</v>
      </c>
      <c r="U153" t="s">
        <v>29</v>
      </c>
      <c r="V153" t="s">
        <v>29</v>
      </c>
    </row>
    <row r="154" spans="1:22" x14ac:dyDescent="0.35">
      <c r="A154" s="1">
        <v>45445</v>
      </c>
      <c r="B154" t="s">
        <v>64</v>
      </c>
      <c r="C154" s="2">
        <v>0.89401620370370372</v>
      </c>
      <c r="D154" t="s">
        <v>507</v>
      </c>
      <c r="E154" t="s">
        <v>41</v>
      </c>
      <c r="F154" t="s">
        <v>508</v>
      </c>
      <c r="G154" t="s">
        <v>43</v>
      </c>
      <c r="H154" t="s">
        <v>214</v>
      </c>
      <c r="I154" t="s">
        <v>27</v>
      </c>
      <c r="J154">
        <v>5.4</v>
      </c>
      <c r="K154">
        <v>24.4</v>
      </c>
      <c r="L154" t="s">
        <v>29</v>
      </c>
      <c r="M154" t="s">
        <v>29</v>
      </c>
      <c r="N154" t="s">
        <v>29</v>
      </c>
      <c r="O154" t="s">
        <v>29</v>
      </c>
      <c r="P154" t="s">
        <v>29</v>
      </c>
      <c r="Q154" t="s">
        <v>29</v>
      </c>
      <c r="R154">
        <v>799</v>
      </c>
      <c r="S154">
        <v>9.1</v>
      </c>
      <c r="T154">
        <v>4.2</v>
      </c>
      <c r="U154">
        <v>4.5999999999999996</v>
      </c>
      <c r="V154" t="s">
        <v>38</v>
      </c>
    </row>
    <row r="155" spans="1:22" x14ac:dyDescent="0.35">
      <c r="A155" s="1">
        <v>45362</v>
      </c>
      <c r="B155" t="s">
        <v>22</v>
      </c>
      <c r="C155" s="2">
        <v>0.93068287037037034</v>
      </c>
      <c r="D155" t="s">
        <v>509</v>
      </c>
      <c r="E155" t="s">
        <v>117</v>
      </c>
      <c r="F155" t="s">
        <v>510</v>
      </c>
      <c r="G155" t="s">
        <v>26</v>
      </c>
      <c r="H155" t="s">
        <v>374</v>
      </c>
      <c r="I155" t="s">
        <v>511</v>
      </c>
      <c r="J155">
        <v>19.100000000000001</v>
      </c>
      <c r="K155" t="s">
        <v>29</v>
      </c>
      <c r="L155">
        <v>1</v>
      </c>
      <c r="M155" t="s">
        <v>420</v>
      </c>
      <c r="N155" t="s">
        <v>29</v>
      </c>
      <c r="O155" t="s">
        <v>29</v>
      </c>
      <c r="P155" t="s">
        <v>29</v>
      </c>
      <c r="Q155" t="s">
        <v>29</v>
      </c>
      <c r="R155" t="s">
        <v>29</v>
      </c>
      <c r="S155" t="s">
        <v>29</v>
      </c>
      <c r="T155" t="s">
        <v>29</v>
      </c>
      <c r="U155" t="s">
        <v>29</v>
      </c>
      <c r="V155" t="s">
        <v>29</v>
      </c>
    </row>
    <row r="156" spans="1:22" x14ac:dyDescent="0.35">
      <c r="A156" s="1">
        <v>45616</v>
      </c>
      <c r="B156" t="s">
        <v>30</v>
      </c>
      <c r="C156" s="2">
        <v>0.69650462962962967</v>
      </c>
      <c r="D156" t="s">
        <v>512</v>
      </c>
      <c r="E156" t="s">
        <v>41</v>
      </c>
      <c r="F156" t="s">
        <v>513</v>
      </c>
      <c r="G156" t="s">
        <v>50</v>
      </c>
      <c r="H156" t="s">
        <v>263</v>
      </c>
      <c r="I156" t="s">
        <v>493</v>
      </c>
      <c r="J156">
        <v>2.9</v>
      </c>
      <c r="K156">
        <v>39.299999999999997</v>
      </c>
      <c r="L156" t="s">
        <v>29</v>
      </c>
      <c r="M156" t="s">
        <v>29</v>
      </c>
      <c r="N156" t="s">
        <v>29</v>
      </c>
      <c r="O156" t="s">
        <v>29</v>
      </c>
      <c r="P156" t="s">
        <v>29</v>
      </c>
      <c r="Q156" t="s">
        <v>29</v>
      </c>
      <c r="R156">
        <v>134</v>
      </c>
      <c r="S156">
        <v>49.26</v>
      </c>
      <c r="T156">
        <v>4.0999999999999996</v>
      </c>
      <c r="U156">
        <v>4.9000000000000004</v>
      </c>
      <c r="V156" t="s">
        <v>38</v>
      </c>
    </row>
    <row r="157" spans="1:22" x14ac:dyDescent="0.35">
      <c r="A157" s="1">
        <v>45588</v>
      </c>
      <c r="B157" t="s">
        <v>47</v>
      </c>
      <c r="C157" s="2">
        <v>0.45200231481481479</v>
      </c>
      <c r="D157" t="s">
        <v>514</v>
      </c>
      <c r="E157" t="s">
        <v>93</v>
      </c>
      <c r="F157" t="s">
        <v>515</v>
      </c>
      <c r="G157" t="s">
        <v>67</v>
      </c>
      <c r="H157" t="s">
        <v>45</v>
      </c>
      <c r="I157" t="s">
        <v>262</v>
      </c>
      <c r="J157">
        <v>3.9</v>
      </c>
      <c r="K157" t="s">
        <v>29</v>
      </c>
      <c r="L157" t="s">
        <v>29</v>
      </c>
      <c r="M157" t="s">
        <v>29</v>
      </c>
      <c r="N157">
        <v>1</v>
      </c>
      <c r="O157" t="s">
        <v>169</v>
      </c>
      <c r="P157" t="s">
        <v>29</v>
      </c>
      <c r="Q157" t="s">
        <v>29</v>
      </c>
      <c r="R157" t="s">
        <v>29</v>
      </c>
      <c r="S157" t="s">
        <v>29</v>
      </c>
      <c r="T157" t="s">
        <v>29</v>
      </c>
      <c r="U157" t="s">
        <v>29</v>
      </c>
      <c r="V157" t="s">
        <v>29</v>
      </c>
    </row>
    <row r="158" spans="1:22" x14ac:dyDescent="0.35">
      <c r="A158" s="1">
        <v>45514</v>
      </c>
      <c r="B158" t="s">
        <v>39</v>
      </c>
      <c r="C158" s="2">
        <v>0.77549768518518514</v>
      </c>
      <c r="D158" t="s">
        <v>516</v>
      </c>
      <c r="E158" t="s">
        <v>117</v>
      </c>
      <c r="F158" t="s">
        <v>517</v>
      </c>
      <c r="G158" t="s">
        <v>56</v>
      </c>
      <c r="H158" t="s">
        <v>88</v>
      </c>
      <c r="I158" t="s">
        <v>45</v>
      </c>
      <c r="J158">
        <v>18.5</v>
      </c>
      <c r="K158" t="s">
        <v>29</v>
      </c>
      <c r="L158">
        <v>1</v>
      </c>
      <c r="M158" t="s">
        <v>420</v>
      </c>
      <c r="N158" t="s">
        <v>29</v>
      </c>
      <c r="O158" t="s">
        <v>29</v>
      </c>
      <c r="P158" t="s">
        <v>29</v>
      </c>
      <c r="Q158" t="s">
        <v>29</v>
      </c>
      <c r="R158" t="s">
        <v>29</v>
      </c>
      <c r="S158" t="s">
        <v>29</v>
      </c>
      <c r="T158" t="s">
        <v>29</v>
      </c>
      <c r="U158" t="s">
        <v>29</v>
      </c>
      <c r="V158" t="s">
        <v>29</v>
      </c>
    </row>
    <row r="159" spans="1:22" x14ac:dyDescent="0.35">
      <c r="A159" s="1">
        <v>45418</v>
      </c>
      <c r="B159" t="s">
        <v>122</v>
      </c>
      <c r="C159" s="2">
        <v>0.80854166666666671</v>
      </c>
      <c r="D159" t="s">
        <v>518</v>
      </c>
      <c r="E159" t="s">
        <v>117</v>
      </c>
      <c r="F159" t="s">
        <v>519</v>
      </c>
      <c r="G159" t="s">
        <v>56</v>
      </c>
      <c r="H159" t="s">
        <v>190</v>
      </c>
      <c r="I159" t="s">
        <v>520</v>
      </c>
      <c r="J159">
        <v>16.100000000000001</v>
      </c>
      <c r="K159" t="s">
        <v>29</v>
      </c>
      <c r="L159">
        <v>1</v>
      </c>
      <c r="M159" t="s">
        <v>224</v>
      </c>
      <c r="N159" t="s">
        <v>29</v>
      </c>
      <c r="O159" t="s">
        <v>29</v>
      </c>
      <c r="P159" t="s">
        <v>29</v>
      </c>
      <c r="Q159" t="s">
        <v>29</v>
      </c>
      <c r="R159" t="s">
        <v>29</v>
      </c>
      <c r="S159" t="s">
        <v>29</v>
      </c>
      <c r="T159" t="s">
        <v>29</v>
      </c>
      <c r="U159" t="s">
        <v>29</v>
      </c>
      <c r="V159" t="s">
        <v>29</v>
      </c>
    </row>
    <row r="160" spans="1:22" x14ac:dyDescent="0.35">
      <c r="A160" s="1">
        <v>45609</v>
      </c>
      <c r="B160" t="s">
        <v>30</v>
      </c>
      <c r="C160" s="2">
        <v>0.28591435185185188</v>
      </c>
      <c r="D160" t="s">
        <v>521</v>
      </c>
      <c r="E160" t="s">
        <v>41</v>
      </c>
      <c r="F160" t="s">
        <v>522</v>
      </c>
      <c r="G160" t="s">
        <v>34</v>
      </c>
      <c r="H160" t="s">
        <v>186</v>
      </c>
      <c r="I160" t="s">
        <v>343</v>
      </c>
      <c r="J160">
        <v>13.7</v>
      </c>
      <c r="K160">
        <v>40.700000000000003</v>
      </c>
      <c r="L160" t="s">
        <v>29</v>
      </c>
      <c r="M160" t="s">
        <v>29</v>
      </c>
      <c r="N160" t="s">
        <v>29</v>
      </c>
      <c r="O160" t="s">
        <v>29</v>
      </c>
      <c r="P160" t="s">
        <v>29</v>
      </c>
      <c r="Q160" t="s">
        <v>29</v>
      </c>
      <c r="R160">
        <v>113</v>
      </c>
      <c r="S160">
        <v>8.2100000000000009</v>
      </c>
      <c r="T160">
        <v>4.3</v>
      </c>
      <c r="U160">
        <v>5</v>
      </c>
      <c r="V160" t="s">
        <v>38</v>
      </c>
    </row>
    <row r="161" spans="1:22" x14ac:dyDescent="0.35">
      <c r="A161" s="1">
        <v>45551</v>
      </c>
      <c r="B161" t="s">
        <v>53</v>
      </c>
      <c r="C161" s="2">
        <v>0.67211805555555559</v>
      </c>
      <c r="D161" t="s">
        <v>523</v>
      </c>
      <c r="E161" t="s">
        <v>32</v>
      </c>
      <c r="F161" t="s">
        <v>524</v>
      </c>
      <c r="G161" t="s">
        <v>67</v>
      </c>
      <c r="H161" t="s">
        <v>449</v>
      </c>
      <c r="I161" t="s">
        <v>164</v>
      </c>
      <c r="J161">
        <v>2.2999999999999998</v>
      </c>
      <c r="K161">
        <v>19.600000000000001</v>
      </c>
      <c r="L161" t="s">
        <v>29</v>
      </c>
      <c r="M161" t="s">
        <v>29</v>
      </c>
      <c r="N161" t="s">
        <v>29</v>
      </c>
      <c r="O161" t="s">
        <v>29</v>
      </c>
      <c r="P161">
        <v>1</v>
      </c>
      <c r="Q161" t="s">
        <v>37</v>
      </c>
      <c r="R161">
        <v>84</v>
      </c>
      <c r="S161">
        <v>16.09</v>
      </c>
      <c r="T161" t="s">
        <v>29</v>
      </c>
      <c r="U161" t="s">
        <v>29</v>
      </c>
      <c r="V161" t="s">
        <v>107</v>
      </c>
    </row>
    <row r="162" spans="1:22" x14ac:dyDescent="0.35">
      <c r="A162" s="1">
        <v>45428</v>
      </c>
      <c r="B162" t="s">
        <v>122</v>
      </c>
      <c r="C162" s="2">
        <v>0.52468749999999997</v>
      </c>
      <c r="D162" t="s">
        <v>525</v>
      </c>
      <c r="E162" t="s">
        <v>41</v>
      </c>
      <c r="F162" t="s">
        <v>526</v>
      </c>
      <c r="G162" t="s">
        <v>43</v>
      </c>
      <c r="H162" t="s">
        <v>266</v>
      </c>
      <c r="I162" t="s">
        <v>263</v>
      </c>
      <c r="J162">
        <v>12.1</v>
      </c>
      <c r="K162">
        <v>32.5</v>
      </c>
      <c r="L162" t="s">
        <v>29</v>
      </c>
      <c r="M162" t="s">
        <v>29</v>
      </c>
      <c r="N162" t="s">
        <v>29</v>
      </c>
      <c r="O162" t="s">
        <v>29</v>
      </c>
      <c r="P162" t="s">
        <v>29</v>
      </c>
      <c r="Q162" t="s">
        <v>29</v>
      </c>
      <c r="R162">
        <v>81</v>
      </c>
      <c r="S162">
        <v>11.94</v>
      </c>
      <c r="T162">
        <v>4</v>
      </c>
      <c r="U162">
        <v>4.5</v>
      </c>
      <c r="V162" t="s">
        <v>38</v>
      </c>
    </row>
    <row r="163" spans="1:22" x14ac:dyDescent="0.35">
      <c r="A163" s="1">
        <v>45337</v>
      </c>
      <c r="B163" t="s">
        <v>59</v>
      </c>
      <c r="C163" s="2">
        <v>0.79932870370370368</v>
      </c>
      <c r="D163" t="s">
        <v>527</v>
      </c>
      <c r="E163" t="s">
        <v>41</v>
      </c>
      <c r="F163" t="s">
        <v>528</v>
      </c>
      <c r="G163" t="s">
        <v>34</v>
      </c>
      <c r="H163" t="s">
        <v>296</v>
      </c>
      <c r="I163" t="s">
        <v>119</v>
      </c>
      <c r="J163">
        <v>4.5</v>
      </c>
      <c r="K163">
        <v>43.1</v>
      </c>
      <c r="L163" t="s">
        <v>29</v>
      </c>
      <c r="M163" t="s">
        <v>29</v>
      </c>
      <c r="N163" t="s">
        <v>29</v>
      </c>
      <c r="O163" t="s">
        <v>29</v>
      </c>
      <c r="P163" t="s">
        <v>29</v>
      </c>
      <c r="Q163" t="s">
        <v>29</v>
      </c>
      <c r="R163">
        <v>992</v>
      </c>
      <c r="S163">
        <v>8.23</v>
      </c>
      <c r="T163">
        <v>5</v>
      </c>
      <c r="U163">
        <v>4.5999999999999996</v>
      </c>
      <c r="V163" t="s">
        <v>38</v>
      </c>
    </row>
    <row r="164" spans="1:22" x14ac:dyDescent="0.35">
      <c r="A164" s="1">
        <v>45505</v>
      </c>
      <c r="B164" t="s">
        <v>39</v>
      </c>
      <c r="C164" s="2">
        <v>0.26120370370370372</v>
      </c>
      <c r="D164" t="s">
        <v>529</v>
      </c>
      <c r="E164" t="s">
        <v>41</v>
      </c>
      <c r="F164" t="s">
        <v>530</v>
      </c>
      <c r="G164" t="s">
        <v>50</v>
      </c>
      <c r="H164" t="s">
        <v>441</v>
      </c>
      <c r="I164" t="s">
        <v>531</v>
      </c>
      <c r="J164">
        <v>3.6</v>
      </c>
      <c r="K164">
        <v>26.5</v>
      </c>
      <c r="L164" t="s">
        <v>29</v>
      </c>
      <c r="M164" t="s">
        <v>29</v>
      </c>
      <c r="N164" t="s">
        <v>29</v>
      </c>
      <c r="O164" t="s">
        <v>29</v>
      </c>
      <c r="P164" t="s">
        <v>29</v>
      </c>
      <c r="Q164" t="s">
        <v>29</v>
      </c>
      <c r="R164">
        <v>513</v>
      </c>
      <c r="S164">
        <v>49.5</v>
      </c>
      <c r="T164">
        <v>4.3</v>
      </c>
      <c r="U164">
        <v>4.9000000000000004</v>
      </c>
      <c r="V164" t="s">
        <v>38</v>
      </c>
    </row>
    <row r="165" spans="1:22" x14ac:dyDescent="0.35">
      <c r="A165" s="1">
        <v>45414</v>
      </c>
      <c r="B165" t="s">
        <v>122</v>
      </c>
      <c r="C165" s="2">
        <v>0.80318287037037039</v>
      </c>
      <c r="D165" t="s">
        <v>532</v>
      </c>
      <c r="E165" t="s">
        <v>41</v>
      </c>
      <c r="F165" t="s">
        <v>533</v>
      </c>
      <c r="G165" t="s">
        <v>50</v>
      </c>
      <c r="H165" t="s">
        <v>148</v>
      </c>
      <c r="I165" t="s">
        <v>190</v>
      </c>
      <c r="J165">
        <v>5.8</v>
      </c>
      <c r="K165">
        <v>38.9</v>
      </c>
      <c r="L165" t="s">
        <v>29</v>
      </c>
      <c r="M165" t="s">
        <v>29</v>
      </c>
      <c r="N165" t="s">
        <v>29</v>
      </c>
      <c r="O165" t="s">
        <v>29</v>
      </c>
      <c r="P165" t="s">
        <v>29</v>
      </c>
      <c r="Q165" t="s">
        <v>29</v>
      </c>
      <c r="R165">
        <v>635</v>
      </c>
      <c r="S165">
        <v>37.369999999999997</v>
      </c>
      <c r="T165">
        <v>4.3</v>
      </c>
      <c r="U165">
        <v>4.5999999999999996</v>
      </c>
      <c r="V165" t="s">
        <v>38</v>
      </c>
    </row>
    <row r="166" spans="1:22" x14ac:dyDescent="0.35">
      <c r="A166" s="1">
        <v>45531</v>
      </c>
      <c r="B166" t="s">
        <v>39</v>
      </c>
      <c r="C166" s="2">
        <v>0.25312499999999999</v>
      </c>
      <c r="D166" t="s">
        <v>534</v>
      </c>
      <c r="E166" t="s">
        <v>41</v>
      </c>
      <c r="F166" t="s">
        <v>535</v>
      </c>
      <c r="G166" t="s">
        <v>146</v>
      </c>
      <c r="H166" t="s">
        <v>119</v>
      </c>
      <c r="I166" t="s">
        <v>536</v>
      </c>
      <c r="J166">
        <v>6.9</v>
      </c>
      <c r="K166">
        <v>17</v>
      </c>
      <c r="L166" t="s">
        <v>29</v>
      </c>
      <c r="M166" t="s">
        <v>29</v>
      </c>
      <c r="N166" t="s">
        <v>29</v>
      </c>
      <c r="O166" t="s">
        <v>29</v>
      </c>
      <c r="P166" t="s">
        <v>29</v>
      </c>
      <c r="Q166" t="s">
        <v>29</v>
      </c>
      <c r="R166">
        <v>242</v>
      </c>
      <c r="S166">
        <v>35.380000000000003</v>
      </c>
      <c r="T166">
        <v>4.4000000000000004</v>
      </c>
      <c r="U166">
        <v>4.9000000000000004</v>
      </c>
      <c r="V166" t="s">
        <v>38</v>
      </c>
    </row>
    <row r="167" spans="1:22" x14ac:dyDescent="0.35">
      <c r="A167" s="1">
        <v>45585</v>
      </c>
      <c r="B167" t="s">
        <v>47</v>
      </c>
      <c r="C167" s="2">
        <v>0.5326967592592593</v>
      </c>
      <c r="D167" t="s">
        <v>537</v>
      </c>
      <c r="E167" t="s">
        <v>41</v>
      </c>
      <c r="F167" t="s">
        <v>538</v>
      </c>
      <c r="G167" t="s">
        <v>56</v>
      </c>
      <c r="H167" t="s">
        <v>148</v>
      </c>
      <c r="I167" t="s">
        <v>176</v>
      </c>
      <c r="J167">
        <v>12.5</v>
      </c>
      <c r="K167">
        <v>20.6</v>
      </c>
      <c r="L167" t="s">
        <v>29</v>
      </c>
      <c r="M167" t="s">
        <v>29</v>
      </c>
      <c r="N167" t="s">
        <v>29</v>
      </c>
      <c r="O167" t="s">
        <v>29</v>
      </c>
      <c r="P167" t="s">
        <v>29</v>
      </c>
      <c r="Q167" t="s">
        <v>29</v>
      </c>
      <c r="R167">
        <v>1114</v>
      </c>
      <c r="S167">
        <v>34.81</v>
      </c>
      <c r="T167">
        <v>4.0999999999999996</v>
      </c>
      <c r="U167">
        <v>4.2</v>
      </c>
      <c r="V167" t="s">
        <v>107</v>
      </c>
    </row>
    <row r="168" spans="1:22" x14ac:dyDescent="0.35">
      <c r="A168" s="1">
        <v>45468</v>
      </c>
      <c r="B168" t="s">
        <v>64</v>
      </c>
      <c r="C168" s="2">
        <v>0.96414351851851854</v>
      </c>
      <c r="D168" t="s">
        <v>539</v>
      </c>
      <c r="E168" t="s">
        <v>41</v>
      </c>
      <c r="F168" t="s">
        <v>540</v>
      </c>
      <c r="G168" t="s">
        <v>56</v>
      </c>
      <c r="H168" t="s">
        <v>36</v>
      </c>
      <c r="I168" t="s">
        <v>73</v>
      </c>
      <c r="J168">
        <v>9</v>
      </c>
      <c r="K168">
        <v>37.700000000000003</v>
      </c>
      <c r="L168" t="s">
        <v>29</v>
      </c>
      <c r="M168" t="s">
        <v>29</v>
      </c>
      <c r="N168" t="s">
        <v>29</v>
      </c>
      <c r="O168" t="s">
        <v>29</v>
      </c>
      <c r="P168" t="s">
        <v>29</v>
      </c>
      <c r="Q168" t="s">
        <v>29</v>
      </c>
      <c r="R168">
        <v>372</v>
      </c>
      <c r="S168">
        <v>20.92</v>
      </c>
      <c r="T168">
        <v>3.8</v>
      </c>
      <c r="U168">
        <v>4.5999999999999996</v>
      </c>
      <c r="V168" t="s">
        <v>38</v>
      </c>
    </row>
    <row r="169" spans="1:22" x14ac:dyDescent="0.35">
      <c r="A169" s="1">
        <v>45335</v>
      </c>
      <c r="B169" t="s">
        <v>59</v>
      </c>
      <c r="C169" s="2">
        <v>0.25800925925925927</v>
      </c>
      <c r="D169" t="s">
        <v>541</v>
      </c>
      <c r="E169" t="s">
        <v>93</v>
      </c>
      <c r="F169" t="s">
        <v>542</v>
      </c>
      <c r="G169" t="s">
        <v>56</v>
      </c>
      <c r="H169" t="s">
        <v>57</v>
      </c>
      <c r="I169" t="s">
        <v>164</v>
      </c>
      <c r="J169">
        <v>6.2</v>
      </c>
      <c r="K169" t="s">
        <v>29</v>
      </c>
      <c r="L169" t="s">
        <v>29</v>
      </c>
      <c r="M169" t="s">
        <v>29</v>
      </c>
      <c r="N169">
        <v>1</v>
      </c>
      <c r="O169" t="s">
        <v>337</v>
      </c>
      <c r="P169" t="s">
        <v>29</v>
      </c>
      <c r="Q169" t="s">
        <v>29</v>
      </c>
      <c r="R169" t="s">
        <v>29</v>
      </c>
      <c r="S169" t="s">
        <v>29</v>
      </c>
      <c r="T169" t="s">
        <v>29</v>
      </c>
      <c r="U169" t="s">
        <v>29</v>
      </c>
      <c r="V169" t="s">
        <v>29</v>
      </c>
    </row>
    <row r="170" spans="1:22" x14ac:dyDescent="0.35">
      <c r="A170" s="1">
        <v>45483</v>
      </c>
      <c r="B170" t="s">
        <v>108</v>
      </c>
      <c r="C170" s="2">
        <v>0.7025231481481482</v>
      </c>
      <c r="D170" t="s">
        <v>543</v>
      </c>
      <c r="E170" t="s">
        <v>41</v>
      </c>
      <c r="F170" t="s">
        <v>544</v>
      </c>
      <c r="G170" t="s">
        <v>67</v>
      </c>
      <c r="H170" t="s">
        <v>369</v>
      </c>
      <c r="I170" t="s">
        <v>270</v>
      </c>
      <c r="J170">
        <v>3.5</v>
      </c>
      <c r="K170">
        <v>40.200000000000003</v>
      </c>
      <c r="L170" t="s">
        <v>29</v>
      </c>
      <c r="M170" t="s">
        <v>29</v>
      </c>
      <c r="N170" t="s">
        <v>29</v>
      </c>
      <c r="O170" t="s">
        <v>29</v>
      </c>
      <c r="P170" t="s">
        <v>29</v>
      </c>
      <c r="Q170" t="s">
        <v>29</v>
      </c>
      <c r="R170">
        <v>387</v>
      </c>
      <c r="S170">
        <v>23.39</v>
      </c>
      <c r="T170">
        <v>4.3</v>
      </c>
      <c r="U170">
        <v>4.7</v>
      </c>
      <c r="V170" t="s">
        <v>107</v>
      </c>
    </row>
    <row r="171" spans="1:22" x14ac:dyDescent="0.35">
      <c r="A171" s="1">
        <v>45453</v>
      </c>
      <c r="B171" t="s">
        <v>64</v>
      </c>
      <c r="C171" s="2">
        <v>0.31844907407407408</v>
      </c>
      <c r="D171" t="s">
        <v>545</v>
      </c>
      <c r="E171" t="s">
        <v>41</v>
      </c>
      <c r="F171" t="s">
        <v>546</v>
      </c>
      <c r="G171" t="s">
        <v>34</v>
      </c>
      <c r="H171" t="s">
        <v>366</v>
      </c>
      <c r="I171" t="s">
        <v>129</v>
      </c>
      <c r="J171">
        <v>7.1</v>
      </c>
      <c r="K171">
        <v>31.6</v>
      </c>
      <c r="L171" t="s">
        <v>29</v>
      </c>
      <c r="M171" t="s">
        <v>29</v>
      </c>
      <c r="N171" t="s">
        <v>29</v>
      </c>
      <c r="O171" t="s">
        <v>29</v>
      </c>
      <c r="P171" t="s">
        <v>29</v>
      </c>
      <c r="Q171" t="s">
        <v>29</v>
      </c>
      <c r="R171">
        <v>767</v>
      </c>
      <c r="S171">
        <v>30.82</v>
      </c>
      <c r="T171">
        <v>4.5999999999999996</v>
      </c>
      <c r="U171">
        <v>4.9000000000000004</v>
      </c>
      <c r="V171" t="s">
        <v>38</v>
      </c>
    </row>
    <row r="172" spans="1:22" x14ac:dyDescent="0.35">
      <c r="A172" s="1">
        <v>45484</v>
      </c>
      <c r="B172" t="s">
        <v>108</v>
      </c>
      <c r="C172" s="2">
        <v>0.61281249999999998</v>
      </c>
      <c r="D172" t="s">
        <v>547</v>
      </c>
      <c r="E172" t="s">
        <v>41</v>
      </c>
      <c r="F172" t="s">
        <v>548</v>
      </c>
      <c r="G172" t="s">
        <v>43</v>
      </c>
      <c r="H172" t="s">
        <v>180</v>
      </c>
      <c r="I172" t="s">
        <v>549</v>
      </c>
      <c r="J172">
        <v>7.1</v>
      </c>
      <c r="K172">
        <v>24.4</v>
      </c>
      <c r="L172" t="s">
        <v>29</v>
      </c>
      <c r="M172" t="s">
        <v>29</v>
      </c>
      <c r="N172" t="s">
        <v>29</v>
      </c>
      <c r="O172" t="s">
        <v>29</v>
      </c>
      <c r="P172" t="s">
        <v>29</v>
      </c>
      <c r="Q172" t="s">
        <v>29</v>
      </c>
      <c r="R172">
        <v>447</v>
      </c>
      <c r="S172">
        <v>21.31</v>
      </c>
      <c r="T172">
        <v>4.5</v>
      </c>
      <c r="U172">
        <v>4.0999999999999996</v>
      </c>
      <c r="V172" t="s">
        <v>38</v>
      </c>
    </row>
    <row r="173" spans="1:22" x14ac:dyDescent="0.35">
      <c r="A173" s="1">
        <v>45463</v>
      </c>
      <c r="B173" t="s">
        <v>64</v>
      </c>
      <c r="C173" s="2">
        <v>0.30175925925925928</v>
      </c>
      <c r="D173" t="s">
        <v>550</v>
      </c>
      <c r="E173" t="s">
        <v>41</v>
      </c>
      <c r="F173" t="s">
        <v>551</v>
      </c>
      <c r="G173" t="s">
        <v>50</v>
      </c>
      <c r="H173" t="s">
        <v>217</v>
      </c>
      <c r="I173" t="s">
        <v>552</v>
      </c>
      <c r="J173">
        <v>6.7</v>
      </c>
      <c r="K173">
        <v>33.5</v>
      </c>
      <c r="L173" t="s">
        <v>29</v>
      </c>
      <c r="M173" t="s">
        <v>29</v>
      </c>
      <c r="N173" t="s">
        <v>29</v>
      </c>
      <c r="O173" t="s">
        <v>29</v>
      </c>
      <c r="P173" t="s">
        <v>29</v>
      </c>
      <c r="Q173" t="s">
        <v>29</v>
      </c>
      <c r="R173">
        <v>500</v>
      </c>
      <c r="S173">
        <v>20.41</v>
      </c>
      <c r="T173">
        <v>4.3</v>
      </c>
      <c r="U173">
        <v>4.7</v>
      </c>
      <c r="V173" t="s">
        <v>149</v>
      </c>
    </row>
    <row r="174" spans="1:22" x14ac:dyDescent="0.35">
      <c r="A174" s="1">
        <v>45614</v>
      </c>
      <c r="B174" t="s">
        <v>30</v>
      </c>
      <c r="C174" s="2">
        <v>0.69319444444444445</v>
      </c>
      <c r="D174" t="s">
        <v>553</v>
      </c>
      <c r="E174" t="s">
        <v>93</v>
      </c>
      <c r="F174" t="s">
        <v>554</v>
      </c>
      <c r="G174" t="s">
        <v>26</v>
      </c>
      <c r="H174" t="s">
        <v>190</v>
      </c>
      <c r="I174" t="s">
        <v>555</v>
      </c>
      <c r="J174">
        <v>7.2</v>
      </c>
      <c r="K174" t="s">
        <v>29</v>
      </c>
      <c r="L174" t="s">
        <v>29</v>
      </c>
      <c r="M174" t="s">
        <v>29</v>
      </c>
      <c r="N174">
        <v>1</v>
      </c>
      <c r="O174" t="s">
        <v>97</v>
      </c>
      <c r="P174" t="s">
        <v>29</v>
      </c>
      <c r="Q174" t="s">
        <v>29</v>
      </c>
      <c r="R174" t="s">
        <v>29</v>
      </c>
      <c r="S174" t="s">
        <v>29</v>
      </c>
      <c r="T174" t="s">
        <v>29</v>
      </c>
      <c r="U174" t="s">
        <v>29</v>
      </c>
      <c r="V174" t="s">
        <v>29</v>
      </c>
    </row>
    <row r="175" spans="1:22" x14ac:dyDescent="0.35">
      <c r="A175" s="1">
        <v>45356</v>
      </c>
      <c r="B175" t="s">
        <v>22</v>
      </c>
      <c r="C175" s="2">
        <v>0.51458333333333328</v>
      </c>
      <c r="D175" t="s">
        <v>556</v>
      </c>
      <c r="E175" t="s">
        <v>41</v>
      </c>
      <c r="F175" t="s">
        <v>557</v>
      </c>
      <c r="G175" t="s">
        <v>67</v>
      </c>
      <c r="H175" t="s">
        <v>366</v>
      </c>
      <c r="I175" t="s">
        <v>227</v>
      </c>
      <c r="J175">
        <v>3.7</v>
      </c>
      <c r="K175">
        <v>38.9</v>
      </c>
      <c r="L175" t="s">
        <v>29</v>
      </c>
      <c r="M175" t="s">
        <v>29</v>
      </c>
      <c r="N175" t="s">
        <v>29</v>
      </c>
      <c r="O175" t="s">
        <v>29</v>
      </c>
      <c r="P175" t="s">
        <v>29</v>
      </c>
      <c r="Q175" t="s">
        <v>29</v>
      </c>
      <c r="R175">
        <v>446</v>
      </c>
      <c r="S175">
        <v>25.94</v>
      </c>
      <c r="T175">
        <v>4.9000000000000004</v>
      </c>
      <c r="U175">
        <v>4.3</v>
      </c>
      <c r="V175" t="s">
        <v>46</v>
      </c>
    </row>
    <row r="176" spans="1:22" x14ac:dyDescent="0.35">
      <c r="A176" s="1">
        <v>45303</v>
      </c>
      <c r="B176" t="s">
        <v>150</v>
      </c>
      <c r="C176" s="2">
        <v>0.38837962962962963</v>
      </c>
      <c r="D176" t="s">
        <v>558</v>
      </c>
      <c r="E176" t="s">
        <v>93</v>
      </c>
      <c r="F176" t="s">
        <v>559</v>
      </c>
      <c r="G176" t="s">
        <v>26</v>
      </c>
      <c r="H176" t="s">
        <v>536</v>
      </c>
      <c r="I176" t="s">
        <v>560</v>
      </c>
      <c r="J176">
        <v>11.6</v>
      </c>
      <c r="K176" t="s">
        <v>29</v>
      </c>
      <c r="L176" t="s">
        <v>29</v>
      </c>
      <c r="M176" t="s">
        <v>29</v>
      </c>
      <c r="N176">
        <v>1</v>
      </c>
      <c r="O176" t="s">
        <v>337</v>
      </c>
      <c r="P176" t="s">
        <v>29</v>
      </c>
      <c r="Q176" t="s">
        <v>29</v>
      </c>
      <c r="R176" t="s">
        <v>29</v>
      </c>
      <c r="S176" t="s">
        <v>29</v>
      </c>
      <c r="T176" t="s">
        <v>29</v>
      </c>
      <c r="U176" t="s">
        <v>29</v>
      </c>
      <c r="V176" t="s">
        <v>29</v>
      </c>
    </row>
    <row r="177" spans="1:22" x14ac:dyDescent="0.35">
      <c r="A177" s="1">
        <v>45429</v>
      </c>
      <c r="B177" t="s">
        <v>122</v>
      </c>
      <c r="C177" s="2">
        <v>4.746527777777778E-2</v>
      </c>
      <c r="D177" t="s">
        <v>561</v>
      </c>
      <c r="E177" t="s">
        <v>41</v>
      </c>
      <c r="F177" t="s">
        <v>562</v>
      </c>
      <c r="G177" t="s">
        <v>26</v>
      </c>
      <c r="H177" t="s">
        <v>486</v>
      </c>
      <c r="I177" t="s">
        <v>232</v>
      </c>
      <c r="J177">
        <v>2.6</v>
      </c>
      <c r="K177">
        <v>32.9</v>
      </c>
      <c r="L177" t="s">
        <v>29</v>
      </c>
      <c r="M177" t="s">
        <v>29</v>
      </c>
      <c r="N177" t="s">
        <v>29</v>
      </c>
      <c r="O177" t="s">
        <v>29</v>
      </c>
      <c r="P177" t="s">
        <v>29</v>
      </c>
      <c r="Q177" t="s">
        <v>29</v>
      </c>
      <c r="R177">
        <v>125</v>
      </c>
      <c r="S177">
        <v>39.159999999999997</v>
      </c>
      <c r="T177">
        <v>4.0999999999999996</v>
      </c>
      <c r="U177">
        <v>4.9000000000000004</v>
      </c>
      <c r="V177" t="s">
        <v>38</v>
      </c>
    </row>
    <row r="178" spans="1:22" x14ac:dyDescent="0.35">
      <c r="A178" s="1">
        <v>45425</v>
      </c>
      <c r="B178" t="s">
        <v>122</v>
      </c>
      <c r="C178" s="2">
        <v>0.88096064814814812</v>
      </c>
      <c r="D178" t="s">
        <v>563</v>
      </c>
      <c r="E178" t="s">
        <v>41</v>
      </c>
      <c r="F178" t="s">
        <v>564</v>
      </c>
      <c r="G178" t="s">
        <v>34</v>
      </c>
      <c r="H178" t="s">
        <v>227</v>
      </c>
      <c r="I178" t="s">
        <v>565</v>
      </c>
      <c r="J178">
        <v>11.4</v>
      </c>
      <c r="K178">
        <v>17.2</v>
      </c>
      <c r="L178" t="s">
        <v>29</v>
      </c>
      <c r="M178" t="s">
        <v>29</v>
      </c>
      <c r="N178" t="s">
        <v>29</v>
      </c>
      <c r="O178" t="s">
        <v>29</v>
      </c>
      <c r="P178" t="s">
        <v>29</v>
      </c>
      <c r="Q178" t="s">
        <v>29</v>
      </c>
      <c r="R178">
        <v>419</v>
      </c>
      <c r="S178">
        <v>23.79</v>
      </c>
      <c r="T178">
        <v>4.3</v>
      </c>
      <c r="U178">
        <v>4.7</v>
      </c>
      <c r="V178" t="s">
        <v>107</v>
      </c>
    </row>
    <row r="179" spans="1:22" x14ac:dyDescent="0.35">
      <c r="A179" s="1">
        <v>45295</v>
      </c>
      <c r="B179" t="s">
        <v>150</v>
      </c>
      <c r="C179" s="2">
        <v>0.29094907407407405</v>
      </c>
      <c r="D179" t="s">
        <v>566</v>
      </c>
      <c r="E179" t="s">
        <v>93</v>
      </c>
      <c r="F179" t="s">
        <v>567</v>
      </c>
      <c r="G179" t="s">
        <v>34</v>
      </c>
      <c r="H179" t="s">
        <v>153</v>
      </c>
      <c r="I179" t="s">
        <v>140</v>
      </c>
      <c r="J179">
        <v>3.3</v>
      </c>
      <c r="K179" t="s">
        <v>29</v>
      </c>
      <c r="L179" t="s">
        <v>29</v>
      </c>
      <c r="M179" t="s">
        <v>29</v>
      </c>
      <c r="N179">
        <v>1</v>
      </c>
      <c r="O179" t="s">
        <v>169</v>
      </c>
      <c r="P179" t="s">
        <v>29</v>
      </c>
      <c r="Q179" t="s">
        <v>29</v>
      </c>
      <c r="R179" t="s">
        <v>29</v>
      </c>
      <c r="S179" t="s">
        <v>29</v>
      </c>
      <c r="T179" t="s">
        <v>29</v>
      </c>
      <c r="U179" t="s">
        <v>29</v>
      </c>
      <c r="V179" t="s">
        <v>29</v>
      </c>
    </row>
    <row r="180" spans="1:22" x14ac:dyDescent="0.35">
      <c r="A180" s="1">
        <v>45462</v>
      </c>
      <c r="B180" t="s">
        <v>64</v>
      </c>
      <c r="C180" s="2">
        <v>0.91809027777777774</v>
      </c>
      <c r="D180" t="s">
        <v>568</v>
      </c>
      <c r="E180" t="s">
        <v>41</v>
      </c>
      <c r="F180" t="s">
        <v>569</v>
      </c>
      <c r="G180" t="s">
        <v>34</v>
      </c>
      <c r="H180" t="s">
        <v>249</v>
      </c>
      <c r="I180" t="s">
        <v>167</v>
      </c>
      <c r="J180">
        <v>4.7</v>
      </c>
      <c r="K180">
        <v>17.7</v>
      </c>
      <c r="L180" t="s">
        <v>29</v>
      </c>
      <c r="M180" t="s">
        <v>29</v>
      </c>
      <c r="N180" t="s">
        <v>29</v>
      </c>
      <c r="O180" t="s">
        <v>29</v>
      </c>
      <c r="P180" t="s">
        <v>29</v>
      </c>
      <c r="Q180" t="s">
        <v>29</v>
      </c>
      <c r="R180">
        <v>477</v>
      </c>
      <c r="S180">
        <v>41.93</v>
      </c>
      <c r="T180">
        <v>4.5999999999999996</v>
      </c>
      <c r="U180">
        <v>4.9000000000000004</v>
      </c>
      <c r="V180" t="s">
        <v>84</v>
      </c>
    </row>
    <row r="181" spans="1:22" x14ac:dyDescent="0.35">
      <c r="A181" s="1">
        <v>45474</v>
      </c>
      <c r="B181" t="s">
        <v>108</v>
      </c>
      <c r="C181" s="2">
        <v>0.78613425925925928</v>
      </c>
      <c r="D181" t="s">
        <v>570</v>
      </c>
      <c r="E181" t="s">
        <v>93</v>
      </c>
      <c r="F181" t="s">
        <v>571</v>
      </c>
      <c r="G181" t="s">
        <v>34</v>
      </c>
      <c r="H181" t="s">
        <v>249</v>
      </c>
      <c r="I181" t="s">
        <v>194</v>
      </c>
      <c r="J181">
        <v>5.8</v>
      </c>
      <c r="K181" t="s">
        <v>29</v>
      </c>
      <c r="L181" t="s">
        <v>29</v>
      </c>
      <c r="M181" t="s">
        <v>29</v>
      </c>
      <c r="N181">
        <v>1</v>
      </c>
      <c r="O181" t="s">
        <v>337</v>
      </c>
      <c r="P181" t="s">
        <v>29</v>
      </c>
      <c r="Q181" t="s">
        <v>29</v>
      </c>
      <c r="R181" t="s">
        <v>29</v>
      </c>
      <c r="S181" t="s">
        <v>29</v>
      </c>
      <c r="T181" t="s">
        <v>29</v>
      </c>
      <c r="U181" t="s">
        <v>29</v>
      </c>
      <c r="V181" t="s">
        <v>29</v>
      </c>
    </row>
    <row r="182" spans="1:22" x14ac:dyDescent="0.35">
      <c r="A182" s="1">
        <v>45601</v>
      </c>
      <c r="B182" t="s">
        <v>30</v>
      </c>
      <c r="C182" s="2">
        <v>0.71644675925925927</v>
      </c>
      <c r="D182" t="s">
        <v>572</v>
      </c>
      <c r="E182" t="s">
        <v>93</v>
      </c>
      <c r="F182" t="s">
        <v>573</v>
      </c>
      <c r="G182" t="s">
        <v>34</v>
      </c>
      <c r="H182" t="s">
        <v>536</v>
      </c>
      <c r="I182" t="s">
        <v>157</v>
      </c>
      <c r="J182">
        <v>8</v>
      </c>
      <c r="K182" t="s">
        <v>29</v>
      </c>
      <c r="L182" t="s">
        <v>29</v>
      </c>
      <c r="M182" t="s">
        <v>29</v>
      </c>
      <c r="N182">
        <v>1</v>
      </c>
      <c r="O182" t="s">
        <v>115</v>
      </c>
      <c r="P182" t="s">
        <v>29</v>
      </c>
      <c r="Q182" t="s">
        <v>29</v>
      </c>
      <c r="R182" t="s">
        <v>29</v>
      </c>
      <c r="S182" t="s">
        <v>29</v>
      </c>
      <c r="T182" t="s">
        <v>29</v>
      </c>
      <c r="U182" t="s">
        <v>29</v>
      </c>
      <c r="V182" t="s">
        <v>29</v>
      </c>
    </row>
    <row r="183" spans="1:22" x14ac:dyDescent="0.35">
      <c r="A183" s="1">
        <v>45408</v>
      </c>
      <c r="B183" t="s">
        <v>154</v>
      </c>
      <c r="C183" s="2">
        <v>0.87722222222222224</v>
      </c>
      <c r="D183" t="s">
        <v>574</v>
      </c>
      <c r="E183" t="s">
        <v>41</v>
      </c>
      <c r="F183" t="s">
        <v>575</v>
      </c>
      <c r="G183" t="s">
        <v>43</v>
      </c>
      <c r="H183" t="s">
        <v>120</v>
      </c>
      <c r="I183" t="s">
        <v>137</v>
      </c>
      <c r="J183">
        <v>11.3</v>
      </c>
      <c r="K183">
        <v>33</v>
      </c>
      <c r="L183" t="s">
        <v>29</v>
      </c>
      <c r="M183" t="s">
        <v>29</v>
      </c>
      <c r="N183" t="s">
        <v>29</v>
      </c>
      <c r="O183" t="s">
        <v>29</v>
      </c>
      <c r="P183" t="s">
        <v>29</v>
      </c>
      <c r="Q183" t="s">
        <v>29</v>
      </c>
      <c r="R183">
        <v>352</v>
      </c>
      <c r="S183">
        <v>6.71</v>
      </c>
      <c r="T183">
        <v>4.2</v>
      </c>
      <c r="U183">
        <v>4.7</v>
      </c>
      <c r="V183" t="s">
        <v>38</v>
      </c>
    </row>
    <row r="184" spans="1:22" x14ac:dyDescent="0.35">
      <c r="A184" s="1">
        <v>45344</v>
      </c>
      <c r="B184" t="s">
        <v>59</v>
      </c>
      <c r="C184" s="2">
        <v>0.95030092592592597</v>
      </c>
      <c r="D184" t="s">
        <v>576</v>
      </c>
      <c r="E184" t="s">
        <v>93</v>
      </c>
      <c r="F184" t="s">
        <v>577</v>
      </c>
      <c r="G184" t="s">
        <v>56</v>
      </c>
      <c r="H184" t="s">
        <v>369</v>
      </c>
      <c r="I184" t="s">
        <v>477</v>
      </c>
      <c r="J184">
        <v>11.1</v>
      </c>
      <c r="K184" t="s">
        <v>29</v>
      </c>
      <c r="L184" t="s">
        <v>29</v>
      </c>
      <c r="M184" t="s">
        <v>29</v>
      </c>
      <c r="N184">
        <v>1</v>
      </c>
      <c r="O184" t="s">
        <v>115</v>
      </c>
      <c r="P184" t="s">
        <v>29</v>
      </c>
      <c r="Q184" t="s">
        <v>29</v>
      </c>
      <c r="R184" t="s">
        <v>29</v>
      </c>
      <c r="S184" t="s">
        <v>29</v>
      </c>
      <c r="T184" t="s">
        <v>29</v>
      </c>
      <c r="U184" t="s">
        <v>29</v>
      </c>
      <c r="V184" t="s">
        <v>29</v>
      </c>
    </row>
    <row r="185" spans="1:22" x14ac:dyDescent="0.35">
      <c r="A185" s="1">
        <v>45630</v>
      </c>
      <c r="B185" t="s">
        <v>78</v>
      </c>
      <c r="C185" s="2">
        <v>0.58979166666666671</v>
      </c>
      <c r="D185" t="s">
        <v>578</v>
      </c>
      <c r="E185" t="s">
        <v>41</v>
      </c>
      <c r="F185" t="s">
        <v>579</v>
      </c>
      <c r="G185" t="s">
        <v>34</v>
      </c>
      <c r="H185" t="s">
        <v>349</v>
      </c>
      <c r="I185" t="s">
        <v>336</v>
      </c>
      <c r="J185">
        <v>7.4</v>
      </c>
      <c r="K185">
        <v>39</v>
      </c>
      <c r="L185" t="s">
        <v>29</v>
      </c>
      <c r="M185" t="s">
        <v>29</v>
      </c>
      <c r="N185" t="s">
        <v>29</v>
      </c>
      <c r="O185" t="s">
        <v>29</v>
      </c>
      <c r="P185" t="s">
        <v>29</v>
      </c>
      <c r="Q185" t="s">
        <v>29</v>
      </c>
      <c r="R185">
        <v>117</v>
      </c>
      <c r="S185">
        <v>15.63</v>
      </c>
      <c r="T185">
        <v>4.5999999999999996</v>
      </c>
      <c r="U185">
        <v>4.5</v>
      </c>
      <c r="V185" t="s">
        <v>38</v>
      </c>
    </row>
    <row r="186" spans="1:22" x14ac:dyDescent="0.35">
      <c r="A186" s="1">
        <v>45606</v>
      </c>
      <c r="B186" t="s">
        <v>30</v>
      </c>
      <c r="C186" s="2">
        <v>0.41543981481481479</v>
      </c>
      <c r="D186" t="s">
        <v>580</v>
      </c>
      <c r="E186" t="s">
        <v>93</v>
      </c>
      <c r="F186" t="s">
        <v>581</v>
      </c>
      <c r="G186" t="s">
        <v>34</v>
      </c>
      <c r="H186" t="s">
        <v>168</v>
      </c>
      <c r="I186" t="s">
        <v>582</v>
      </c>
      <c r="J186">
        <v>9.4</v>
      </c>
      <c r="K186" t="s">
        <v>29</v>
      </c>
      <c r="L186" t="s">
        <v>29</v>
      </c>
      <c r="M186" t="s">
        <v>29</v>
      </c>
      <c r="N186">
        <v>1</v>
      </c>
      <c r="O186" t="s">
        <v>169</v>
      </c>
      <c r="P186" t="s">
        <v>29</v>
      </c>
      <c r="Q186" t="s">
        <v>29</v>
      </c>
      <c r="R186" t="s">
        <v>29</v>
      </c>
      <c r="S186" t="s">
        <v>29</v>
      </c>
      <c r="T186" t="s">
        <v>29</v>
      </c>
      <c r="U186" t="s">
        <v>29</v>
      </c>
      <c r="V186" t="s">
        <v>29</v>
      </c>
    </row>
    <row r="187" spans="1:22" x14ac:dyDescent="0.35">
      <c r="A187" s="1">
        <v>45638</v>
      </c>
      <c r="B187" t="s">
        <v>78</v>
      </c>
      <c r="C187" s="2">
        <v>0.50077546296296294</v>
      </c>
      <c r="D187" t="s">
        <v>583</v>
      </c>
      <c r="E187" t="s">
        <v>41</v>
      </c>
      <c r="F187" t="s">
        <v>584</v>
      </c>
      <c r="G187" t="s">
        <v>34</v>
      </c>
      <c r="H187" t="s">
        <v>136</v>
      </c>
      <c r="I187" t="s">
        <v>585</v>
      </c>
      <c r="J187">
        <v>9.3000000000000007</v>
      </c>
      <c r="K187">
        <v>28.5</v>
      </c>
      <c r="L187" t="s">
        <v>29</v>
      </c>
      <c r="M187" t="s">
        <v>29</v>
      </c>
      <c r="N187" t="s">
        <v>29</v>
      </c>
      <c r="O187" t="s">
        <v>29</v>
      </c>
      <c r="P187" t="s">
        <v>29</v>
      </c>
      <c r="Q187" t="s">
        <v>29</v>
      </c>
      <c r="R187">
        <v>51</v>
      </c>
      <c r="S187">
        <v>29.8</v>
      </c>
      <c r="T187">
        <v>4.5999999999999996</v>
      </c>
      <c r="U187">
        <v>3.9</v>
      </c>
      <c r="V187" t="s">
        <v>38</v>
      </c>
    </row>
    <row r="188" spans="1:22" x14ac:dyDescent="0.35">
      <c r="A188" s="1">
        <v>45353</v>
      </c>
      <c r="B188" t="s">
        <v>22</v>
      </c>
      <c r="C188" s="2">
        <v>0.93671296296296291</v>
      </c>
      <c r="D188" t="s">
        <v>586</v>
      </c>
      <c r="E188" t="s">
        <v>41</v>
      </c>
      <c r="F188" t="s">
        <v>587</v>
      </c>
      <c r="G188" t="s">
        <v>146</v>
      </c>
      <c r="H188" t="s">
        <v>45</v>
      </c>
      <c r="I188" t="s">
        <v>312</v>
      </c>
      <c r="J188">
        <v>6</v>
      </c>
      <c r="K188">
        <v>26.6</v>
      </c>
      <c r="L188" t="s">
        <v>29</v>
      </c>
      <c r="M188" t="s">
        <v>29</v>
      </c>
      <c r="N188" t="s">
        <v>29</v>
      </c>
      <c r="O188" t="s">
        <v>29</v>
      </c>
      <c r="P188" t="s">
        <v>29</v>
      </c>
      <c r="Q188" t="s">
        <v>29</v>
      </c>
      <c r="R188">
        <v>81</v>
      </c>
      <c r="S188">
        <v>5.59</v>
      </c>
      <c r="T188">
        <v>4.9000000000000004</v>
      </c>
      <c r="U188">
        <v>4.2</v>
      </c>
      <c r="V188" t="s">
        <v>84</v>
      </c>
    </row>
    <row r="189" spans="1:22" x14ac:dyDescent="0.35">
      <c r="A189" s="1">
        <v>45485</v>
      </c>
      <c r="B189" t="s">
        <v>108</v>
      </c>
      <c r="C189" s="2">
        <v>0.69440972222222219</v>
      </c>
      <c r="D189" t="s">
        <v>588</v>
      </c>
      <c r="E189" t="s">
        <v>93</v>
      </c>
      <c r="F189" t="s">
        <v>589</v>
      </c>
      <c r="G189" t="s">
        <v>67</v>
      </c>
      <c r="H189" t="s">
        <v>412</v>
      </c>
      <c r="I189" t="s">
        <v>590</v>
      </c>
      <c r="J189">
        <v>8.1999999999999993</v>
      </c>
      <c r="K189" t="s">
        <v>29</v>
      </c>
      <c r="L189" t="s">
        <v>29</v>
      </c>
      <c r="M189" t="s">
        <v>29</v>
      </c>
      <c r="N189">
        <v>1</v>
      </c>
      <c r="O189" t="s">
        <v>337</v>
      </c>
      <c r="P189" t="s">
        <v>29</v>
      </c>
      <c r="Q189" t="s">
        <v>29</v>
      </c>
      <c r="R189" t="s">
        <v>29</v>
      </c>
      <c r="S189" t="s">
        <v>29</v>
      </c>
      <c r="T189" t="s">
        <v>29</v>
      </c>
      <c r="U189" t="s">
        <v>29</v>
      </c>
      <c r="V189" t="s">
        <v>29</v>
      </c>
    </row>
    <row r="190" spans="1:22" x14ac:dyDescent="0.35">
      <c r="A190" s="1">
        <v>45643</v>
      </c>
      <c r="B190" t="s">
        <v>78</v>
      </c>
      <c r="C190" s="2">
        <v>0.79958333333333331</v>
      </c>
      <c r="D190" t="s">
        <v>591</v>
      </c>
      <c r="E190" t="s">
        <v>32</v>
      </c>
      <c r="F190" t="s">
        <v>592</v>
      </c>
      <c r="G190" t="s">
        <v>50</v>
      </c>
      <c r="H190" t="s">
        <v>167</v>
      </c>
      <c r="I190" t="s">
        <v>299</v>
      </c>
      <c r="J190">
        <v>7.2</v>
      </c>
      <c r="K190">
        <v>18.399999999999999</v>
      </c>
      <c r="L190" t="s">
        <v>29</v>
      </c>
      <c r="M190" t="s">
        <v>29</v>
      </c>
      <c r="N190" t="s">
        <v>29</v>
      </c>
      <c r="O190" t="s">
        <v>29</v>
      </c>
      <c r="P190">
        <v>1</v>
      </c>
      <c r="Q190" t="s">
        <v>302</v>
      </c>
      <c r="R190">
        <v>635</v>
      </c>
      <c r="S190">
        <v>6.57</v>
      </c>
      <c r="T190" t="s">
        <v>29</v>
      </c>
      <c r="U190" t="s">
        <v>29</v>
      </c>
      <c r="V190" t="s">
        <v>38</v>
      </c>
    </row>
    <row r="191" spans="1:22" x14ac:dyDescent="0.35">
      <c r="A191" s="1">
        <v>45533</v>
      </c>
      <c r="B191" t="s">
        <v>39</v>
      </c>
      <c r="C191" s="2">
        <v>0.87631944444444443</v>
      </c>
      <c r="D191" t="s">
        <v>593</v>
      </c>
      <c r="E191" t="s">
        <v>41</v>
      </c>
      <c r="F191" t="s">
        <v>594</v>
      </c>
      <c r="G191" t="s">
        <v>56</v>
      </c>
      <c r="H191" t="s">
        <v>349</v>
      </c>
      <c r="I191" t="s">
        <v>136</v>
      </c>
      <c r="J191">
        <v>13.5</v>
      </c>
      <c r="K191">
        <v>41.8</v>
      </c>
      <c r="L191" t="s">
        <v>29</v>
      </c>
      <c r="M191" t="s">
        <v>29</v>
      </c>
      <c r="N191" t="s">
        <v>29</v>
      </c>
      <c r="O191" t="s">
        <v>29</v>
      </c>
      <c r="P191" t="s">
        <v>29</v>
      </c>
      <c r="Q191" t="s">
        <v>29</v>
      </c>
      <c r="R191">
        <v>51</v>
      </c>
      <c r="S191">
        <v>4.4400000000000004</v>
      </c>
      <c r="T191">
        <v>4.4000000000000004</v>
      </c>
      <c r="U191">
        <v>4.7</v>
      </c>
      <c r="V191" t="s">
        <v>107</v>
      </c>
    </row>
    <row r="192" spans="1:22" x14ac:dyDescent="0.35">
      <c r="A192" s="1">
        <v>45376</v>
      </c>
      <c r="B192" t="s">
        <v>22</v>
      </c>
      <c r="C192" s="2">
        <v>0.77790509259259255</v>
      </c>
      <c r="D192" t="s">
        <v>595</v>
      </c>
      <c r="E192" t="s">
        <v>41</v>
      </c>
      <c r="F192" t="s">
        <v>596</v>
      </c>
      <c r="G192" t="s">
        <v>34</v>
      </c>
      <c r="H192" t="s">
        <v>267</v>
      </c>
      <c r="I192" t="s">
        <v>355</v>
      </c>
      <c r="J192">
        <v>4.9000000000000004</v>
      </c>
      <c r="K192">
        <v>33</v>
      </c>
      <c r="L192" t="s">
        <v>29</v>
      </c>
      <c r="M192" t="s">
        <v>29</v>
      </c>
      <c r="N192" t="s">
        <v>29</v>
      </c>
      <c r="O192" t="s">
        <v>29</v>
      </c>
      <c r="P192" t="s">
        <v>29</v>
      </c>
      <c r="Q192" t="s">
        <v>29</v>
      </c>
      <c r="R192">
        <v>469</v>
      </c>
      <c r="S192">
        <v>26.93</v>
      </c>
      <c r="T192">
        <v>4.3</v>
      </c>
      <c r="U192">
        <v>4.9000000000000004</v>
      </c>
      <c r="V192" t="s">
        <v>38</v>
      </c>
    </row>
    <row r="193" spans="1:22" x14ac:dyDescent="0.35">
      <c r="A193" s="1">
        <v>45473</v>
      </c>
      <c r="B193" t="s">
        <v>64</v>
      </c>
      <c r="C193" s="2">
        <v>0.89916666666666667</v>
      </c>
      <c r="D193" t="s">
        <v>597</v>
      </c>
      <c r="E193" t="s">
        <v>41</v>
      </c>
      <c r="F193" t="s">
        <v>598</v>
      </c>
      <c r="G193" t="s">
        <v>56</v>
      </c>
      <c r="H193" t="s">
        <v>202</v>
      </c>
      <c r="I193" t="s">
        <v>493</v>
      </c>
      <c r="J193">
        <v>9.9</v>
      </c>
      <c r="K193">
        <v>22</v>
      </c>
      <c r="L193" t="s">
        <v>29</v>
      </c>
      <c r="M193" t="s">
        <v>29</v>
      </c>
      <c r="N193" t="s">
        <v>29</v>
      </c>
      <c r="O193" t="s">
        <v>29</v>
      </c>
      <c r="P193" t="s">
        <v>29</v>
      </c>
      <c r="Q193" t="s">
        <v>29</v>
      </c>
      <c r="R193">
        <v>320</v>
      </c>
      <c r="S193">
        <v>28.78</v>
      </c>
      <c r="T193">
        <v>4.2</v>
      </c>
      <c r="U193">
        <v>4.5</v>
      </c>
      <c r="V193" t="s">
        <v>38</v>
      </c>
    </row>
    <row r="194" spans="1:22" x14ac:dyDescent="0.35">
      <c r="A194" s="1">
        <v>45491</v>
      </c>
      <c r="B194" t="s">
        <v>108</v>
      </c>
      <c r="C194" s="2">
        <v>0.11246527777777778</v>
      </c>
      <c r="D194" t="s">
        <v>599</v>
      </c>
      <c r="E194" t="s">
        <v>41</v>
      </c>
      <c r="F194" t="s">
        <v>600</v>
      </c>
      <c r="G194" t="s">
        <v>67</v>
      </c>
      <c r="H194" t="s">
        <v>511</v>
      </c>
      <c r="I194" t="s">
        <v>137</v>
      </c>
      <c r="J194">
        <v>13.3</v>
      </c>
      <c r="K194">
        <v>24.6</v>
      </c>
      <c r="L194" t="s">
        <v>29</v>
      </c>
      <c r="M194" t="s">
        <v>29</v>
      </c>
      <c r="N194" t="s">
        <v>29</v>
      </c>
      <c r="O194" t="s">
        <v>29</v>
      </c>
      <c r="P194" t="s">
        <v>29</v>
      </c>
      <c r="Q194" t="s">
        <v>29</v>
      </c>
      <c r="R194">
        <v>726</v>
      </c>
      <c r="S194">
        <v>12.98</v>
      </c>
      <c r="T194">
        <v>4.2</v>
      </c>
      <c r="U194">
        <v>4.3</v>
      </c>
      <c r="V194" t="s">
        <v>46</v>
      </c>
    </row>
    <row r="195" spans="1:22" x14ac:dyDescent="0.35">
      <c r="A195" s="1">
        <v>45365</v>
      </c>
      <c r="B195" t="s">
        <v>22</v>
      </c>
      <c r="C195" s="2">
        <v>0.97457175925925921</v>
      </c>
      <c r="D195" t="s">
        <v>601</v>
      </c>
      <c r="E195" t="s">
        <v>32</v>
      </c>
      <c r="F195" t="s">
        <v>602</v>
      </c>
      <c r="G195" t="s">
        <v>43</v>
      </c>
      <c r="H195" t="s">
        <v>299</v>
      </c>
      <c r="I195" t="s">
        <v>190</v>
      </c>
      <c r="J195">
        <v>2</v>
      </c>
      <c r="K195">
        <v>10.3</v>
      </c>
      <c r="L195" t="s">
        <v>29</v>
      </c>
      <c r="M195" t="s">
        <v>29</v>
      </c>
      <c r="N195" t="s">
        <v>29</v>
      </c>
      <c r="O195" t="s">
        <v>29</v>
      </c>
      <c r="P195">
        <v>1</v>
      </c>
      <c r="Q195" t="s">
        <v>302</v>
      </c>
      <c r="R195">
        <v>68</v>
      </c>
      <c r="S195">
        <v>19.059999999999999</v>
      </c>
      <c r="T195" t="s">
        <v>29</v>
      </c>
      <c r="U195" t="s">
        <v>29</v>
      </c>
      <c r="V195" t="s">
        <v>84</v>
      </c>
    </row>
    <row r="196" spans="1:22" x14ac:dyDescent="0.35">
      <c r="A196" s="1">
        <v>45561</v>
      </c>
      <c r="B196" t="s">
        <v>53</v>
      </c>
      <c r="C196" s="2">
        <v>0.51612268518518523</v>
      </c>
      <c r="D196" t="s">
        <v>603</v>
      </c>
      <c r="E196" t="s">
        <v>32</v>
      </c>
      <c r="F196" t="s">
        <v>604</v>
      </c>
      <c r="G196" t="s">
        <v>26</v>
      </c>
      <c r="H196" t="s">
        <v>267</v>
      </c>
      <c r="I196" t="s">
        <v>520</v>
      </c>
      <c r="J196">
        <v>4.4000000000000004</v>
      </c>
      <c r="K196">
        <v>15.7</v>
      </c>
      <c r="L196" t="s">
        <v>29</v>
      </c>
      <c r="M196" t="s">
        <v>29</v>
      </c>
      <c r="N196" t="s">
        <v>29</v>
      </c>
      <c r="O196" t="s">
        <v>29</v>
      </c>
      <c r="P196">
        <v>1</v>
      </c>
      <c r="Q196" t="s">
        <v>37</v>
      </c>
      <c r="R196">
        <v>136</v>
      </c>
      <c r="S196">
        <v>14</v>
      </c>
      <c r="T196" t="s">
        <v>29</v>
      </c>
      <c r="U196" t="s">
        <v>29</v>
      </c>
      <c r="V196" t="s">
        <v>46</v>
      </c>
    </row>
    <row r="197" spans="1:22" x14ac:dyDescent="0.35">
      <c r="A197" s="1">
        <v>45550</v>
      </c>
      <c r="B197" t="s">
        <v>53</v>
      </c>
      <c r="C197" s="2">
        <v>0.84932870370370372</v>
      </c>
      <c r="D197" t="s">
        <v>605</v>
      </c>
      <c r="E197" t="s">
        <v>41</v>
      </c>
      <c r="F197" t="s">
        <v>606</v>
      </c>
      <c r="G197" t="s">
        <v>34</v>
      </c>
      <c r="H197" t="s">
        <v>412</v>
      </c>
      <c r="I197" t="s">
        <v>189</v>
      </c>
      <c r="J197">
        <v>8.8000000000000007</v>
      </c>
      <c r="K197">
        <v>16.8</v>
      </c>
      <c r="L197" t="s">
        <v>29</v>
      </c>
      <c r="M197" t="s">
        <v>29</v>
      </c>
      <c r="N197" t="s">
        <v>29</v>
      </c>
      <c r="O197" t="s">
        <v>29</v>
      </c>
      <c r="P197" t="s">
        <v>29</v>
      </c>
      <c r="Q197" t="s">
        <v>29</v>
      </c>
      <c r="R197">
        <v>455</v>
      </c>
      <c r="S197">
        <v>43.06</v>
      </c>
      <c r="T197">
        <v>3.8</v>
      </c>
      <c r="U197">
        <v>4.3</v>
      </c>
      <c r="V197" t="s">
        <v>38</v>
      </c>
    </row>
    <row r="198" spans="1:22" x14ac:dyDescent="0.35">
      <c r="A198" s="1">
        <v>45424</v>
      </c>
      <c r="B198" t="s">
        <v>122</v>
      </c>
      <c r="C198" s="2">
        <v>0.42788194444444444</v>
      </c>
      <c r="D198" t="s">
        <v>607</v>
      </c>
      <c r="E198" t="s">
        <v>41</v>
      </c>
      <c r="F198" t="s">
        <v>608</v>
      </c>
      <c r="G198" t="s">
        <v>43</v>
      </c>
      <c r="H198" t="s">
        <v>262</v>
      </c>
      <c r="I198" t="s">
        <v>489</v>
      </c>
      <c r="J198">
        <v>2.6</v>
      </c>
      <c r="K198">
        <v>22.2</v>
      </c>
      <c r="L198" t="s">
        <v>29</v>
      </c>
      <c r="M198" t="s">
        <v>29</v>
      </c>
      <c r="N198" t="s">
        <v>29</v>
      </c>
      <c r="O198" t="s">
        <v>29</v>
      </c>
      <c r="P198" t="s">
        <v>29</v>
      </c>
      <c r="Q198" t="s">
        <v>29</v>
      </c>
      <c r="R198">
        <v>995</v>
      </c>
      <c r="S198">
        <v>38.96</v>
      </c>
      <c r="T198">
        <v>4.7</v>
      </c>
      <c r="U198">
        <v>4.9000000000000004</v>
      </c>
      <c r="V198" t="s">
        <v>46</v>
      </c>
    </row>
    <row r="199" spans="1:22" x14ac:dyDescent="0.35">
      <c r="A199" s="1">
        <v>45612</v>
      </c>
      <c r="B199" t="s">
        <v>30</v>
      </c>
      <c r="C199" s="2">
        <v>0.79548611111111112</v>
      </c>
      <c r="D199" t="s">
        <v>609</v>
      </c>
      <c r="E199" t="s">
        <v>41</v>
      </c>
      <c r="F199" t="s">
        <v>610</v>
      </c>
      <c r="G199" t="s">
        <v>146</v>
      </c>
      <c r="H199" t="s">
        <v>232</v>
      </c>
      <c r="I199" t="s">
        <v>254</v>
      </c>
      <c r="J199">
        <v>2.7</v>
      </c>
      <c r="K199">
        <v>25.8</v>
      </c>
      <c r="L199" t="s">
        <v>29</v>
      </c>
      <c r="M199" t="s">
        <v>29</v>
      </c>
      <c r="N199" t="s">
        <v>29</v>
      </c>
      <c r="O199" t="s">
        <v>29</v>
      </c>
      <c r="P199" t="s">
        <v>29</v>
      </c>
      <c r="Q199" t="s">
        <v>29</v>
      </c>
      <c r="R199">
        <v>1179</v>
      </c>
      <c r="S199">
        <v>18.87</v>
      </c>
      <c r="T199">
        <v>4.9000000000000004</v>
      </c>
      <c r="U199">
        <v>4.5999999999999996</v>
      </c>
      <c r="V199" t="s">
        <v>107</v>
      </c>
    </row>
    <row r="200" spans="1:22" x14ac:dyDescent="0.35">
      <c r="A200" s="1">
        <v>45492</v>
      </c>
      <c r="B200" t="s">
        <v>108</v>
      </c>
      <c r="C200" s="2">
        <v>0.70656249999999998</v>
      </c>
      <c r="D200" t="s">
        <v>611</v>
      </c>
      <c r="E200" t="s">
        <v>41</v>
      </c>
      <c r="F200" t="s">
        <v>612</v>
      </c>
      <c r="G200" t="s">
        <v>56</v>
      </c>
      <c r="H200" t="s">
        <v>613</v>
      </c>
      <c r="I200" t="s">
        <v>441</v>
      </c>
      <c r="J200">
        <v>11</v>
      </c>
      <c r="K200">
        <v>33.1</v>
      </c>
      <c r="L200" t="s">
        <v>29</v>
      </c>
      <c r="M200" t="s">
        <v>29</v>
      </c>
      <c r="N200" t="s">
        <v>29</v>
      </c>
      <c r="O200" t="s">
        <v>29</v>
      </c>
      <c r="P200" t="s">
        <v>29</v>
      </c>
      <c r="Q200" t="s">
        <v>29</v>
      </c>
      <c r="R200">
        <v>525</v>
      </c>
      <c r="S200">
        <v>47.88</v>
      </c>
      <c r="T200">
        <v>4.2</v>
      </c>
      <c r="U200">
        <v>4.5999999999999996</v>
      </c>
      <c r="V200" t="s">
        <v>107</v>
      </c>
    </row>
    <row r="201" spans="1:22" x14ac:dyDescent="0.35">
      <c r="A201" s="1">
        <v>45628</v>
      </c>
      <c r="B201" t="s">
        <v>78</v>
      </c>
      <c r="C201" s="2">
        <v>0.836400462962963</v>
      </c>
      <c r="D201" t="s">
        <v>614</v>
      </c>
      <c r="E201" t="s">
        <v>93</v>
      </c>
      <c r="F201" t="s">
        <v>615</v>
      </c>
      <c r="G201" t="s">
        <v>43</v>
      </c>
      <c r="H201" t="s">
        <v>412</v>
      </c>
      <c r="I201" t="s">
        <v>616</v>
      </c>
      <c r="J201">
        <v>11.3</v>
      </c>
      <c r="K201" t="s">
        <v>29</v>
      </c>
      <c r="L201" t="s">
        <v>29</v>
      </c>
      <c r="M201" t="s">
        <v>29</v>
      </c>
      <c r="N201">
        <v>1</v>
      </c>
      <c r="O201" t="s">
        <v>97</v>
      </c>
      <c r="P201" t="s">
        <v>29</v>
      </c>
      <c r="Q201" t="s">
        <v>29</v>
      </c>
      <c r="R201" t="s">
        <v>29</v>
      </c>
      <c r="S201" t="s">
        <v>29</v>
      </c>
      <c r="T201" t="s">
        <v>29</v>
      </c>
      <c r="U201" t="s">
        <v>29</v>
      </c>
      <c r="V201" t="s">
        <v>29</v>
      </c>
    </row>
    <row r="202" spans="1:22" x14ac:dyDescent="0.35">
      <c r="A202" s="1">
        <v>45512</v>
      </c>
      <c r="B202" t="s">
        <v>39</v>
      </c>
      <c r="C202" s="2">
        <v>0.60365740740740736</v>
      </c>
      <c r="D202" t="s">
        <v>617</v>
      </c>
      <c r="E202" t="s">
        <v>93</v>
      </c>
      <c r="F202" t="s">
        <v>618</v>
      </c>
      <c r="G202" t="s">
        <v>43</v>
      </c>
      <c r="H202" t="s">
        <v>69</v>
      </c>
      <c r="I202" t="s">
        <v>377</v>
      </c>
      <c r="J202">
        <v>6.9</v>
      </c>
      <c r="K202" t="s">
        <v>29</v>
      </c>
      <c r="L202" t="s">
        <v>29</v>
      </c>
      <c r="M202" t="s">
        <v>29</v>
      </c>
      <c r="N202">
        <v>1</v>
      </c>
      <c r="O202" t="s">
        <v>169</v>
      </c>
      <c r="P202" t="s">
        <v>29</v>
      </c>
      <c r="Q202" t="s">
        <v>29</v>
      </c>
      <c r="R202" t="s">
        <v>29</v>
      </c>
      <c r="S202" t="s">
        <v>29</v>
      </c>
      <c r="T202" t="s">
        <v>29</v>
      </c>
      <c r="U202" t="s">
        <v>29</v>
      </c>
      <c r="V202" t="s">
        <v>29</v>
      </c>
    </row>
    <row r="203" spans="1:22" x14ac:dyDescent="0.35">
      <c r="A203" s="1">
        <v>45550</v>
      </c>
      <c r="B203" t="s">
        <v>53</v>
      </c>
      <c r="C203" s="2">
        <v>0.92129629629629628</v>
      </c>
      <c r="D203" t="s">
        <v>619</v>
      </c>
      <c r="E203" t="s">
        <v>41</v>
      </c>
      <c r="F203" t="s">
        <v>620</v>
      </c>
      <c r="G203" t="s">
        <v>34</v>
      </c>
      <c r="H203" t="s">
        <v>263</v>
      </c>
      <c r="I203" t="s">
        <v>520</v>
      </c>
      <c r="J203">
        <v>5.0999999999999996</v>
      </c>
      <c r="K203">
        <v>27.9</v>
      </c>
      <c r="L203" t="s">
        <v>29</v>
      </c>
      <c r="M203" t="s">
        <v>29</v>
      </c>
      <c r="N203" t="s">
        <v>29</v>
      </c>
      <c r="O203" t="s">
        <v>29</v>
      </c>
      <c r="P203" t="s">
        <v>29</v>
      </c>
      <c r="Q203" t="s">
        <v>29</v>
      </c>
      <c r="R203">
        <v>300</v>
      </c>
      <c r="S203">
        <v>5.7</v>
      </c>
      <c r="T203">
        <v>4.2</v>
      </c>
      <c r="U203">
        <v>4.5999999999999996</v>
      </c>
      <c r="V203" t="s">
        <v>38</v>
      </c>
    </row>
    <row r="204" spans="1:22" x14ac:dyDescent="0.35">
      <c r="A204" s="1">
        <v>45442</v>
      </c>
      <c r="B204" t="s">
        <v>122</v>
      </c>
      <c r="C204" s="2">
        <v>0.78997685185185185</v>
      </c>
      <c r="D204" t="s">
        <v>621</v>
      </c>
      <c r="E204" t="s">
        <v>41</v>
      </c>
      <c r="F204" t="s">
        <v>622</v>
      </c>
      <c r="G204" t="s">
        <v>34</v>
      </c>
      <c r="H204" t="s">
        <v>441</v>
      </c>
      <c r="I204" t="s">
        <v>425</v>
      </c>
      <c r="J204">
        <v>11.1</v>
      </c>
      <c r="K204">
        <v>18.399999999999999</v>
      </c>
      <c r="L204" t="s">
        <v>29</v>
      </c>
      <c r="M204" t="s">
        <v>29</v>
      </c>
      <c r="N204" t="s">
        <v>29</v>
      </c>
      <c r="O204" t="s">
        <v>29</v>
      </c>
      <c r="P204" t="s">
        <v>29</v>
      </c>
      <c r="Q204" t="s">
        <v>29</v>
      </c>
      <c r="R204">
        <v>202</v>
      </c>
      <c r="S204">
        <v>4.62</v>
      </c>
      <c r="T204">
        <v>3.2</v>
      </c>
      <c r="U204">
        <v>4.0999999999999996</v>
      </c>
      <c r="V204" t="s">
        <v>38</v>
      </c>
    </row>
    <row r="205" spans="1:22" x14ac:dyDescent="0.35">
      <c r="A205" s="1">
        <v>45631</v>
      </c>
      <c r="B205" t="s">
        <v>78</v>
      </c>
      <c r="C205" s="2">
        <v>0.33094907407407409</v>
      </c>
      <c r="D205" t="s">
        <v>623</v>
      </c>
      <c r="E205" t="s">
        <v>41</v>
      </c>
      <c r="F205" t="s">
        <v>624</v>
      </c>
      <c r="G205" t="s">
        <v>50</v>
      </c>
      <c r="H205" t="s">
        <v>493</v>
      </c>
      <c r="I205" t="s">
        <v>277</v>
      </c>
      <c r="J205">
        <v>6.3</v>
      </c>
      <c r="K205">
        <v>34.1</v>
      </c>
      <c r="L205" t="s">
        <v>29</v>
      </c>
      <c r="M205" t="s">
        <v>29</v>
      </c>
      <c r="N205" t="s">
        <v>29</v>
      </c>
      <c r="O205" t="s">
        <v>29</v>
      </c>
      <c r="P205" t="s">
        <v>29</v>
      </c>
      <c r="Q205" t="s">
        <v>29</v>
      </c>
      <c r="R205">
        <v>475</v>
      </c>
      <c r="S205">
        <v>42.26</v>
      </c>
      <c r="T205">
        <v>4.3</v>
      </c>
      <c r="U205">
        <v>4.2</v>
      </c>
      <c r="V205" t="s">
        <v>84</v>
      </c>
    </row>
    <row r="206" spans="1:22" x14ac:dyDescent="0.35">
      <c r="A206" s="1">
        <v>45489</v>
      </c>
      <c r="B206" t="s">
        <v>108</v>
      </c>
      <c r="C206" s="2">
        <v>0.80770833333333336</v>
      </c>
      <c r="D206" t="s">
        <v>625</v>
      </c>
      <c r="E206" t="s">
        <v>41</v>
      </c>
      <c r="F206" t="s">
        <v>626</v>
      </c>
      <c r="G206" t="s">
        <v>34</v>
      </c>
      <c r="H206" t="s">
        <v>627</v>
      </c>
      <c r="I206" t="s">
        <v>350</v>
      </c>
      <c r="J206">
        <v>6.1</v>
      </c>
      <c r="K206">
        <v>17</v>
      </c>
      <c r="L206" t="s">
        <v>29</v>
      </c>
      <c r="M206" t="s">
        <v>29</v>
      </c>
      <c r="N206" t="s">
        <v>29</v>
      </c>
      <c r="O206" t="s">
        <v>29</v>
      </c>
      <c r="P206" t="s">
        <v>29</v>
      </c>
      <c r="Q206" t="s">
        <v>29</v>
      </c>
      <c r="R206">
        <v>833</v>
      </c>
      <c r="S206">
        <v>19.489999999999998</v>
      </c>
      <c r="T206">
        <v>4</v>
      </c>
      <c r="U206">
        <v>3.4</v>
      </c>
      <c r="V206" t="s">
        <v>46</v>
      </c>
    </row>
    <row r="207" spans="1:22" x14ac:dyDescent="0.35">
      <c r="A207" s="1">
        <v>45457</v>
      </c>
      <c r="B207" t="s">
        <v>64</v>
      </c>
      <c r="C207" s="2">
        <v>0.70781249999999996</v>
      </c>
      <c r="D207" t="s">
        <v>628</v>
      </c>
      <c r="E207" t="s">
        <v>93</v>
      </c>
      <c r="F207" t="s">
        <v>629</v>
      </c>
      <c r="G207" t="s">
        <v>34</v>
      </c>
      <c r="H207" t="s">
        <v>343</v>
      </c>
      <c r="I207" t="s">
        <v>119</v>
      </c>
      <c r="J207">
        <v>3.9</v>
      </c>
      <c r="K207" t="s">
        <v>29</v>
      </c>
      <c r="L207" t="s">
        <v>29</v>
      </c>
      <c r="M207" t="s">
        <v>29</v>
      </c>
      <c r="N207">
        <v>1</v>
      </c>
      <c r="O207" t="s">
        <v>115</v>
      </c>
      <c r="P207" t="s">
        <v>29</v>
      </c>
      <c r="Q207" t="s">
        <v>29</v>
      </c>
      <c r="R207" t="s">
        <v>29</v>
      </c>
      <c r="S207" t="s">
        <v>29</v>
      </c>
      <c r="T207" t="s">
        <v>29</v>
      </c>
      <c r="U207" t="s">
        <v>29</v>
      </c>
      <c r="V207" t="s">
        <v>29</v>
      </c>
    </row>
    <row r="208" spans="1:22" x14ac:dyDescent="0.35">
      <c r="A208" s="1">
        <v>45297</v>
      </c>
      <c r="B208" t="s">
        <v>150</v>
      </c>
      <c r="C208" s="2">
        <v>0.87055555555555553</v>
      </c>
      <c r="D208" t="s">
        <v>630</v>
      </c>
      <c r="E208" t="s">
        <v>41</v>
      </c>
      <c r="F208" t="s">
        <v>631</v>
      </c>
      <c r="G208" t="s">
        <v>67</v>
      </c>
      <c r="H208" t="s">
        <v>27</v>
      </c>
      <c r="I208" t="s">
        <v>180</v>
      </c>
      <c r="J208">
        <v>7.3</v>
      </c>
      <c r="K208">
        <v>33.1</v>
      </c>
      <c r="L208" t="s">
        <v>29</v>
      </c>
      <c r="M208" t="s">
        <v>29</v>
      </c>
      <c r="N208" t="s">
        <v>29</v>
      </c>
      <c r="O208" t="s">
        <v>29</v>
      </c>
      <c r="P208" t="s">
        <v>29</v>
      </c>
      <c r="Q208" t="s">
        <v>29</v>
      </c>
      <c r="R208">
        <v>158</v>
      </c>
      <c r="S208">
        <v>40.36</v>
      </c>
      <c r="T208">
        <v>3.7</v>
      </c>
      <c r="U208">
        <v>4.9000000000000004</v>
      </c>
      <c r="V208" t="s">
        <v>38</v>
      </c>
    </row>
    <row r="209" spans="1:22" x14ac:dyDescent="0.35">
      <c r="A209" s="1">
        <v>45350</v>
      </c>
      <c r="B209" t="s">
        <v>59</v>
      </c>
      <c r="C209" s="2">
        <v>0.14008101851851851</v>
      </c>
      <c r="D209" t="s">
        <v>632</v>
      </c>
      <c r="E209" t="s">
        <v>41</v>
      </c>
      <c r="F209" t="s">
        <v>633</v>
      </c>
      <c r="G209" t="s">
        <v>56</v>
      </c>
      <c r="H209" t="s">
        <v>103</v>
      </c>
      <c r="I209" t="s">
        <v>27</v>
      </c>
      <c r="J209">
        <v>10</v>
      </c>
      <c r="K209">
        <v>36.9</v>
      </c>
      <c r="L209" t="s">
        <v>29</v>
      </c>
      <c r="M209" t="s">
        <v>29</v>
      </c>
      <c r="N209" t="s">
        <v>29</v>
      </c>
      <c r="O209" t="s">
        <v>29</v>
      </c>
      <c r="P209" t="s">
        <v>29</v>
      </c>
      <c r="Q209" t="s">
        <v>29</v>
      </c>
      <c r="R209">
        <v>155</v>
      </c>
      <c r="S209">
        <v>42.59</v>
      </c>
      <c r="T209">
        <v>4.7</v>
      </c>
      <c r="U209">
        <v>3.2</v>
      </c>
      <c r="V209" t="s">
        <v>84</v>
      </c>
    </row>
    <row r="210" spans="1:22" x14ac:dyDescent="0.35">
      <c r="A210" s="1">
        <v>45408</v>
      </c>
      <c r="B210" t="s">
        <v>154</v>
      </c>
      <c r="C210" s="2">
        <v>0.7842824074074074</v>
      </c>
      <c r="D210" t="s">
        <v>634</v>
      </c>
      <c r="E210" t="s">
        <v>93</v>
      </c>
      <c r="F210" t="s">
        <v>635</v>
      </c>
      <c r="G210" t="s">
        <v>43</v>
      </c>
      <c r="H210" t="s">
        <v>636</v>
      </c>
      <c r="I210" t="s">
        <v>616</v>
      </c>
      <c r="J210">
        <v>9.3000000000000007</v>
      </c>
      <c r="K210" t="s">
        <v>29</v>
      </c>
      <c r="L210" t="s">
        <v>29</v>
      </c>
      <c r="M210" t="s">
        <v>29</v>
      </c>
      <c r="N210">
        <v>1</v>
      </c>
      <c r="O210" t="s">
        <v>169</v>
      </c>
      <c r="P210" t="s">
        <v>29</v>
      </c>
      <c r="Q210" t="s">
        <v>29</v>
      </c>
      <c r="R210" t="s">
        <v>29</v>
      </c>
      <c r="S210" t="s">
        <v>29</v>
      </c>
      <c r="T210" t="s">
        <v>29</v>
      </c>
      <c r="U210" t="s">
        <v>29</v>
      </c>
      <c r="V210" t="s">
        <v>29</v>
      </c>
    </row>
    <row r="211" spans="1:22" x14ac:dyDescent="0.35">
      <c r="A211" s="1">
        <v>45382</v>
      </c>
      <c r="B211" t="s">
        <v>22</v>
      </c>
      <c r="C211" s="2">
        <v>0.35585648148148147</v>
      </c>
      <c r="D211" t="s">
        <v>637</v>
      </c>
      <c r="E211" t="s">
        <v>41</v>
      </c>
      <c r="F211" t="s">
        <v>638</v>
      </c>
      <c r="G211" t="s">
        <v>43</v>
      </c>
      <c r="H211" t="s">
        <v>73</v>
      </c>
      <c r="I211" t="s">
        <v>172</v>
      </c>
      <c r="J211">
        <v>10.5</v>
      </c>
      <c r="K211">
        <v>33.9</v>
      </c>
      <c r="L211" t="s">
        <v>29</v>
      </c>
      <c r="M211" t="s">
        <v>29</v>
      </c>
      <c r="N211" t="s">
        <v>29</v>
      </c>
      <c r="O211" t="s">
        <v>29</v>
      </c>
      <c r="P211" t="s">
        <v>29</v>
      </c>
      <c r="Q211" t="s">
        <v>29</v>
      </c>
      <c r="R211">
        <v>107</v>
      </c>
      <c r="S211">
        <v>21.68</v>
      </c>
      <c r="T211">
        <v>4.3</v>
      </c>
      <c r="U211">
        <v>4.9000000000000004</v>
      </c>
      <c r="V211" t="s">
        <v>38</v>
      </c>
    </row>
    <row r="212" spans="1:22" x14ac:dyDescent="0.35">
      <c r="A212" s="1">
        <v>45386</v>
      </c>
      <c r="B212" t="s">
        <v>154</v>
      </c>
      <c r="C212" s="2">
        <v>0.69024305555555554</v>
      </c>
      <c r="D212" t="s">
        <v>639</v>
      </c>
      <c r="E212" t="s">
        <v>41</v>
      </c>
      <c r="F212" t="s">
        <v>640</v>
      </c>
      <c r="G212" t="s">
        <v>67</v>
      </c>
      <c r="H212" t="s">
        <v>82</v>
      </c>
      <c r="I212" t="s">
        <v>391</v>
      </c>
      <c r="J212">
        <v>6.8</v>
      </c>
      <c r="K212">
        <v>22.4</v>
      </c>
      <c r="L212" t="s">
        <v>29</v>
      </c>
      <c r="M212" t="s">
        <v>29</v>
      </c>
      <c r="N212" t="s">
        <v>29</v>
      </c>
      <c r="O212" t="s">
        <v>29</v>
      </c>
      <c r="P212" t="s">
        <v>29</v>
      </c>
      <c r="Q212" t="s">
        <v>29</v>
      </c>
      <c r="R212">
        <v>151</v>
      </c>
      <c r="S212">
        <v>29.9</v>
      </c>
      <c r="T212">
        <v>4.5999999999999996</v>
      </c>
      <c r="U212">
        <v>4.5999999999999996</v>
      </c>
      <c r="V212" t="s">
        <v>38</v>
      </c>
    </row>
    <row r="213" spans="1:22" x14ac:dyDescent="0.35">
      <c r="A213" s="1">
        <v>45419</v>
      </c>
      <c r="B213" t="s">
        <v>122</v>
      </c>
      <c r="C213" s="2">
        <v>0.88252314814814814</v>
      </c>
      <c r="D213" t="s">
        <v>641</v>
      </c>
      <c r="E213" t="s">
        <v>41</v>
      </c>
      <c r="F213" t="s">
        <v>642</v>
      </c>
      <c r="G213" t="s">
        <v>67</v>
      </c>
      <c r="H213" t="s">
        <v>560</v>
      </c>
      <c r="I213" t="s">
        <v>582</v>
      </c>
      <c r="J213">
        <v>10.7</v>
      </c>
      <c r="K213">
        <v>30.4</v>
      </c>
      <c r="L213" t="s">
        <v>29</v>
      </c>
      <c r="M213" t="s">
        <v>29</v>
      </c>
      <c r="N213" t="s">
        <v>29</v>
      </c>
      <c r="O213" t="s">
        <v>29</v>
      </c>
      <c r="P213" t="s">
        <v>29</v>
      </c>
      <c r="Q213" t="s">
        <v>29</v>
      </c>
      <c r="R213">
        <v>187</v>
      </c>
      <c r="S213">
        <v>42.27</v>
      </c>
      <c r="T213">
        <v>4.3</v>
      </c>
      <c r="U213">
        <v>4.8</v>
      </c>
      <c r="V213" t="s">
        <v>84</v>
      </c>
    </row>
    <row r="214" spans="1:22" x14ac:dyDescent="0.35">
      <c r="A214" s="1">
        <v>45458</v>
      </c>
      <c r="B214" t="s">
        <v>64</v>
      </c>
      <c r="C214" s="2">
        <v>0.8004282407407407</v>
      </c>
      <c r="D214" t="s">
        <v>643</v>
      </c>
      <c r="E214" t="s">
        <v>41</v>
      </c>
      <c r="F214" t="s">
        <v>644</v>
      </c>
      <c r="G214" t="s">
        <v>67</v>
      </c>
      <c r="H214" t="s">
        <v>340</v>
      </c>
      <c r="I214" t="s">
        <v>249</v>
      </c>
      <c r="J214">
        <v>12.3</v>
      </c>
      <c r="K214">
        <v>34.6</v>
      </c>
      <c r="L214" t="s">
        <v>29</v>
      </c>
      <c r="M214" t="s">
        <v>29</v>
      </c>
      <c r="N214" t="s">
        <v>29</v>
      </c>
      <c r="O214" t="s">
        <v>29</v>
      </c>
      <c r="P214" t="s">
        <v>29</v>
      </c>
      <c r="Q214" t="s">
        <v>29</v>
      </c>
      <c r="R214">
        <v>1543</v>
      </c>
      <c r="S214">
        <v>49.71</v>
      </c>
      <c r="T214">
        <v>4.4000000000000004</v>
      </c>
      <c r="U214">
        <v>5</v>
      </c>
      <c r="V214" t="s">
        <v>84</v>
      </c>
    </row>
    <row r="215" spans="1:22" x14ac:dyDescent="0.35">
      <c r="A215" s="1">
        <v>45457</v>
      </c>
      <c r="B215" t="s">
        <v>64</v>
      </c>
      <c r="C215" s="2">
        <v>0.87375000000000003</v>
      </c>
      <c r="D215" t="s">
        <v>645</v>
      </c>
      <c r="E215" t="s">
        <v>41</v>
      </c>
      <c r="F215" t="s">
        <v>646</v>
      </c>
      <c r="G215" t="s">
        <v>26</v>
      </c>
      <c r="H215" t="s">
        <v>69</v>
      </c>
      <c r="I215" t="s">
        <v>36</v>
      </c>
      <c r="J215">
        <v>3.8</v>
      </c>
      <c r="K215">
        <v>20.2</v>
      </c>
      <c r="L215" t="s">
        <v>29</v>
      </c>
      <c r="M215" t="s">
        <v>29</v>
      </c>
      <c r="N215" t="s">
        <v>29</v>
      </c>
      <c r="O215" t="s">
        <v>29</v>
      </c>
      <c r="P215" t="s">
        <v>29</v>
      </c>
      <c r="Q215" t="s">
        <v>29</v>
      </c>
      <c r="R215">
        <v>432</v>
      </c>
      <c r="S215">
        <v>32.56</v>
      </c>
      <c r="T215">
        <v>4.2</v>
      </c>
      <c r="U215">
        <v>5</v>
      </c>
      <c r="V215" t="s">
        <v>38</v>
      </c>
    </row>
    <row r="216" spans="1:22" x14ac:dyDescent="0.35">
      <c r="A216" s="1">
        <v>45355</v>
      </c>
      <c r="B216" t="s">
        <v>22</v>
      </c>
      <c r="C216" s="2">
        <v>0.8918518518518519</v>
      </c>
      <c r="D216" t="s">
        <v>647</v>
      </c>
      <c r="E216" t="s">
        <v>117</v>
      </c>
      <c r="F216" t="s">
        <v>648</v>
      </c>
      <c r="G216" t="s">
        <v>34</v>
      </c>
      <c r="H216" t="s">
        <v>193</v>
      </c>
      <c r="I216" t="s">
        <v>220</v>
      </c>
      <c r="J216">
        <v>10.199999999999999</v>
      </c>
      <c r="K216" t="s">
        <v>29</v>
      </c>
      <c r="L216">
        <v>1</v>
      </c>
      <c r="M216" t="s">
        <v>121</v>
      </c>
      <c r="N216" t="s">
        <v>29</v>
      </c>
      <c r="O216" t="s">
        <v>29</v>
      </c>
      <c r="P216" t="s">
        <v>29</v>
      </c>
      <c r="Q216" t="s">
        <v>29</v>
      </c>
      <c r="R216" t="s">
        <v>29</v>
      </c>
      <c r="S216" t="s">
        <v>29</v>
      </c>
      <c r="T216" t="s">
        <v>29</v>
      </c>
      <c r="U216" t="s">
        <v>29</v>
      </c>
      <c r="V216" t="s">
        <v>29</v>
      </c>
    </row>
    <row r="217" spans="1:22" x14ac:dyDescent="0.35">
      <c r="A217" s="1">
        <v>45314</v>
      </c>
      <c r="B217" t="s">
        <v>150</v>
      </c>
      <c r="C217" s="2">
        <v>0.4362152777777778</v>
      </c>
      <c r="D217" t="s">
        <v>649</v>
      </c>
      <c r="E217" t="s">
        <v>32</v>
      </c>
      <c r="F217" t="s">
        <v>650</v>
      </c>
      <c r="G217" t="s">
        <v>34</v>
      </c>
      <c r="H217" t="s">
        <v>202</v>
      </c>
      <c r="I217" t="s">
        <v>221</v>
      </c>
      <c r="J217">
        <v>4.4000000000000004</v>
      </c>
      <c r="K217">
        <v>23.6</v>
      </c>
      <c r="L217" t="s">
        <v>29</v>
      </c>
      <c r="M217" t="s">
        <v>29</v>
      </c>
      <c r="N217" t="s">
        <v>29</v>
      </c>
      <c r="O217" t="s">
        <v>29</v>
      </c>
      <c r="P217">
        <v>1</v>
      </c>
      <c r="Q217" t="s">
        <v>37</v>
      </c>
      <c r="R217">
        <v>195</v>
      </c>
      <c r="S217">
        <v>14.49</v>
      </c>
      <c r="T217" t="s">
        <v>29</v>
      </c>
      <c r="U217" t="s">
        <v>29</v>
      </c>
      <c r="V217" t="s">
        <v>107</v>
      </c>
    </row>
    <row r="218" spans="1:22" x14ac:dyDescent="0.35">
      <c r="A218" s="1">
        <v>45593</v>
      </c>
      <c r="B218" t="s">
        <v>47</v>
      </c>
      <c r="C218" s="2">
        <v>0.65725694444444449</v>
      </c>
      <c r="D218" t="s">
        <v>651</v>
      </c>
      <c r="E218" t="s">
        <v>41</v>
      </c>
      <c r="F218" t="s">
        <v>652</v>
      </c>
      <c r="G218" t="s">
        <v>67</v>
      </c>
      <c r="H218" t="s">
        <v>653</v>
      </c>
      <c r="I218" t="s">
        <v>654</v>
      </c>
      <c r="J218">
        <v>3.2</v>
      </c>
      <c r="K218">
        <v>30.8</v>
      </c>
      <c r="L218" t="s">
        <v>29</v>
      </c>
      <c r="M218" t="s">
        <v>29</v>
      </c>
      <c r="N218" t="s">
        <v>29</v>
      </c>
      <c r="O218" t="s">
        <v>29</v>
      </c>
      <c r="P218" t="s">
        <v>29</v>
      </c>
      <c r="Q218" t="s">
        <v>29</v>
      </c>
      <c r="R218">
        <v>54</v>
      </c>
      <c r="S218">
        <v>31.49</v>
      </c>
      <c r="T218">
        <v>4.5999999999999996</v>
      </c>
      <c r="U218">
        <v>4.9000000000000004</v>
      </c>
      <c r="V218" t="s">
        <v>84</v>
      </c>
    </row>
    <row r="219" spans="1:22" x14ac:dyDescent="0.35">
      <c r="A219" s="1">
        <v>45328</v>
      </c>
      <c r="B219" t="s">
        <v>59</v>
      </c>
      <c r="C219" s="2">
        <v>0.42896990740740742</v>
      </c>
      <c r="D219" t="s">
        <v>655</v>
      </c>
      <c r="E219" t="s">
        <v>41</v>
      </c>
      <c r="F219" t="s">
        <v>656</v>
      </c>
      <c r="G219" t="s">
        <v>43</v>
      </c>
      <c r="H219" t="s">
        <v>63</v>
      </c>
      <c r="I219" t="s">
        <v>441</v>
      </c>
      <c r="J219">
        <v>13.4</v>
      </c>
      <c r="K219">
        <v>20</v>
      </c>
      <c r="L219" t="s">
        <v>29</v>
      </c>
      <c r="M219" t="s">
        <v>29</v>
      </c>
      <c r="N219" t="s">
        <v>29</v>
      </c>
      <c r="O219" t="s">
        <v>29</v>
      </c>
      <c r="P219" t="s">
        <v>29</v>
      </c>
      <c r="Q219" t="s">
        <v>29</v>
      </c>
      <c r="R219">
        <v>939</v>
      </c>
      <c r="S219">
        <v>21.28</v>
      </c>
      <c r="T219">
        <v>3.8</v>
      </c>
      <c r="U219">
        <v>5</v>
      </c>
      <c r="V219" t="s">
        <v>38</v>
      </c>
    </row>
    <row r="220" spans="1:22" x14ac:dyDescent="0.35">
      <c r="A220" s="1">
        <v>45630</v>
      </c>
      <c r="B220" t="s">
        <v>78</v>
      </c>
      <c r="C220" s="2">
        <v>0.32508101851851851</v>
      </c>
      <c r="D220" t="s">
        <v>657</v>
      </c>
      <c r="E220" t="s">
        <v>41</v>
      </c>
      <c r="F220" t="s">
        <v>658</v>
      </c>
      <c r="G220" t="s">
        <v>43</v>
      </c>
      <c r="H220" t="s">
        <v>238</v>
      </c>
      <c r="I220" t="s">
        <v>103</v>
      </c>
      <c r="J220">
        <v>9.8000000000000007</v>
      </c>
      <c r="K220">
        <v>43.4</v>
      </c>
      <c r="L220" t="s">
        <v>29</v>
      </c>
      <c r="M220" t="s">
        <v>29</v>
      </c>
      <c r="N220" t="s">
        <v>29</v>
      </c>
      <c r="O220" t="s">
        <v>29</v>
      </c>
      <c r="P220" t="s">
        <v>29</v>
      </c>
      <c r="Q220" t="s">
        <v>29</v>
      </c>
      <c r="R220">
        <v>829</v>
      </c>
      <c r="S220">
        <v>34.14</v>
      </c>
      <c r="T220">
        <v>4.5999999999999996</v>
      </c>
      <c r="U220">
        <v>4.2</v>
      </c>
      <c r="V220" t="s">
        <v>38</v>
      </c>
    </row>
    <row r="221" spans="1:22" x14ac:dyDescent="0.35">
      <c r="A221" s="1">
        <v>45648</v>
      </c>
      <c r="B221" t="s">
        <v>78</v>
      </c>
      <c r="C221" s="2">
        <v>0.74542824074074077</v>
      </c>
      <c r="D221" t="s">
        <v>659</v>
      </c>
      <c r="E221" t="s">
        <v>41</v>
      </c>
      <c r="F221" t="s">
        <v>660</v>
      </c>
      <c r="G221" t="s">
        <v>43</v>
      </c>
      <c r="H221" t="s">
        <v>442</v>
      </c>
      <c r="I221" t="s">
        <v>346</v>
      </c>
      <c r="J221">
        <v>8.6999999999999993</v>
      </c>
      <c r="K221">
        <v>27.2</v>
      </c>
      <c r="L221" t="s">
        <v>29</v>
      </c>
      <c r="M221" t="s">
        <v>29</v>
      </c>
      <c r="N221" t="s">
        <v>29</v>
      </c>
      <c r="O221" t="s">
        <v>29</v>
      </c>
      <c r="P221" t="s">
        <v>29</v>
      </c>
      <c r="Q221" t="s">
        <v>29</v>
      </c>
      <c r="R221">
        <v>314</v>
      </c>
      <c r="S221">
        <v>20.66</v>
      </c>
      <c r="T221">
        <v>4.5999999999999996</v>
      </c>
      <c r="U221">
        <v>4.3</v>
      </c>
      <c r="V221" t="s">
        <v>38</v>
      </c>
    </row>
    <row r="222" spans="1:22" x14ac:dyDescent="0.35">
      <c r="A222" s="1">
        <v>45528</v>
      </c>
      <c r="B222" t="s">
        <v>39</v>
      </c>
      <c r="C222" s="2">
        <v>0.88187499999999996</v>
      </c>
      <c r="D222" t="s">
        <v>661</v>
      </c>
      <c r="E222" t="s">
        <v>41</v>
      </c>
      <c r="F222" t="s">
        <v>662</v>
      </c>
      <c r="G222" t="s">
        <v>34</v>
      </c>
      <c r="H222" t="s">
        <v>255</v>
      </c>
      <c r="I222" t="s">
        <v>136</v>
      </c>
      <c r="J222">
        <v>11.7</v>
      </c>
      <c r="K222">
        <v>30.5</v>
      </c>
      <c r="L222" t="s">
        <v>29</v>
      </c>
      <c r="M222" t="s">
        <v>29</v>
      </c>
      <c r="N222" t="s">
        <v>29</v>
      </c>
      <c r="O222" t="s">
        <v>29</v>
      </c>
      <c r="P222" t="s">
        <v>29</v>
      </c>
      <c r="Q222" t="s">
        <v>29</v>
      </c>
      <c r="R222">
        <v>1249</v>
      </c>
      <c r="S222">
        <v>24.6</v>
      </c>
      <c r="T222">
        <v>4.0999999999999996</v>
      </c>
      <c r="U222">
        <v>3.7</v>
      </c>
      <c r="V222" t="s">
        <v>84</v>
      </c>
    </row>
    <row r="223" spans="1:22" x14ac:dyDescent="0.35">
      <c r="A223" s="1">
        <v>45553</v>
      </c>
      <c r="B223" t="s">
        <v>53</v>
      </c>
      <c r="C223" s="2">
        <v>0.36708333333333332</v>
      </c>
      <c r="D223" t="s">
        <v>663</v>
      </c>
      <c r="E223" t="s">
        <v>41</v>
      </c>
      <c r="F223" t="s">
        <v>664</v>
      </c>
      <c r="G223" t="s">
        <v>43</v>
      </c>
      <c r="H223" t="s">
        <v>366</v>
      </c>
      <c r="I223" t="s">
        <v>665</v>
      </c>
      <c r="J223">
        <v>4.5</v>
      </c>
      <c r="K223">
        <v>27.4</v>
      </c>
      <c r="L223" t="s">
        <v>29</v>
      </c>
      <c r="M223" t="s">
        <v>29</v>
      </c>
      <c r="N223" t="s">
        <v>29</v>
      </c>
      <c r="O223" t="s">
        <v>29</v>
      </c>
      <c r="P223" t="s">
        <v>29</v>
      </c>
      <c r="Q223" t="s">
        <v>29</v>
      </c>
      <c r="R223">
        <v>437</v>
      </c>
      <c r="S223">
        <v>27.94</v>
      </c>
      <c r="T223">
        <v>3.9</v>
      </c>
      <c r="U223">
        <v>4.5999999999999996</v>
      </c>
      <c r="V223" t="s">
        <v>38</v>
      </c>
    </row>
    <row r="224" spans="1:22" x14ac:dyDescent="0.35">
      <c r="A224" s="1">
        <v>45587</v>
      </c>
      <c r="B224" t="s">
        <v>47</v>
      </c>
      <c r="C224" s="2">
        <v>0.36228009259259258</v>
      </c>
      <c r="D224" t="s">
        <v>666</v>
      </c>
      <c r="E224" t="s">
        <v>41</v>
      </c>
      <c r="F224" t="s">
        <v>667</v>
      </c>
      <c r="G224" t="s">
        <v>67</v>
      </c>
      <c r="H224" t="s">
        <v>88</v>
      </c>
      <c r="I224" t="s">
        <v>327</v>
      </c>
      <c r="J224">
        <v>9.6</v>
      </c>
      <c r="K224">
        <v>28.1</v>
      </c>
      <c r="L224" t="s">
        <v>29</v>
      </c>
      <c r="M224" t="s">
        <v>29</v>
      </c>
      <c r="N224" t="s">
        <v>29</v>
      </c>
      <c r="O224" t="s">
        <v>29</v>
      </c>
      <c r="P224" t="s">
        <v>29</v>
      </c>
      <c r="Q224" t="s">
        <v>29</v>
      </c>
      <c r="R224">
        <v>83</v>
      </c>
      <c r="S224">
        <v>44.57</v>
      </c>
      <c r="T224">
        <v>4.5999999999999996</v>
      </c>
      <c r="U224">
        <v>4.5</v>
      </c>
      <c r="V224" t="s">
        <v>38</v>
      </c>
    </row>
    <row r="225" spans="1:22" x14ac:dyDescent="0.35">
      <c r="A225" s="1">
        <v>45459</v>
      </c>
      <c r="B225" t="s">
        <v>64</v>
      </c>
      <c r="C225" s="2">
        <v>0.28692129629629631</v>
      </c>
      <c r="D225" t="s">
        <v>668</v>
      </c>
      <c r="E225" t="s">
        <v>41</v>
      </c>
      <c r="F225" t="s">
        <v>669</v>
      </c>
      <c r="G225" t="s">
        <v>43</v>
      </c>
      <c r="H225" t="s">
        <v>493</v>
      </c>
      <c r="I225" t="s">
        <v>511</v>
      </c>
      <c r="J225">
        <v>14.2</v>
      </c>
      <c r="K225">
        <v>15.7</v>
      </c>
      <c r="L225" t="s">
        <v>29</v>
      </c>
      <c r="M225" t="s">
        <v>29</v>
      </c>
      <c r="N225" t="s">
        <v>29</v>
      </c>
      <c r="O225" t="s">
        <v>29</v>
      </c>
      <c r="P225" t="s">
        <v>29</v>
      </c>
      <c r="Q225" t="s">
        <v>29</v>
      </c>
      <c r="R225">
        <v>1444</v>
      </c>
      <c r="S225">
        <v>15.43</v>
      </c>
      <c r="T225">
        <v>4.2</v>
      </c>
      <c r="U225">
        <v>3.1</v>
      </c>
      <c r="V225" t="s">
        <v>84</v>
      </c>
    </row>
    <row r="226" spans="1:22" x14ac:dyDescent="0.35">
      <c r="A226" s="1">
        <v>45648</v>
      </c>
      <c r="B226" t="s">
        <v>78</v>
      </c>
      <c r="C226" s="2">
        <v>0.37771990740740741</v>
      </c>
      <c r="D226" t="s">
        <v>670</v>
      </c>
      <c r="E226" t="s">
        <v>93</v>
      </c>
      <c r="F226" t="s">
        <v>671</v>
      </c>
      <c r="G226" t="s">
        <v>67</v>
      </c>
      <c r="H226" t="s">
        <v>324</v>
      </c>
      <c r="I226" t="s">
        <v>254</v>
      </c>
      <c r="J226">
        <v>6.5</v>
      </c>
      <c r="K226" t="s">
        <v>29</v>
      </c>
      <c r="L226" t="s">
        <v>29</v>
      </c>
      <c r="M226" t="s">
        <v>29</v>
      </c>
      <c r="N226">
        <v>1</v>
      </c>
      <c r="O226" t="s">
        <v>115</v>
      </c>
      <c r="P226" t="s">
        <v>29</v>
      </c>
      <c r="Q226" t="s">
        <v>29</v>
      </c>
      <c r="R226" t="s">
        <v>29</v>
      </c>
      <c r="S226" t="s">
        <v>29</v>
      </c>
      <c r="T226" t="s">
        <v>29</v>
      </c>
      <c r="U226" t="s">
        <v>29</v>
      </c>
      <c r="V226" t="s">
        <v>29</v>
      </c>
    </row>
    <row r="227" spans="1:22" x14ac:dyDescent="0.35">
      <c r="A227" s="1">
        <v>45475</v>
      </c>
      <c r="B227" t="s">
        <v>108</v>
      </c>
      <c r="C227" s="2">
        <v>0.64256944444444442</v>
      </c>
      <c r="D227" t="s">
        <v>672</v>
      </c>
      <c r="E227" t="s">
        <v>24</v>
      </c>
      <c r="F227" t="s">
        <v>673</v>
      </c>
      <c r="G227" t="s">
        <v>50</v>
      </c>
      <c r="H227" t="s">
        <v>323</v>
      </c>
      <c r="I227" t="s">
        <v>290</v>
      </c>
      <c r="J227" t="s">
        <v>29</v>
      </c>
      <c r="K227" t="s">
        <v>29</v>
      </c>
      <c r="L227" t="s">
        <v>29</v>
      </c>
      <c r="M227" t="s">
        <v>29</v>
      </c>
      <c r="N227" t="s">
        <v>29</v>
      </c>
      <c r="O227" t="s">
        <v>29</v>
      </c>
      <c r="P227" t="s">
        <v>29</v>
      </c>
      <c r="Q227" t="s">
        <v>29</v>
      </c>
      <c r="R227" t="s">
        <v>29</v>
      </c>
      <c r="S227" t="s">
        <v>29</v>
      </c>
      <c r="T227" t="s">
        <v>29</v>
      </c>
      <c r="U227" t="s">
        <v>29</v>
      </c>
      <c r="V227" t="s">
        <v>29</v>
      </c>
    </row>
    <row r="228" spans="1:22" x14ac:dyDescent="0.35">
      <c r="A228" s="1">
        <v>45542</v>
      </c>
      <c r="B228" t="s">
        <v>53</v>
      </c>
      <c r="C228" s="2">
        <v>0.17156250000000001</v>
      </c>
      <c r="D228" t="s">
        <v>674</v>
      </c>
      <c r="E228" t="s">
        <v>41</v>
      </c>
      <c r="F228" t="s">
        <v>675</v>
      </c>
      <c r="G228" t="s">
        <v>56</v>
      </c>
      <c r="H228" t="s">
        <v>346</v>
      </c>
      <c r="I228" t="s">
        <v>560</v>
      </c>
      <c r="J228">
        <v>5.8</v>
      </c>
      <c r="K228">
        <v>31.4</v>
      </c>
      <c r="L228" t="s">
        <v>29</v>
      </c>
      <c r="M228" t="s">
        <v>29</v>
      </c>
      <c r="N228" t="s">
        <v>29</v>
      </c>
      <c r="O228" t="s">
        <v>29</v>
      </c>
      <c r="P228" t="s">
        <v>29</v>
      </c>
      <c r="Q228" t="s">
        <v>29</v>
      </c>
      <c r="R228">
        <v>1368</v>
      </c>
      <c r="S228">
        <v>42.88</v>
      </c>
      <c r="T228">
        <v>4.3</v>
      </c>
      <c r="U228">
        <v>3.8</v>
      </c>
      <c r="V228" t="s">
        <v>84</v>
      </c>
    </row>
    <row r="229" spans="1:22" x14ac:dyDescent="0.35">
      <c r="A229" s="1">
        <v>45478</v>
      </c>
      <c r="B229" t="s">
        <v>108</v>
      </c>
      <c r="C229" s="2">
        <v>0.27880787037037036</v>
      </c>
      <c r="D229" t="s">
        <v>676</v>
      </c>
      <c r="E229" t="s">
        <v>24</v>
      </c>
      <c r="F229" t="s">
        <v>677</v>
      </c>
      <c r="G229" t="s">
        <v>56</v>
      </c>
      <c r="H229" t="s">
        <v>69</v>
      </c>
      <c r="I229" t="s">
        <v>57</v>
      </c>
      <c r="J229" t="s">
        <v>29</v>
      </c>
      <c r="K229" t="s">
        <v>29</v>
      </c>
      <c r="L229" t="s">
        <v>29</v>
      </c>
      <c r="M229" t="s">
        <v>29</v>
      </c>
      <c r="N229" t="s">
        <v>29</v>
      </c>
      <c r="O229" t="s">
        <v>29</v>
      </c>
      <c r="P229" t="s">
        <v>29</v>
      </c>
      <c r="Q229" t="s">
        <v>29</v>
      </c>
      <c r="R229" t="s">
        <v>29</v>
      </c>
      <c r="S229" t="s">
        <v>29</v>
      </c>
      <c r="T229" t="s">
        <v>29</v>
      </c>
      <c r="U229" t="s">
        <v>29</v>
      </c>
      <c r="V229" t="s">
        <v>29</v>
      </c>
    </row>
    <row r="230" spans="1:22" x14ac:dyDescent="0.35">
      <c r="A230" s="1">
        <v>45415</v>
      </c>
      <c r="B230" t="s">
        <v>122</v>
      </c>
      <c r="C230" s="2">
        <v>0.91212962962962962</v>
      </c>
      <c r="D230" t="s">
        <v>678</v>
      </c>
      <c r="E230" t="s">
        <v>41</v>
      </c>
      <c r="F230" t="s">
        <v>679</v>
      </c>
      <c r="G230" t="s">
        <v>43</v>
      </c>
      <c r="H230" t="s">
        <v>211</v>
      </c>
      <c r="I230" t="s">
        <v>63</v>
      </c>
      <c r="J230">
        <v>7.1</v>
      </c>
      <c r="K230">
        <v>18</v>
      </c>
      <c r="L230" t="s">
        <v>29</v>
      </c>
      <c r="M230" t="s">
        <v>29</v>
      </c>
      <c r="N230" t="s">
        <v>29</v>
      </c>
      <c r="O230" t="s">
        <v>29</v>
      </c>
      <c r="P230" t="s">
        <v>29</v>
      </c>
      <c r="Q230" t="s">
        <v>29</v>
      </c>
      <c r="R230">
        <v>418</v>
      </c>
      <c r="S230">
        <v>23.31</v>
      </c>
      <c r="T230">
        <v>4.2</v>
      </c>
      <c r="U230">
        <v>4.5999999999999996</v>
      </c>
      <c r="V230" t="s">
        <v>38</v>
      </c>
    </row>
    <row r="231" spans="1:22" x14ac:dyDescent="0.35">
      <c r="A231" s="1">
        <v>45392</v>
      </c>
      <c r="B231" t="s">
        <v>154</v>
      </c>
      <c r="C231" s="2">
        <v>0.80108796296296292</v>
      </c>
      <c r="D231" t="s">
        <v>680</v>
      </c>
      <c r="E231" t="s">
        <v>41</v>
      </c>
      <c r="F231" t="s">
        <v>681</v>
      </c>
      <c r="G231" t="s">
        <v>50</v>
      </c>
      <c r="H231" t="s">
        <v>531</v>
      </c>
      <c r="I231" t="s">
        <v>355</v>
      </c>
      <c r="J231">
        <v>11</v>
      </c>
      <c r="K231">
        <v>40</v>
      </c>
      <c r="L231" t="s">
        <v>29</v>
      </c>
      <c r="M231" t="s">
        <v>29</v>
      </c>
      <c r="N231" t="s">
        <v>29</v>
      </c>
      <c r="O231" t="s">
        <v>29</v>
      </c>
      <c r="P231" t="s">
        <v>29</v>
      </c>
      <c r="Q231" t="s">
        <v>29</v>
      </c>
      <c r="R231">
        <v>363</v>
      </c>
      <c r="S231">
        <v>31.36</v>
      </c>
      <c r="T231">
        <v>4.2</v>
      </c>
      <c r="U231">
        <v>4.3</v>
      </c>
      <c r="V231" t="s">
        <v>38</v>
      </c>
    </row>
    <row r="232" spans="1:22" x14ac:dyDescent="0.35">
      <c r="A232" s="1">
        <v>45328</v>
      </c>
      <c r="B232" t="s">
        <v>59</v>
      </c>
      <c r="C232" s="2">
        <v>0.38791666666666669</v>
      </c>
      <c r="D232" t="s">
        <v>682</v>
      </c>
      <c r="E232" t="s">
        <v>41</v>
      </c>
      <c r="F232" t="s">
        <v>683</v>
      </c>
      <c r="G232" t="s">
        <v>67</v>
      </c>
      <c r="H232" t="s">
        <v>62</v>
      </c>
      <c r="I232" t="s">
        <v>398</v>
      </c>
      <c r="J232">
        <v>12.8</v>
      </c>
      <c r="K232">
        <v>15.3</v>
      </c>
      <c r="L232" t="s">
        <v>29</v>
      </c>
      <c r="M232" t="s">
        <v>29</v>
      </c>
      <c r="N232" t="s">
        <v>29</v>
      </c>
      <c r="O232" t="s">
        <v>29</v>
      </c>
      <c r="P232" t="s">
        <v>29</v>
      </c>
      <c r="Q232" t="s">
        <v>29</v>
      </c>
      <c r="R232">
        <v>279</v>
      </c>
      <c r="S232">
        <v>16.68</v>
      </c>
      <c r="T232">
        <v>4.0999999999999996</v>
      </c>
      <c r="U232">
        <v>4.9000000000000004</v>
      </c>
      <c r="V232" t="s">
        <v>84</v>
      </c>
    </row>
    <row r="233" spans="1:22" x14ac:dyDescent="0.35">
      <c r="A233" s="1">
        <v>45404</v>
      </c>
      <c r="B233" t="s">
        <v>154</v>
      </c>
      <c r="C233" s="2">
        <v>0.71773148148148147</v>
      </c>
      <c r="D233" t="s">
        <v>684</v>
      </c>
      <c r="E233" t="s">
        <v>41</v>
      </c>
      <c r="F233" t="s">
        <v>685</v>
      </c>
      <c r="G233" t="s">
        <v>67</v>
      </c>
      <c r="H233" t="s">
        <v>590</v>
      </c>
      <c r="I233" t="s">
        <v>62</v>
      </c>
      <c r="J233">
        <v>5.0999999999999996</v>
      </c>
      <c r="K233">
        <v>39.9</v>
      </c>
      <c r="L233" t="s">
        <v>29</v>
      </c>
      <c r="M233" t="s">
        <v>29</v>
      </c>
      <c r="N233" t="s">
        <v>29</v>
      </c>
      <c r="O233" t="s">
        <v>29</v>
      </c>
      <c r="P233" t="s">
        <v>29</v>
      </c>
      <c r="Q233" t="s">
        <v>29</v>
      </c>
      <c r="R233">
        <v>332</v>
      </c>
      <c r="S233">
        <v>49.06</v>
      </c>
      <c r="T233">
        <v>4.4000000000000004</v>
      </c>
      <c r="U233">
        <v>4.5999999999999996</v>
      </c>
      <c r="V233" t="s">
        <v>84</v>
      </c>
    </row>
    <row r="234" spans="1:22" x14ac:dyDescent="0.35">
      <c r="A234" s="1">
        <v>45560</v>
      </c>
      <c r="B234" t="s">
        <v>53</v>
      </c>
      <c r="C234" s="2">
        <v>0.79068287037037033</v>
      </c>
      <c r="D234" t="s">
        <v>686</v>
      </c>
      <c r="E234" t="s">
        <v>41</v>
      </c>
      <c r="F234" t="s">
        <v>687</v>
      </c>
      <c r="G234" t="s">
        <v>43</v>
      </c>
      <c r="H234" t="s">
        <v>552</v>
      </c>
      <c r="I234" t="s">
        <v>366</v>
      </c>
      <c r="J234">
        <v>4.7</v>
      </c>
      <c r="K234">
        <v>37.9</v>
      </c>
      <c r="L234" t="s">
        <v>29</v>
      </c>
      <c r="M234" t="s">
        <v>29</v>
      </c>
      <c r="N234" t="s">
        <v>29</v>
      </c>
      <c r="O234" t="s">
        <v>29</v>
      </c>
      <c r="P234" t="s">
        <v>29</v>
      </c>
      <c r="Q234" t="s">
        <v>29</v>
      </c>
      <c r="R234">
        <v>448</v>
      </c>
      <c r="S234">
        <v>28.34</v>
      </c>
      <c r="T234">
        <v>4.3</v>
      </c>
      <c r="U234">
        <v>4.9000000000000004</v>
      </c>
      <c r="V234" t="s">
        <v>38</v>
      </c>
    </row>
    <row r="235" spans="1:22" x14ac:dyDescent="0.35">
      <c r="A235" s="1">
        <v>45481</v>
      </c>
      <c r="B235" t="s">
        <v>108</v>
      </c>
      <c r="C235" s="2">
        <v>0.76265046296296302</v>
      </c>
      <c r="D235" t="s">
        <v>688</v>
      </c>
      <c r="E235" t="s">
        <v>117</v>
      </c>
      <c r="F235" t="s">
        <v>689</v>
      </c>
      <c r="G235" t="s">
        <v>56</v>
      </c>
      <c r="H235" t="s">
        <v>391</v>
      </c>
      <c r="I235" t="s">
        <v>690</v>
      </c>
      <c r="J235">
        <v>11.2</v>
      </c>
      <c r="K235" t="s">
        <v>29</v>
      </c>
      <c r="L235">
        <v>1</v>
      </c>
      <c r="M235" t="s">
        <v>490</v>
      </c>
      <c r="N235" t="s">
        <v>29</v>
      </c>
      <c r="O235" t="s">
        <v>29</v>
      </c>
      <c r="P235" t="s">
        <v>29</v>
      </c>
      <c r="Q235" t="s">
        <v>29</v>
      </c>
      <c r="R235" t="s">
        <v>29</v>
      </c>
      <c r="S235" t="s">
        <v>29</v>
      </c>
      <c r="T235" t="s">
        <v>29</v>
      </c>
      <c r="U235" t="s">
        <v>29</v>
      </c>
      <c r="V235" t="s">
        <v>29</v>
      </c>
    </row>
    <row r="236" spans="1:22" x14ac:dyDescent="0.35">
      <c r="A236" s="1">
        <v>45447</v>
      </c>
      <c r="B236" t="s">
        <v>64</v>
      </c>
      <c r="C236" s="2">
        <v>0.65913194444444445</v>
      </c>
      <c r="D236" t="s">
        <v>691</v>
      </c>
      <c r="E236" t="s">
        <v>41</v>
      </c>
      <c r="F236" t="s">
        <v>692</v>
      </c>
      <c r="G236" t="s">
        <v>34</v>
      </c>
      <c r="H236" t="s">
        <v>255</v>
      </c>
      <c r="I236" t="s">
        <v>693</v>
      </c>
      <c r="J236">
        <v>12.9</v>
      </c>
      <c r="K236">
        <v>29.7</v>
      </c>
      <c r="L236" t="s">
        <v>29</v>
      </c>
      <c r="M236" t="s">
        <v>29</v>
      </c>
      <c r="N236" t="s">
        <v>29</v>
      </c>
      <c r="O236" t="s">
        <v>29</v>
      </c>
      <c r="P236" t="s">
        <v>29</v>
      </c>
      <c r="Q236" t="s">
        <v>29</v>
      </c>
      <c r="R236">
        <v>64</v>
      </c>
      <c r="S236">
        <v>38.65</v>
      </c>
      <c r="T236">
        <v>3.5</v>
      </c>
      <c r="U236">
        <v>5</v>
      </c>
      <c r="V236" t="s">
        <v>38</v>
      </c>
    </row>
    <row r="237" spans="1:22" x14ac:dyDescent="0.35">
      <c r="A237" s="1">
        <v>45636</v>
      </c>
      <c r="B237" t="s">
        <v>78</v>
      </c>
      <c r="C237" s="2">
        <v>0.59758101851851853</v>
      </c>
      <c r="D237" t="s">
        <v>694</v>
      </c>
      <c r="E237" t="s">
        <v>41</v>
      </c>
      <c r="F237" t="s">
        <v>695</v>
      </c>
      <c r="G237" t="s">
        <v>34</v>
      </c>
      <c r="H237" t="s">
        <v>194</v>
      </c>
      <c r="I237" t="s">
        <v>81</v>
      </c>
      <c r="J237">
        <v>4.2</v>
      </c>
      <c r="K237">
        <v>18.899999999999999</v>
      </c>
      <c r="L237" t="s">
        <v>29</v>
      </c>
      <c r="M237" t="s">
        <v>29</v>
      </c>
      <c r="N237" t="s">
        <v>29</v>
      </c>
      <c r="O237" t="s">
        <v>29</v>
      </c>
      <c r="P237" t="s">
        <v>29</v>
      </c>
      <c r="Q237" t="s">
        <v>29</v>
      </c>
      <c r="R237">
        <v>682</v>
      </c>
      <c r="S237">
        <v>3.05</v>
      </c>
      <c r="T237">
        <v>4.7</v>
      </c>
      <c r="U237">
        <v>4.3</v>
      </c>
      <c r="V237" t="s">
        <v>38</v>
      </c>
    </row>
    <row r="238" spans="1:22" x14ac:dyDescent="0.35">
      <c r="A238" s="1">
        <v>45500</v>
      </c>
      <c r="B238" t="s">
        <v>108</v>
      </c>
      <c r="C238" s="2">
        <v>0.45814814814814814</v>
      </c>
      <c r="D238" t="s">
        <v>696</v>
      </c>
      <c r="E238" t="s">
        <v>24</v>
      </c>
      <c r="F238" t="s">
        <v>697</v>
      </c>
      <c r="G238" t="s">
        <v>67</v>
      </c>
      <c r="H238" t="s">
        <v>430</v>
      </c>
      <c r="I238" t="s">
        <v>349</v>
      </c>
      <c r="J238" t="s">
        <v>29</v>
      </c>
      <c r="K238" t="s">
        <v>29</v>
      </c>
      <c r="L238" t="s">
        <v>29</v>
      </c>
      <c r="M238" t="s">
        <v>29</v>
      </c>
      <c r="N238" t="s">
        <v>29</v>
      </c>
      <c r="O238" t="s">
        <v>29</v>
      </c>
      <c r="P238" t="s">
        <v>29</v>
      </c>
      <c r="Q238" t="s">
        <v>29</v>
      </c>
      <c r="R238" t="s">
        <v>29</v>
      </c>
      <c r="S238" t="s">
        <v>29</v>
      </c>
      <c r="T238" t="s">
        <v>29</v>
      </c>
      <c r="U238" t="s">
        <v>29</v>
      </c>
      <c r="V238" t="s">
        <v>29</v>
      </c>
    </row>
    <row r="239" spans="1:22" x14ac:dyDescent="0.35">
      <c r="A239" s="1">
        <v>45486</v>
      </c>
      <c r="B239" t="s">
        <v>108</v>
      </c>
      <c r="C239" s="2">
        <v>0.11760416666666666</v>
      </c>
      <c r="D239" t="s">
        <v>698</v>
      </c>
      <c r="E239" t="s">
        <v>41</v>
      </c>
      <c r="F239" t="s">
        <v>699</v>
      </c>
      <c r="G239" t="s">
        <v>67</v>
      </c>
      <c r="H239" t="s">
        <v>194</v>
      </c>
      <c r="I239" t="s">
        <v>296</v>
      </c>
      <c r="J239">
        <v>5.2</v>
      </c>
      <c r="K239">
        <v>37.799999999999997</v>
      </c>
      <c r="L239" t="s">
        <v>29</v>
      </c>
      <c r="M239" t="s">
        <v>29</v>
      </c>
      <c r="N239" t="s">
        <v>29</v>
      </c>
      <c r="O239" t="s">
        <v>29</v>
      </c>
      <c r="P239" t="s">
        <v>29</v>
      </c>
      <c r="Q239" t="s">
        <v>29</v>
      </c>
      <c r="R239">
        <v>488</v>
      </c>
      <c r="S239">
        <v>41.81</v>
      </c>
      <c r="T239">
        <v>4.2</v>
      </c>
      <c r="U239">
        <v>4.0999999999999996</v>
      </c>
      <c r="V239" t="s">
        <v>38</v>
      </c>
    </row>
    <row r="240" spans="1:22" x14ac:dyDescent="0.35">
      <c r="A240" s="1">
        <v>45457</v>
      </c>
      <c r="B240" t="s">
        <v>64</v>
      </c>
      <c r="C240" s="2">
        <v>0.48732638888888891</v>
      </c>
      <c r="D240" t="s">
        <v>700</v>
      </c>
      <c r="E240" t="s">
        <v>117</v>
      </c>
      <c r="F240" t="s">
        <v>701</v>
      </c>
      <c r="G240" t="s">
        <v>43</v>
      </c>
      <c r="H240" t="s">
        <v>552</v>
      </c>
      <c r="I240" t="s">
        <v>398</v>
      </c>
      <c r="J240">
        <v>16.899999999999999</v>
      </c>
      <c r="K240" t="s">
        <v>29</v>
      </c>
      <c r="L240">
        <v>1</v>
      </c>
      <c r="M240" t="s">
        <v>420</v>
      </c>
      <c r="N240" t="s">
        <v>29</v>
      </c>
      <c r="O240" t="s">
        <v>29</v>
      </c>
      <c r="P240" t="s">
        <v>29</v>
      </c>
      <c r="Q240" t="s">
        <v>29</v>
      </c>
      <c r="R240" t="s">
        <v>29</v>
      </c>
      <c r="S240" t="s">
        <v>29</v>
      </c>
      <c r="T240" t="s">
        <v>29</v>
      </c>
      <c r="U240" t="s">
        <v>29</v>
      </c>
      <c r="V240" t="s">
        <v>29</v>
      </c>
    </row>
    <row r="241" spans="1:22" x14ac:dyDescent="0.35">
      <c r="A241" s="1">
        <v>45581</v>
      </c>
      <c r="B241" t="s">
        <v>47</v>
      </c>
      <c r="C241" s="2">
        <v>0.89615740740740746</v>
      </c>
      <c r="D241" t="s">
        <v>702</v>
      </c>
      <c r="E241" t="s">
        <v>41</v>
      </c>
      <c r="F241" t="s">
        <v>703</v>
      </c>
      <c r="G241" t="s">
        <v>34</v>
      </c>
      <c r="H241" t="s">
        <v>148</v>
      </c>
      <c r="I241" t="s">
        <v>653</v>
      </c>
      <c r="J241">
        <v>3.9</v>
      </c>
      <c r="K241">
        <v>40.6</v>
      </c>
      <c r="L241" t="s">
        <v>29</v>
      </c>
      <c r="M241" t="s">
        <v>29</v>
      </c>
      <c r="N241" t="s">
        <v>29</v>
      </c>
      <c r="O241" t="s">
        <v>29</v>
      </c>
      <c r="P241" t="s">
        <v>29</v>
      </c>
      <c r="Q241" t="s">
        <v>29</v>
      </c>
      <c r="R241">
        <v>953</v>
      </c>
      <c r="S241">
        <v>31.28</v>
      </c>
      <c r="T241">
        <v>4.9000000000000004</v>
      </c>
      <c r="U241">
        <v>4.7</v>
      </c>
      <c r="V241" t="s">
        <v>84</v>
      </c>
    </row>
    <row r="242" spans="1:22" x14ac:dyDescent="0.35">
      <c r="A242" s="1">
        <v>45417</v>
      </c>
      <c r="B242" t="s">
        <v>122</v>
      </c>
      <c r="C242" s="2">
        <v>0.79863425925925924</v>
      </c>
      <c r="D242" t="s">
        <v>704</v>
      </c>
      <c r="E242" t="s">
        <v>41</v>
      </c>
      <c r="F242" t="s">
        <v>705</v>
      </c>
      <c r="G242" t="s">
        <v>34</v>
      </c>
      <c r="H242" t="s">
        <v>536</v>
      </c>
      <c r="I242" t="s">
        <v>374</v>
      </c>
      <c r="J242">
        <v>9.9</v>
      </c>
      <c r="K242">
        <v>15.6</v>
      </c>
      <c r="L242" t="s">
        <v>29</v>
      </c>
      <c r="M242" t="s">
        <v>29</v>
      </c>
      <c r="N242" t="s">
        <v>29</v>
      </c>
      <c r="O242" t="s">
        <v>29</v>
      </c>
      <c r="P242" t="s">
        <v>29</v>
      </c>
      <c r="Q242" t="s">
        <v>29</v>
      </c>
      <c r="R242">
        <v>965</v>
      </c>
      <c r="S242">
        <v>34.5</v>
      </c>
      <c r="T242">
        <v>4.0999999999999996</v>
      </c>
      <c r="U242">
        <v>4.2</v>
      </c>
      <c r="V242" t="s">
        <v>38</v>
      </c>
    </row>
    <row r="243" spans="1:22" x14ac:dyDescent="0.35">
      <c r="A243" s="1">
        <v>45340</v>
      </c>
      <c r="B243" t="s">
        <v>59</v>
      </c>
      <c r="C243" s="2">
        <v>0.6837847222222222</v>
      </c>
      <c r="D243" t="s">
        <v>706</v>
      </c>
      <c r="E243" t="s">
        <v>41</v>
      </c>
      <c r="F243" t="s">
        <v>707</v>
      </c>
      <c r="G243" t="s">
        <v>34</v>
      </c>
      <c r="H243" t="s">
        <v>58</v>
      </c>
      <c r="I243" t="s">
        <v>277</v>
      </c>
      <c r="J243">
        <v>10</v>
      </c>
      <c r="K243">
        <v>40.6</v>
      </c>
      <c r="L243" t="s">
        <v>29</v>
      </c>
      <c r="M243" t="s">
        <v>29</v>
      </c>
      <c r="N243" t="s">
        <v>29</v>
      </c>
      <c r="O243" t="s">
        <v>29</v>
      </c>
      <c r="P243" t="s">
        <v>29</v>
      </c>
      <c r="Q243" t="s">
        <v>29</v>
      </c>
      <c r="R243">
        <v>405</v>
      </c>
      <c r="S243">
        <v>13.1</v>
      </c>
      <c r="T243">
        <v>3.6</v>
      </c>
      <c r="U243">
        <v>4.5999999999999996</v>
      </c>
      <c r="V243" t="s">
        <v>149</v>
      </c>
    </row>
    <row r="244" spans="1:22" x14ac:dyDescent="0.35">
      <c r="A244" s="1">
        <v>45518</v>
      </c>
      <c r="B244" t="s">
        <v>39</v>
      </c>
      <c r="C244" s="2">
        <v>0.60760416666666661</v>
      </c>
      <c r="D244" t="s">
        <v>708</v>
      </c>
      <c r="E244" t="s">
        <v>24</v>
      </c>
      <c r="F244" t="s">
        <v>709</v>
      </c>
      <c r="G244" t="s">
        <v>43</v>
      </c>
      <c r="H244" t="s">
        <v>343</v>
      </c>
      <c r="I244" t="s">
        <v>386</v>
      </c>
      <c r="J244" t="s">
        <v>29</v>
      </c>
      <c r="K244" t="s">
        <v>29</v>
      </c>
      <c r="L244" t="s">
        <v>29</v>
      </c>
      <c r="M244" t="s">
        <v>29</v>
      </c>
      <c r="N244" t="s">
        <v>29</v>
      </c>
      <c r="O244" t="s">
        <v>29</v>
      </c>
      <c r="P244" t="s">
        <v>29</v>
      </c>
      <c r="Q244" t="s">
        <v>29</v>
      </c>
      <c r="R244" t="s">
        <v>29</v>
      </c>
      <c r="S244" t="s">
        <v>29</v>
      </c>
      <c r="T244" t="s">
        <v>29</v>
      </c>
      <c r="U244" t="s">
        <v>29</v>
      </c>
      <c r="V244" t="s">
        <v>29</v>
      </c>
    </row>
    <row r="245" spans="1:22" x14ac:dyDescent="0.35">
      <c r="A245" s="1">
        <v>45358</v>
      </c>
      <c r="B245" t="s">
        <v>22</v>
      </c>
      <c r="C245" s="2">
        <v>0.45831018518518518</v>
      </c>
      <c r="D245" t="s">
        <v>710</v>
      </c>
      <c r="E245" t="s">
        <v>93</v>
      </c>
      <c r="F245" t="s">
        <v>711</v>
      </c>
      <c r="G245" t="s">
        <v>67</v>
      </c>
      <c r="H245" t="s">
        <v>254</v>
      </c>
      <c r="I245" t="s">
        <v>555</v>
      </c>
      <c r="J245">
        <v>10.199999999999999</v>
      </c>
      <c r="K245" t="s">
        <v>29</v>
      </c>
      <c r="L245" t="s">
        <v>29</v>
      </c>
      <c r="M245" t="s">
        <v>29</v>
      </c>
      <c r="N245">
        <v>1</v>
      </c>
      <c r="O245" t="s">
        <v>97</v>
      </c>
      <c r="P245" t="s">
        <v>29</v>
      </c>
      <c r="Q245" t="s">
        <v>29</v>
      </c>
      <c r="R245" t="s">
        <v>29</v>
      </c>
      <c r="S245" t="s">
        <v>29</v>
      </c>
      <c r="T245" t="s">
        <v>29</v>
      </c>
      <c r="U245" t="s">
        <v>29</v>
      </c>
      <c r="V245" t="s">
        <v>29</v>
      </c>
    </row>
    <row r="246" spans="1:22" x14ac:dyDescent="0.35">
      <c r="A246" s="1">
        <v>45533</v>
      </c>
      <c r="B246" t="s">
        <v>39</v>
      </c>
      <c r="C246" s="2">
        <v>0.71612268518518518</v>
      </c>
      <c r="D246" t="s">
        <v>712</v>
      </c>
      <c r="E246" t="s">
        <v>41</v>
      </c>
      <c r="F246" t="s">
        <v>713</v>
      </c>
      <c r="G246" t="s">
        <v>34</v>
      </c>
      <c r="H246" t="s">
        <v>202</v>
      </c>
      <c r="I246" t="s">
        <v>714</v>
      </c>
      <c r="J246">
        <v>5</v>
      </c>
      <c r="K246">
        <v>23.7</v>
      </c>
      <c r="L246" t="s">
        <v>29</v>
      </c>
      <c r="M246" t="s">
        <v>29</v>
      </c>
      <c r="N246" t="s">
        <v>29</v>
      </c>
      <c r="O246" t="s">
        <v>29</v>
      </c>
      <c r="P246" t="s">
        <v>29</v>
      </c>
      <c r="Q246" t="s">
        <v>29</v>
      </c>
      <c r="R246">
        <v>423</v>
      </c>
      <c r="S246">
        <v>9.93</v>
      </c>
      <c r="T246">
        <v>4.4000000000000004</v>
      </c>
      <c r="U246">
        <v>4.9000000000000004</v>
      </c>
      <c r="V246" t="s">
        <v>38</v>
      </c>
    </row>
    <row r="247" spans="1:22" x14ac:dyDescent="0.35">
      <c r="A247" s="1">
        <v>45471</v>
      </c>
      <c r="B247" t="s">
        <v>64</v>
      </c>
      <c r="C247" s="2">
        <v>0.96634259259259259</v>
      </c>
      <c r="D247" t="s">
        <v>715</v>
      </c>
      <c r="E247" t="s">
        <v>117</v>
      </c>
      <c r="F247" t="s">
        <v>716</v>
      </c>
      <c r="G247" t="s">
        <v>34</v>
      </c>
      <c r="H247" t="s">
        <v>245</v>
      </c>
      <c r="I247" t="s">
        <v>210</v>
      </c>
      <c r="J247">
        <v>11.9</v>
      </c>
      <c r="K247" t="s">
        <v>29</v>
      </c>
      <c r="L247">
        <v>1</v>
      </c>
      <c r="M247" t="s">
        <v>224</v>
      </c>
      <c r="N247" t="s">
        <v>29</v>
      </c>
      <c r="O247" t="s">
        <v>29</v>
      </c>
      <c r="P247" t="s">
        <v>29</v>
      </c>
      <c r="Q247" t="s">
        <v>29</v>
      </c>
      <c r="R247" t="s">
        <v>29</v>
      </c>
      <c r="S247" t="s">
        <v>29</v>
      </c>
      <c r="T247" t="s">
        <v>29</v>
      </c>
      <c r="U247" t="s">
        <v>29</v>
      </c>
      <c r="V247" t="s">
        <v>29</v>
      </c>
    </row>
    <row r="248" spans="1:22" x14ac:dyDescent="0.35">
      <c r="A248" s="1">
        <v>45650</v>
      </c>
      <c r="B248" t="s">
        <v>78</v>
      </c>
      <c r="C248" s="2">
        <v>0.41917824074074073</v>
      </c>
      <c r="D248" t="s">
        <v>717</v>
      </c>
      <c r="E248" t="s">
        <v>24</v>
      </c>
      <c r="F248" t="s">
        <v>718</v>
      </c>
      <c r="G248" t="s">
        <v>43</v>
      </c>
      <c r="H248" t="s">
        <v>103</v>
      </c>
      <c r="I248" t="s">
        <v>242</v>
      </c>
      <c r="J248" t="s">
        <v>29</v>
      </c>
      <c r="K248" t="s">
        <v>29</v>
      </c>
      <c r="L248" t="s">
        <v>29</v>
      </c>
      <c r="M248" t="s">
        <v>29</v>
      </c>
      <c r="N248" t="s">
        <v>29</v>
      </c>
      <c r="O248" t="s">
        <v>29</v>
      </c>
      <c r="P248" t="s">
        <v>29</v>
      </c>
      <c r="Q248" t="s">
        <v>29</v>
      </c>
      <c r="R248" t="s">
        <v>29</v>
      </c>
      <c r="S248" t="s">
        <v>29</v>
      </c>
      <c r="T248" t="s">
        <v>29</v>
      </c>
      <c r="U248" t="s">
        <v>29</v>
      </c>
      <c r="V248" t="s">
        <v>29</v>
      </c>
    </row>
    <row r="249" spans="1:22" x14ac:dyDescent="0.35">
      <c r="A249" s="1">
        <v>45437</v>
      </c>
      <c r="B249" t="s">
        <v>122</v>
      </c>
      <c r="C249" s="2">
        <v>0.36307870370370371</v>
      </c>
      <c r="D249" t="s">
        <v>719</v>
      </c>
      <c r="E249" t="s">
        <v>41</v>
      </c>
      <c r="F249" t="s">
        <v>720</v>
      </c>
      <c r="G249" t="s">
        <v>43</v>
      </c>
      <c r="H249" t="s">
        <v>267</v>
      </c>
      <c r="I249" t="s">
        <v>323</v>
      </c>
      <c r="J249">
        <v>11.1</v>
      </c>
      <c r="K249">
        <v>31.9</v>
      </c>
      <c r="L249" t="s">
        <v>29</v>
      </c>
      <c r="M249" t="s">
        <v>29</v>
      </c>
      <c r="N249" t="s">
        <v>29</v>
      </c>
      <c r="O249" t="s">
        <v>29</v>
      </c>
      <c r="P249" t="s">
        <v>29</v>
      </c>
      <c r="Q249" t="s">
        <v>29</v>
      </c>
      <c r="R249">
        <v>264</v>
      </c>
      <c r="S249">
        <v>31.93</v>
      </c>
      <c r="T249">
        <v>3.7</v>
      </c>
      <c r="U249">
        <v>4.2</v>
      </c>
      <c r="V249" t="s">
        <v>38</v>
      </c>
    </row>
    <row r="250" spans="1:22" x14ac:dyDescent="0.35">
      <c r="A250" s="1">
        <v>45323</v>
      </c>
      <c r="B250" t="s">
        <v>59</v>
      </c>
      <c r="C250" s="2">
        <v>0.38417824074074075</v>
      </c>
      <c r="D250" t="s">
        <v>721</v>
      </c>
      <c r="E250" t="s">
        <v>41</v>
      </c>
      <c r="F250" t="s">
        <v>722</v>
      </c>
      <c r="G250" t="s">
        <v>67</v>
      </c>
      <c r="H250" t="s">
        <v>489</v>
      </c>
      <c r="I250" t="s">
        <v>463</v>
      </c>
      <c r="J250">
        <v>11.2</v>
      </c>
      <c r="K250">
        <v>31.3</v>
      </c>
      <c r="L250" t="s">
        <v>29</v>
      </c>
      <c r="M250" t="s">
        <v>29</v>
      </c>
      <c r="N250" t="s">
        <v>29</v>
      </c>
      <c r="O250" t="s">
        <v>29</v>
      </c>
      <c r="P250" t="s">
        <v>29</v>
      </c>
      <c r="Q250" t="s">
        <v>29</v>
      </c>
      <c r="R250">
        <v>249</v>
      </c>
      <c r="S250">
        <v>34.729999999999997</v>
      </c>
      <c r="T250">
        <v>4.2</v>
      </c>
      <c r="U250">
        <v>4.9000000000000004</v>
      </c>
      <c r="V250" t="s">
        <v>38</v>
      </c>
    </row>
    <row r="251" spans="1:22" x14ac:dyDescent="0.35">
      <c r="A251" s="1">
        <v>45361</v>
      </c>
      <c r="B251" t="s">
        <v>22</v>
      </c>
      <c r="C251" s="2">
        <v>0.8793981481481481</v>
      </c>
      <c r="D251" t="s">
        <v>723</v>
      </c>
      <c r="E251" t="s">
        <v>41</v>
      </c>
      <c r="F251" t="s">
        <v>724</v>
      </c>
      <c r="G251" t="s">
        <v>43</v>
      </c>
      <c r="H251" t="s">
        <v>242</v>
      </c>
      <c r="I251" t="s">
        <v>552</v>
      </c>
      <c r="J251">
        <v>13.5</v>
      </c>
      <c r="K251">
        <v>32.9</v>
      </c>
      <c r="L251" t="s">
        <v>29</v>
      </c>
      <c r="M251" t="s">
        <v>29</v>
      </c>
      <c r="N251" t="s">
        <v>29</v>
      </c>
      <c r="O251" t="s">
        <v>29</v>
      </c>
      <c r="P251" t="s">
        <v>29</v>
      </c>
      <c r="Q251" t="s">
        <v>29</v>
      </c>
      <c r="R251">
        <v>628</v>
      </c>
      <c r="S251">
        <v>31.51</v>
      </c>
      <c r="T251">
        <v>4.9000000000000004</v>
      </c>
      <c r="U251">
        <v>4.9000000000000004</v>
      </c>
      <c r="V251" t="s">
        <v>84</v>
      </c>
    </row>
    <row r="252" spans="1:22" x14ac:dyDescent="0.35">
      <c r="A252" s="1">
        <v>45354</v>
      </c>
      <c r="B252" t="s">
        <v>22</v>
      </c>
      <c r="C252" s="2">
        <v>0.57528935185185182</v>
      </c>
      <c r="D252" t="s">
        <v>725</v>
      </c>
      <c r="E252" t="s">
        <v>32</v>
      </c>
      <c r="F252" t="s">
        <v>726</v>
      </c>
      <c r="G252" t="s">
        <v>146</v>
      </c>
      <c r="H252" t="s">
        <v>137</v>
      </c>
      <c r="I252" t="s">
        <v>613</v>
      </c>
      <c r="J252">
        <v>4.0999999999999996</v>
      </c>
      <c r="K252">
        <v>19.7</v>
      </c>
      <c r="L252" t="s">
        <v>29</v>
      </c>
      <c r="M252" t="s">
        <v>29</v>
      </c>
      <c r="N252" t="s">
        <v>29</v>
      </c>
      <c r="O252" t="s">
        <v>29</v>
      </c>
      <c r="P252">
        <v>1</v>
      </c>
      <c r="Q252" t="s">
        <v>83</v>
      </c>
      <c r="R252">
        <v>110</v>
      </c>
      <c r="S252">
        <v>14.46</v>
      </c>
      <c r="T252" t="s">
        <v>29</v>
      </c>
      <c r="U252" t="s">
        <v>29</v>
      </c>
      <c r="V252" t="s">
        <v>38</v>
      </c>
    </row>
    <row r="253" spans="1:22" x14ac:dyDescent="0.35">
      <c r="A253" s="1">
        <v>45591</v>
      </c>
      <c r="B253" t="s">
        <v>47</v>
      </c>
      <c r="C253" s="2">
        <v>0.57281249999999995</v>
      </c>
      <c r="D253" t="s">
        <v>727</v>
      </c>
      <c r="E253" t="s">
        <v>93</v>
      </c>
      <c r="F253" t="s">
        <v>728</v>
      </c>
      <c r="G253" t="s">
        <v>26</v>
      </c>
      <c r="H253" t="s">
        <v>36</v>
      </c>
      <c r="I253" t="s">
        <v>449</v>
      </c>
      <c r="J253">
        <v>9.3000000000000007</v>
      </c>
      <c r="K253" t="s">
        <v>29</v>
      </c>
      <c r="L253" t="s">
        <v>29</v>
      </c>
      <c r="M253" t="s">
        <v>29</v>
      </c>
      <c r="N253">
        <v>1</v>
      </c>
      <c r="O253" t="s">
        <v>115</v>
      </c>
      <c r="P253" t="s">
        <v>29</v>
      </c>
      <c r="Q253" t="s">
        <v>29</v>
      </c>
      <c r="R253" t="s">
        <v>29</v>
      </c>
      <c r="S253" t="s">
        <v>29</v>
      </c>
      <c r="T253" t="s">
        <v>29</v>
      </c>
      <c r="U253" t="s">
        <v>29</v>
      </c>
      <c r="V253" t="s">
        <v>29</v>
      </c>
    </row>
    <row r="254" spans="1:22" x14ac:dyDescent="0.35">
      <c r="A254" s="1">
        <v>45484</v>
      </c>
      <c r="B254" t="s">
        <v>108</v>
      </c>
      <c r="C254" s="2">
        <v>0.8478472222222222</v>
      </c>
      <c r="D254" t="s">
        <v>729</v>
      </c>
      <c r="E254" t="s">
        <v>41</v>
      </c>
      <c r="F254" t="s">
        <v>730</v>
      </c>
      <c r="G254" t="s">
        <v>56</v>
      </c>
      <c r="H254" t="s">
        <v>87</v>
      </c>
      <c r="I254" t="s">
        <v>172</v>
      </c>
      <c r="J254">
        <v>7.7</v>
      </c>
      <c r="K254">
        <v>15.9</v>
      </c>
      <c r="L254" t="s">
        <v>29</v>
      </c>
      <c r="M254" t="s">
        <v>29</v>
      </c>
      <c r="N254" t="s">
        <v>29</v>
      </c>
      <c r="O254" t="s">
        <v>29</v>
      </c>
      <c r="P254" t="s">
        <v>29</v>
      </c>
      <c r="Q254" t="s">
        <v>29</v>
      </c>
      <c r="R254">
        <v>190</v>
      </c>
      <c r="S254">
        <v>10.27</v>
      </c>
      <c r="T254">
        <v>4.7</v>
      </c>
      <c r="U254">
        <v>4.8</v>
      </c>
      <c r="V254" t="s">
        <v>38</v>
      </c>
    </row>
    <row r="255" spans="1:22" x14ac:dyDescent="0.35">
      <c r="A255" s="1">
        <v>45386</v>
      </c>
      <c r="B255" t="s">
        <v>154</v>
      </c>
      <c r="C255" s="2">
        <v>0.3681712962962963</v>
      </c>
      <c r="D255" t="s">
        <v>731</v>
      </c>
      <c r="E255" t="s">
        <v>41</v>
      </c>
      <c r="F255" t="s">
        <v>732</v>
      </c>
      <c r="G255" t="s">
        <v>50</v>
      </c>
      <c r="H255" t="s">
        <v>235</v>
      </c>
      <c r="I255" t="s">
        <v>147</v>
      </c>
      <c r="J255">
        <v>5.2</v>
      </c>
      <c r="K255">
        <v>23.1</v>
      </c>
      <c r="L255" t="s">
        <v>29</v>
      </c>
      <c r="M255" t="s">
        <v>29</v>
      </c>
      <c r="N255" t="s">
        <v>29</v>
      </c>
      <c r="O255" t="s">
        <v>29</v>
      </c>
      <c r="P255" t="s">
        <v>29</v>
      </c>
      <c r="Q255" t="s">
        <v>29</v>
      </c>
      <c r="R255">
        <v>264</v>
      </c>
      <c r="S255">
        <v>46.07</v>
      </c>
      <c r="T255">
        <v>4.3</v>
      </c>
      <c r="U255">
        <v>3.1</v>
      </c>
      <c r="V255" t="s">
        <v>107</v>
      </c>
    </row>
    <row r="256" spans="1:22" x14ac:dyDescent="0.35">
      <c r="A256" s="1">
        <v>45541</v>
      </c>
      <c r="B256" t="s">
        <v>53</v>
      </c>
      <c r="C256" s="2">
        <v>0.6781018518518519</v>
      </c>
      <c r="D256" t="s">
        <v>733</v>
      </c>
      <c r="E256" t="s">
        <v>117</v>
      </c>
      <c r="F256" t="s">
        <v>734</v>
      </c>
      <c r="G256" t="s">
        <v>34</v>
      </c>
      <c r="H256" t="s">
        <v>255</v>
      </c>
      <c r="I256" t="s">
        <v>68</v>
      </c>
      <c r="J256">
        <v>7.6</v>
      </c>
      <c r="K256" t="s">
        <v>29</v>
      </c>
      <c r="L256">
        <v>1</v>
      </c>
      <c r="M256" t="s">
        <v>378</v>
      </c>
      <c r="N256" t="s">
        <v>29</v>
      </c>
      <c r="O256" t="s">
        <v>29</v>
      </c>
      <c r="P256" t="s">
        <v>29</v>
      </c>
      <c r="Q256" t="s">
        <v>29</v>
      </c>
      <c r="R256" t="s">
        <v>29</v>
      </c>
      <c r="S256" t="s">
        <v>29</v>
      </c>
      <c r="T256" t="s">
        <v>29</v>
      </c>
      <c r="U256" t="s">
        <v>29</v>
      </c>
      <c r="V256" t="s">
        <v>29</v>
      </c>
    </row>
    <row r="257" spans="1:22" x14ac:dyDescent="0.35">
      <c r="A257" s="1">
        <v>45646</v>
      </c>
      <c r="B257" t="s">
        <v>78</v>
      </c>
      <c r="C257" s="2">
        <v>0.44807870370370373</v>
      </c>
      <c r="D257" t="s">
        <v>735</v>
      </c>
      <c r="E257" t="s">
        <v>41</v>
      </c>
      <c r="F257" t="s">
        <v>736</v>
      </c>
      <c r="G257" t="s">
        <v>56</v>
      </c>
      <c r="H257" t="s">
        <v>210</v>
      </c>
      <c r="I257" t="s">
        <v>183</v>
      </c>
      <c r="J257">
        <v>10</v>
      </c>
      <c r="K257">
        <v>37.299999999999997</v>
      </c>
      <c r="L257" t="s">
        <v>29</v>
      </c>
      <c r="M257" t="s">
        <v>29</v>
      </c>
      <c r="N257" t="s">
        <v>29</v>
      </c>
      <c r="O257" t="s">
        <v>29</v>
      </c>
      <c r="P257" t="s">
        <v>29</v>
      </c>
      <c r="Q257" t="s">
        <v>29</v>
      </c>
      <c r="R257">
        <v>147</v>
      </c>
      <c r="S257">
        <v>45.51</v>
      </c>
      <c r="T257">
        <v>4.3</v>
      </c>
      <c r="U257">
        <v>4.5</v>
      </c>
      <c r="V257" t="s">
        <v>38</v>
      </c>
    </row>
    <row r="258" spans="1:22" x14ac:dyDescent="0.35">
      <c r="A258" s="1">
        <v>45477</v>
      </c>
      <c r="B258" t="s">
        <v>108</v>
      </c>
      <c r="C258" s="2">
        <v>0.45863425925925927</v>
      </c>
      <c r="D258" t="s">
        <v>737</v>
      </c>
      <c r="E258" t="s">
        <v>24</v>
      </c>
      <c r="F258" t="s">
        <v>738</v>
      </c>
      <c r="G258" t="s">
        <v>67</v>
      </c>
      <c r="H258" t="s">
        <v>190</v>
      </c>
      <c r="I258" t="s">
        <v>739</v>
      </c>
      <c r="J258" t="s">
        <v>29</v>
      </c>
      <c r="K258" t="s">
        <v>29</v>
      </c>
      <c r="L258" t="s">
        <v>29</v>
      </c>
      <c r="M258" t="s">
        <v>29</v>
      </c>
      <c r="N258" t="s">
        <v>29</v>
      </c>
      <c r="O258" t="s">
        <v>29</v>
      </c>
      <c r="P258" t="s">
        <v>29</v>
      </c>
      <c r="Q258" t="s">
        <v>29</v>
      </c>
      <c r="R258" t="s">
        <v>29</v>
      </c>
      <c r="S258" t="s">
        <v>29</v>
      </c>
      <c r="T258" t="s">
        <v>29</v>
      </c>
      <c r="U258" t="s">
        <v>29</v>
      </c>
      <c r="V258" t="s">
        <v>29</v>
      </c>
    </row>
    <row r="259" spans="1:22" x14ac:dyDescent="0.35">
      <c r="A259" s="1">
        <v>45560</v>
      </c>
      <c r="B259" t="s">
        <v>53</v>
      </c>
      <c r="C259" s="2">
        <v>0.66336805555555556</v>
      </c>
      <c r="D259" t="s">
        <v>740</v>
      </c>
      <c r="E259" t="s">
        <v>41</v>
      </c>
      <c r="F259" t="s">
        <v>741</v>
      </c>
      <c r="G259" t="s">
        <v>43</v>
      </c>
      <c r="H259" t="s">
        <v>91</v>
      </c>
      <c r="I259" t="s">
        <v>417</v>
      </c>
      <c r="J259">
        <v>4.4000000000000004</v>
      </c>
      <c r="K259">
        <v>28.1</v>
      </c>
      <c r="L259" t="s">
        <v>29</v>
      </c>
      <c r="M259" t="s">
        <v>29</v>
      </c>
      <c r="N259" t="s">
        <v>29</v>
      </c>
      <c r="O259" t="s">
        <v>29</v>
      </c>
      <c r="P259" t="s">
        <v>29</v>
      </c>
      <c r="Q259" t="s">
        <v>29</v>
      </c>
      <c r="R259">
        <v>953</v>
      </c>
      <c r="S259">
        <v>34.9</v>
      </c>
      <c r="T259">
        <v>4.4000000000000004</v>
      </c>
      <c r="U259">
        <v>4.8</v>
      </c>
      <c r="V259" t="s">
        <v>38</v>
      </c>
    </row>
    <row r="260" spans="1:22" x14ac:dyDescent="0.35">
      <c r="A260" s="1">
        <v>45582</v>
      </c>
      <c r="B260" t="s">
        <v>47</v>
      </c>
      <c r="C260" s="2">
        <v>0.7409606481481481</v>
      </c>
      <c r="D260" t="s">
        <v>742</v>
      </c>
      <c r="E260" t="s">
        <v>41</v>
      </c>
      <c r="F260" t="s">
        <v>743</v>
      </c>
      <c r="G260" t="s">
        <v>67</v>
      </c>
      <c r="H260" t="s">
        <v>62</v>
      </c>
      <c r="I260" t="s">
        <v>744</v>
      </c>
      <c r="J260">
        <v>14.9</v>
      </c>
      <c r="K260">
        <v>20.9</v>
      </c>
      <c r="L260" t="s">
        <v>29</v>
      </c>
      <c r="M260" t="s">
        <v>29</v>
      </c>
      <c r="N260" t="s">
        <v>29</v>
      </c>
      <c r="O260" t="s">
        <v>29</v>
      </c>
      <c r="P260" t="s">
        <v>29</v>
      </c>
      <c r="Q260" t="s">
        <v>29</v>
      </c>
      <c r="R260">
        <v>654</v>
      </c>
      <c r="S260">
        <v>30.87</v>
      </c>
      <c r="T260">
        <v>4.3</v>
      </c>
      <c r="U260">
        <v>4.9000000000000004</v>
      </c>
      <c r="V260" t="s">
        <v>84</v>
      </c>
    </row>
    <row r="261" spans="1:22" x14ac:dyDescent="0.35">
      <c r="A261" s="1">
        <v>45444</v>
      </c>
      <c r="B261" t="s">
        <v>64</v>
      </c>
      <c r="C261" s="2">
        <v>0.33652777777777776</v>
      </c>
      <c r="D261" t="s">
        <v>745</v>
      </c>
      <c r="E261" t="s">
        <v>41</v>
      </c>
      <c r="F261" t="s">
        <v>746</v>
      </c>
      <c r="G261" t="s">
        <v>34</v>
      </c>
      <c r="H261" t="s">
        <v>442</v>
      </c>
      <c r="I261" t="s">
        <v>425</v>
      </c>
      <c r="J261">
        <v>8.4</v>
      </c>
      <c r="K261">
        <v>19.7</v>
      </c>
      <c r="L261" t="s">
        <v>29</v>
      </c>
      <c r="M261" t="s">
        <v>29</v>
      </c>
      <c r="N261" t="s">
        <v>29</v>
      </c>
      <c r="O261" t="s">
        <v>29</v>
      </c>
      <c r="P261" t="s">
        <v>29</v>
      </c>
      <c r="Q261" t="s">
        <v>29</v>
      </c>
      <c r="R261">
        <v>427</v>
      </c>
      <c r="S261">
        <v>37.07</v>
      </c>
      <c r="T261">
        <v>4.0999999999999996</v>
      </c>
      <c r="U261">
        <v>4.9000000000000004</v>
      </c>
      <c r="V261" t="s">
        <v>84</v>
      </c>
    </row>
    <row r="262" spans="1:22" x14ac:dyDescent="0.35">
      <c r="A262" s="1">
        <v>45651</v>
      </c>
      <c r="B262" t="s">
        <v>78</v>
      </c>
      <c r="C262" s="2">
        <v>0.21157407407407408</v>
      </c>
      <c r="D262" t="s">
        <v>747</v>
      </c>
      <c r="E262" t="s">
        <v>93</v>
      </c>
      <c r="F262" t="s">
        <v>748</v>
      </c>
      <c r="G262" t="s">
        <v>67</v>
      </c>
      <c r="H262" t="s">
        <v>87</v>
      </c>
      <c r="I262" t="s">
        <v>193</v>
      </c>
      <c r="J262">
        <v>11.8</v>
      </c>
      <c r="K262" t="s">
        <v>29</v>
      </c>
      <c r="L262" t="s">
        <v>29</v>
      </c>
      <c r="M262" t="s">
        <v>29</v>
      </c>
      <c r="N262">
        <v>1</v>
      </c>
      <c r="O262" t="s">
        <v>97</v>
      </c>
      <c r="P262" t="s">
        <v>29</v>
      </c>
      <c r="Q262" t="s">
        <v>29</v>
      </c>
      <c r="R262" t="s">
        <v>29</v>
      </c>
      <c r="S262" t="s">
        <v>29</v>
      </c>
      <c r="T262" t="s">
        <v>29</v>
      </c>
      <c r="U262" t="s">
        <v>29</v>
      </c>
      <c r="V262" t="s">
        <v>29</v>
      </c>
    </row>
    <row r="263" spans="1:22" x14ac:dyDescent="0.35">
      <c r="A263" s="1">
        <v>45477</v>
      </c>
      <c r="B263" t="s">
        <v>108</v>
      </c>
      <c r="C263" s="2">
        <v>0.33538194444444447</v>
      </c>
      <c r="D263" t="s">
        <v>749</v>
      </c>
      <c r="E263" t="s">
        <v>41</v>
      </c>
      <c r="F263" t="s">
        <v>750</v>
      </c>
      <c r="G263" t="s">
        <v>43</v>
      </c>
      <c r="H263" t="s">
        <v>520</v>
      </c>
      <c r="I263" t="s">
        <v>72</v>
      </c>
      <c r="J263">
        <v>5.8</v>
      </c>
      <c r="K263">
        <v>25.5</v>
      </c>
      <c r="L263" t="s">
        <v>29</v>
      </c>
      <c r="M263" t="s">
        <v>29</v>
      </c>
      <c r="N263" t="s">
        <v>29</v>
      </c>
      <c r="O263" t="s">
        <v>29</v>
      </c>
      <c r="P263" t="s">
        <v>29</v>
      </c>
      <c r="Q263" t="s">
        <v>29</v>
      </c>
      <c r="R263">
        <v>610</v>
      </c>
      <c r="S263">
        <v>35.380000000000003</v>
      </c>
      <c r="T263">
        <v>4.4000000000000004</v>
      </c>
      <c r="U263">
        <v>4.3</v>
      </c>
      <c r="V263" t="s">
        <v>107</v>
      </c>
    </row>
    <row r="264" spans="1:22" x14ac:dyDescent="0.35">
      <c r="A264" s="1">
        <v>45405</v>
      </c>
      <c r="B264" t="s">
        <v>154</v>
      </c>
      <c r="C264" s="2">
        <v>0.46479166666666666</v>
      </c>
      <c r="D264" t="s">
        <v>751</v>
      </c>
      <c r="E264" t="s">
        <v>41</v>
      </c>
      <c r="F264" t="s">
        <v>752</v>
      </c>
      <c r="G264" t="s">
        <v>56</v>
      </c>
      <c r="H264" t="s">
        <v>449</v>
      </c>
      <c r="I264" t="s">
        <v>511</v>
      </c>
      <c r="J264">
        <v>7.1</v>
      </c>
      <c r="K264">
        <v>42.5</v>
      </c>
      <c r="L264" t="s">
        <v>29</v>
      </c>
      <c r="M264" t="s">
        <v>29</v>
      </c>
      <c r="N264" t="s">
        <v>29</v>
      </c>
      <c r="O264" t="s">
        <v>29</v>
      </c>
      <c r="P264" t="s">
        <v>29</v>
      </c>
      <c r="Q264" t="s">
        <v>29</v>
      </c>
      <c r="R264">
        <v>648</v>
      </c>
      <c r="S264">
        <v>19.61</v>
      </c>
      <c r="T264">
        <v>4.2</v>
      </c>
      <c r="U264">
        <v>5</v>
      </c>
      <c r="V264" t="s">
        <v>38</v>
      </c>
    </row>
    <row r="265" spans="1:22" x14ac:dyDescent="0.35">
      <c r="A265" s="1">
        <v>45333</v>
      </c>
      <c r="B265" t="s">
        <v>59</v>
      </c>
      <c r="C265" s="2">
        <v>0.78230324074074076</v>
      </c>
      <c r="D265" t="s">
        <v>753</v>
      </c>
      <c r="E265" t="s">
        <v>41</v>
      </c>
      <c r="F265" t="s">
        <v>754</v>
      </c>
      <c r="G265" t="s">
        <v>56</v>
      </c>
      <c r="H265" t="s">
        <v>69</v>
      </c>
      <c r="I265" t="s">
        <v>277</v>
      </c>
      <c r="J265">
        <v>8.8000000000000007</v>
      </c>
      <c r="K265">
        <v>40.4</v>
      </c>
      <c r="L265" t="s">
        <v>29</v>
      </c>
      <c r="M265" t="s">
        <v>29</v>
      </c>
      <c r="N265" t="s">
        <v>29</v>
      </c>
      <c r="O265" t="s">
        <v>29</v>
      </c>
      <c r="P265" t="s">
        <v>29</v>
      </c>
      <c r="Q265" t="s">
        <v>29</v>
      </c>
      <c r="R265">
        <v>792</v>
      </c>
      <c r="S265">
        <v>23.82</v>
      </c>
      <c r="T265">
        <v>3.2</v>
      </c>
      <c r="U265">
        <v>4.3</v>
      </c>
      <c r="V265" t="s">
        <v>84</v>
      </c>
    </row>
    <row r="266" spans="1:22" x14ac:dyDescent="0.35">
      <c r="A266" s="1">
        <v>45410</v>
      </c>
      <c r="B266" t="s">
        <v>154</v>
      </c>
      <c r="C266" s="2">
        <v>0.58572916666666663</v>
      </c>
      <c r="D266" t="s">
        <v>755</v>
      </c>
      <c r="E266" t="s">
        <v>41</v>
      </c>
      <c r="F266" t="s">
        <v>756</v>
      </c>
      <c r="G266" t="s">
        <v>67</v>
      </c>
      <c r="H266" t="s">
        <v>520</v>
      </c>
      <c r="I266" t="s">
        <v>266</v>
      </c>
      <c r="J266">
        <v>13.6</v>
      </c>
      <c r="K266">
        <v>29.8</v>
      </c>
      <c r="L266" t="s">
        <v>29</v>
      </c>
      <c r="M266" t="s">
        <v>29</v>
      </c>
      <c r="N266" t="s">
        <v>29</v>
      </c>
      <c r="O266" t="s">
        <v>29</v>
      </c>
      <c r="P266" t="s">
        <v>29</v>
      </c>
      <c r="Q266" t="s">
        <v>29</v>
      </c>
      <c r="R266">
        <v>676</v>
      </c>
      <c r="S266">
        <v>39.979999999999997</v>
      </c>
      <c r="T266">
        <v>3.6</v>
      </c>
      <c r="U266">
        <v>4.7</v>
      </c>
      <c r="V266" t="s">
        <v>38</v>
      </c>
    </row>
    <row r="267" spans="1:22" x14ac:dyDescent="0.35">
      <c r="A267" s="1">
        <v>45373</v>
      </c>
      <c r="B267" t="s">
        <v>22</v>
      </c>
      <c r="C267" s="2">
        <v>0.90903935185185181</v>
      </c>
      <c r="D267" t="s">
        <v>757</v>
      </c>
      <c r="E267" t="s">
        <v>41</v>
      </c>
      <c r="F267" t="s">
        <v>758</v>
      </c>
      <c r="G267" t="s">
        <v>56</v>
      </c>
      <c r="H267" t="s">
        <v>511</v>
      </c>
      <c r="I267" t="s">
        <v>327</v>
      </c>
      <c r="J267">
        <v>5.0999999999999996</v>
      </c>
      <c r="K267">
        <v>22.4</v>
      </c>
      <c r="L267" t="s">
        <v>29</v>
      </c>
      <c r="M267" t="s">
        <v>29</v>
      </c>
      <c r="N267" t="s">
        <v>29</v>
      </c>
      <c r="O267" t="s">
        <v>29</v>
      </c>
      <c r="P267" t="s">
        <v>29</v>
      </c>
      <c r="Q267" t="s">
        <v>29</v>
      </c>
      <c r="R267">
        <v>389</v>
      </c>
      <c r="S267">
        <v>27.16</v>
      </c>
      <c r="T267">
        <v>3.6</v>
      </c>
      <c r="U267">
        <v>3.9</v>
      </c>
      <c r="V267" t="s">
        <v>107</v>
      </c>
    </row>
    <row r="268" spans="1:22" x14ac:dyDescent="0.35">
      <c r="A268" s="1">
        <v>45410</v>
      </c>
      <c r="B268" t="s">
        <v>154</v>
      </c>
      <c r="C268" s="2">
        <v>0.3117361111111111</v>
      </c>
      <c r="D268" t="s">
        <v>759</v>
      </c>
      <c r="E268" t="s">
        <v>41</v>
      </c>
      <c r="F268" t="s">
        <v>760</v>
      </c>
      <c r="G268" t="s">
        <v>50</v>
      </c>
      <c r="H268" t="s">
        <v>28</v>
      </c>
      <c r="I268" t="s">
        <v>45</v>
      </c>
      <c r="J268">
        <v>11.4</v>
      </c>
      <c r="K268">
        <v>42.6</v>
      </c>
      <c r="L268" t="s">
        <v>29</v>
      </c>
      <c r="M268" t="s">
        <v>29</v>
      </c>
      <c r="N268" t="s">
        <v>29</v>
      </c>
      <c r="O268" t="s">
        <v>29</v>
      </c>
      <c r="P268" t="s">
        <v>29</v>
      </c>
      <c r="Q268" t="s">
        <v>29</v>
      </c>
      <c r="R268">
        <v>74</v>
      </c>
      <c r="S268">
        <v>48.45</v>
      </c>
      <c r="T268">
        <v>4.0999999999999996</v>
      </c>
      <c r="U268">
        <v>3.9</v>
      </c>
      <c r="V268" t="s">
        <v>107</v>
      </c>
    </row>
    <row r="269" spans="1:22" x14ac:dyDescent="0.35">
      <c r="A269" s="1">
        <v>45413</v>
      </c>
      <c r="B269" t="s">
        <v>122</v>
      </c>
      <c r="C269" s="2">
        <v>0.39586805555555554</v>
      </c>
      <c r="D269" t="s">
        <v>761</v>
      </c>
      <c r="E269" t="s">
        <v>93</v>
      </c>
      <c r="F269" t="s">
        <v>762</v>
      </c>
      <c r="G269" t="s">
        <v>43</v>
      </c>
      <c r="H269" t="s">
        <v>360</v>
      </c>
      <c r="I269" t="s">
        <v>140</v>
      </c>
      <c r="J269">
        <v>8.1999999999999993</v>
      </c>
      <c r="K269" t="s">
        <v>29</v>
      </c>
      <c r="L269" t="s">
        <v>29</v>
      </c>
      <c r="M269" t="s">
        <v>29</v>
      </c>
      <c r="N269">
        <v>1</v>
      </c>
      <c r="O269" t="s">
        <v>97</v>
      </c>
      <c r="P269" t="s">
        <v>29</v>
      </c>
      <c r="Q269" t="s">
        <v>29</v>
      </c>
      <c r="R269" t="s">
        <v>29</v>
      </c>
      <c r="S269" t="s">
        <v>29</v>
      </c>
      <c r="T269" t="s">
        <v>29</v>
      </c>
      <c r="U269" t="s">
        <v>29</v>
      </c>
      <c r="V269" t="s">
        <v>29</v>
      </c>
    </row>
    <row r="270" spans="1:22" x14ac:dyDescent="0.35">
      <c r="A270" s="1">
        <v>45303</v>
      </c>
      <c r="B270" t="s">
        <v>150</v>
      </c>
      <c r="C270" s="2">
        <v>0.78379629629629632</v>
      </c>
      <c r="D270" t="s">
        <v>763</v>
      </c>
      <c r="E270" t="s">
        <v>93</v>
      </c>
      <c r="F270" t="s">
        <v>764</v>
      </c>
      <c r="G270" t="s">
        <v>34</v>
      </c>
      <c r="H270" t="s">
        <v>51</v>
      </c>
      <c r="I270" t="s">
        <v>198</v>
      </c>
      <c r="J270">
        <v>10.8</v>
      </c>
      <c r="K270" t="s">
        <v>29</v>
      </c>
      <c r="L270" t="s">
        <v>29</v>
      </c>
      <c r="M270" t="s">
        <v>29</v>
      </c>
      <c r="N270">
        <v>1</v>
      </c>
      <c r="O270" t="s">
        <v>337</v>
      </c>
      <c r="P270" t="s">
        <v>29</v>
      </c>
      <c r="Q270" t="s">
        <v>29</v>
      </c>
      <c r="R270" t="s">
        <v>29</v>
      </c>
      <c r="S270" t="s">
        <v>29</v>
      </c>
      <c r="T270" t="s">
        <v>29</v>
      </c>
      <c r="U270" t="s">
        <v>29</v>
      </c>
      <c r="V270" t="s">
        <v>29</v>
      </c>
    </row>
    <row r="271" spans="1:22" x14ac:dyDescent="0.35">
      <c r="A271" s="1">
        <v>45419</v>
      </c>
      <c r="B271" t="s">
        <v>122</v>
      </c>
      <c r="C271" s="2">
        <v>0.83710648148148148</v>
      </c>
      <c r="D271" t="s">
        <v>765</v>
      </c>
      <c r="E271" t="s">
        <v>41</v>
      </c>
      <c r="F271" t="s">
        <v>766</v>
      </c>
      <c r="G271" t="s">
        <v>43</v>
      </c>
      <c r="H271" t="s">
        <v>77</v>
      </c>
      <c r="I271" t="s">
        <v>45</v>
      </c>
      <c r="J271">
        <v>9.4</v>
      </c>
      <c r="K271">
        <v>41.6</v>
      </c>
      <c r="L271" t="s">
        <v>29</v>
      </c>
      <c r="M271" t="s">
        <v>29</v>
      </c>
      <c r="N271" t="s">
        <v>29</v>
      </c>
      <c r="O271" t="s">
        <v>29</v>
      </c>
      <c r="P271" t="s">
        <v>29</v>
      </c>
      <c r="Q271" t="s">
        <v>29</v>
      </c>
      <c r="R271">
        <v>465</v>
      </c>
      <c r="S271">
        <v>25.05</v>
      </c>
      <c r="T271">
        <v>4.4000000000000004</v>
      </c>
      <c r="U271">
        <v>4.9000000000000004</v>
      </c>
      <c r="V271" t="s">
        <v>149</v>
      </c>
    </row>
    <row r="272" spans="1:22" x14ac:dyDescent="0.35">
      <c r="A272" s="1">
        <v>45531</v>
      </c>
      <c r="B272" t="s">
        <v>39</v>
      </c>
      <c r="C272" s="2">
        <v>0.40297453703703706</v>
      </c>
      <c r="D272" t="s">
        <v>767</v>
      </c>
      <c r="E272" t="s">
        <v>41</v>
      </c>
      <c r="F272" t="s">
        <v>768</v>
      </c>
      <c r="G272" t="s">
        <v>43</v>
      </c>
      <c r="H272" t="s">
        <v>58</v>
      </c>
      <c r="I272" t="s">
        <v>189</v>
      </c>
      <c r="J272">
        <v>5.3</v>
      </c>
      <c r="K272">
        <v>43.6</v>
      </c>
      <c r="L272" t="s">
        <v>29</v>
      </c>
      <c r="M272" t="s">
        <v>29</v>
      </c>
      <c r="N272" t="s">
        <v>29</v>
      </c>
      <c r="O272" t="s">
        <v>29</v>
      </c>
      <c r="P272" t="s">
        <v>29</v>
      </c>
      <c r="Q272" t="s">
        <v>29</v>
      </c>
      <c r="R272">
        <v>932</v>
      </c>
      <c r="S272">
        <v>40.21</v>
      </c>
      <c r="T272">
        <v>4.0999999999999996</v>
      </c>
      <c r="U272">
        <v>4.0999999999999996</v>
      </c>
      <c r="V272" t="s">
        <v>38</v>
      </c>
    </row>
    <row r="273" spans="1:22" x14ac:dyDescent="0.35">
      <c r="A273" s="1">
        <v>45385</v>
      </c>
      <c r="B273" t="s">
        <v>154</v>
      </c>
      <c r="C273" s="2">
        <v>0.8246296296296296</v>
      </c>
      <c r="D273" t="s">
        <v>769</v>
      </c>
      <c r="E273" t="s">
        <v>41</v>
      </c>
      <c r="F273" t="s">
        <v>770</v>
      </c>
      <c r="G273" t="s">
        <v>50</v>
      </c>
      <c r="H273" t="s">
        <v>281</v>
      </c>
      <c r="I273" t="s">
        <v>190</v>
      </c>
      <c r="J273">
        <v>10.8</v>
      </c>
      <c r="K273">
        <v>33.700000000000003</v>
      </c>
      <c r="L273" t="s">
        <v>29</v>
      </c>
      <c r="M273" t="s">
        <v>29</v>
      </c>
      <c r="N273" t="s">
        <v>29</v>
      </c>
      <c r="O273" t="s">
        <v>29</v>
      </c>
      <c r="P273" t="s">
        <v>29</v>
      </c>
      <c r="Q273" t="s">
        <v>29</v>
      </c>
      <c r="R273">
        <v>191</v>
      </c>
      <c r="S273">
        <v>44.48</v>
      </c>
      <c r="T273">
        <v>3.8</v>
      </c>
      <c r="U273">
        <v>4.9000000000000004</v>
      </c>
      <c r="V273" t="s">
        <v>84</v>
      </c>
    </row>
    <row r="274" spans="1:22" x14ac:dyDescent="0.35">
      <c r="A274" s="1">
        <v>45403</v>
      </c>
      <c r="B274" t="s">
        <v>154</v>
      </c>
      <c r="C274" s="2">
        <v>0.51894675925925926</v>
      </c>
      <c r="D274" t="s">
        <v>771</v>
      </c>
      <c r="E274" t="s">
        <v>41</v>
      </c>
      <c r="F274" t="s">
        <v>772</v>
      </c>
      <c r="G274" t="s">
        <v>56</v>
      </c>
      <c r="H274" t="s">
        <v>296</v>
      </c>
      <c r="I274" t="s">
        <v>35</v>
      </c>
      <c r="J274">
        <v>5.2</v>
      </c>
      <c r="K274">
        <v>34.9</v>
      </c>
      <c r="L274" t="s">
        <v>29</v>
      </c>
      <c r="M274" t="s">
        <v>29</v>
      </c>
      <c r="N274" t="s">
        <v>29</v>
      </c>
      <c r="O274" t="s">
        <v>29</v>
      </c>
      <c r="P274" t="s">
        <v>29</v>
      </c>
      <c r="Q274" t="s">
        <v>29</v>
      </c>
      <c r="R274">
        <v>770</v>
      </c>
      <c r="S274">
        <v>6.82</v>
      </c>
      <c r="T274">
        <v>4.3</v>
      </c>
      <c r="U274">
        <v>4.8</v>
      </c>
      <c r="V274" t="s">
        <v>38</v>
      </c>
    </row>
    <row r="275" spans="1:22" x14ac:dyDescent="0.35">
      <c r="A275" s="1">
        <v>45550</v>
      </c>
      <c r="B275" t="s">
        <v>53</v>
      </c>
      <c r="C275" s="2">
        <v>0.82026620370370373</v>
      </c>
      <c r="D275" t="s">
        <v>773</v>
      </c>
      <c r="E275" t="s">
        <v>41</v>
      </c>
      <c r="F275" t="s">
        <v>774</v>
      </c>
      <c r="G275" t="s">
        <v>67</v>
      </c>
      <c r="H275" t="s">
        <v>315</v>
      </c>
      <c r="I275" t="s">
        <v>111</v>
      </c>
      <c r="J275">
        <v>14.3</v>
      </c>
      <c r="K275">
        <v>23.4</v>
      </c>
      <c r="L275" t="s">
        <v>29</v>
      </c>
      <c r="M275" t="s">
        <v>29</v>
      </c>
      <c r="N275" t="s">
        <v>29</v>
      </c>
      <c r="O275" t="s">
        <v>29</v>
      </c>
      <c r="P275" t="s">
        <v>29</v>
      </c>
      <c r="Q275" t="s">
        <v>29</v>
      </c>
      <c r="R275">
        <v>514</v>
      </c>
      <c r="S275">
        <v>16.21</v>
      </c>
      <c r="T275">
        <v>4.3</v>
      </c>
      <c r="U275">
        <v>3.8</v>
      </c>
      <c r="V275" t="s">
        <v>38</v>
      </c>
    </row>
    <row r="276" spans="1:22" x14ac:dyDescent="0.35">
      <c r="A276" s="1">
        <v>45426</v>
      </c>
      <c r="B276" t="s">
        <v>122</v>
      </c>
      <c r="C276" s="2">
        <v>0.59523148148148153</v>
      </c>
      <c r="D276" t="s">
        <v>775</v>
      </c>
      <c r="E276" t="s">
        <v>93</v>
      </c>
      <c r="F276" t="s">
        <v>776</v>
      </c>
      <c r="G276" t="s">
        <v>67</v>
      </c>
      <c r="H276" t="s">
        <v>242</v>
      </c>
      <c r="I276" t="s">
        <v>81</v>
      </c>
      <c r="J276">
        <v>11.7</v>
      </c>
      <c r="K276" t="s">
        <v>29</v>
      </c>
      <c r="L276" t="s">
        <v>29</v>
      </c>
      <c r="M276" t="s">
        <v>29</v>
      </c>
      <c r="N276">
        <v>1</v>
      </c>
      <c r="O276" t="s">
        <v>169</v>
      </c>
      <c r="P276" t="s">
        <v>29</v>
      </c>
      <c r="Q276" t="s">
        <v>29</v>
      </c>
      <c r="R276" t="s">
        <v>29</v>
      </c>
      <c r="S276" t="s">
        <v>29</v>
      </c>
      <c r="T276" t="s">
        <v>29</v>
      </c>
      <c r="U276" t="s">
        <v>29</v>
      </c>
      <c r="V276" t="s">
        <v>29</v>
      </c>
    </row>
    <row r="277" spans="1:22" x14ac:dyDescent="0.35">
      <c r="A277" s="1">
        <v>45553</v>
      </c>
      <c r="B277" t="s">
        <v>53</v>
      </c>
      <c r="C277" s="2">
        <v>0.75537037037037036</v>
      </c>
      <c r="D277" t="s">
        <v>777</v>
      </c>
      <c r="E277" t="s">
        <v>41</v>
      </c>
      <c r="F277" t="s">
        <v>778</v>
      </c>
      <c r="G277" t="s">
        <v>34</v>
      </c>
      <c r="H277" t="s">
        <v>133</v>
      </c>
      <c r="I277" t="s">
        <v>129</v>
      </c>
      <c r="J277">
        <v>11.7</v>
      </c>
      <c r="K277">
        <v>17.3</v>
      </c>
      <c r="L277" t="s">
        <v>29</v>
      </c>
      <c r="M277" t="s">
        <v>29</v>
      </c>
      <c r="N277" t="s">
        <v>29</v>
      </c>
      <c r="O277" t="s">
        <v>29</v>
      </c>
      <c r="P277" t="s">
        <v>29</v>
      </c>
      <c r="Q277" t="s">
        <v>29</v>
      </c>
      <c r="R277">
        <v>349</v>
      </c>
      <c r="S277">
        <v>12.9</v>
      </c>
      <c r="T277">
        <v>4.2</v>
      </c>
      <c r="U277">
        <v>5</v>
      </c>
      <c r="V277" t="s">
        <v>38</v>
      </c>
    </row>
    <row r="278" spans="1:22" x14ac:dyDescent="0.35">
      <c r="A278" s="1">
        <v>45500</v>
      </c>
      <c r="B278" t="s">
        <v>108</v>
      </c>
      <c r="C278" s="2">
        <v>0.91348379629629628</v>
      </c>
      <c r="D278" t="s">
        <v>779</v>
      </c>
      <c r="E278" t="s">
        <v>93</v>
      </c>
      <c r="F278" t="s">
        <v>780</v>
      </c>
      <c r="G278" t="s">
        <v>67</v>
      </c>
      <c r="H278" t="s">
        <v>63</v>
      </c>
      <c r="I278" t="s">
        <v>52</v>
      </c>
      <c r="J278">
        <v>10.1</v>
      </c>
      <c r="K278" t="s">
        <v>29</v>
      </c>
      <c r="L278" t="s">
        <v>29</v>
      </c>
      <c r="M278" t="s">
        <v>29</v>
      </c>
      <c r="N278">
        <v>1</v>
      </c>
      <c r="O278" t="s">
        <v>115</v>
      </c>
      <c r="P278" t="s">
        <v>29</v>
      </c>
      <c r="Q278" t="s">
        <v>29</v>
      </c>
      <c r="R278" t="s">
        <v>29</v>
      </c>
      <c r="S278" t="s">
        <v>29</v>
      </c>
      <c r="T278" t="s">
        <v>29</v>
      </c>
      <c r="U278" t="s">
        <v>29</v>
      </c>
      <c r="V278" t="s">
        <v>29</v>
      </c>
    </row>
    <row r="279" spans="1:22" x14ac:dyDescent="0.35">
      <c r="A279" s="1">
        <v>45572</v>
      </c>
      <c r="B279" t="s">
        <v>47</v>
      </c>
      <c r="C279" s="2">
        <v>0.6821180555555556</v>
      </c>
      <c r="D279" t="s">
        <v>781</v>
      </c>
      <c r="E279" t="s">
        <v>41</v>
      </c>
      <c r="F279" t="s">
        <v>782</v>
      </c>
      <c r="G279" t="s">
        <v>26</v>
      </c>
      <c r="H279" t="s">
        <v>198</v>
      </c>
      <c r="I279" t="s">
        <v>560</v>
      </c>
      <c r="J279">
        <v>9.1999999999999993</v>
      </c>
      <c r="K279">
        <v>41.2</v>
      </c>
      <c r="L279" t="s">
        <v>29</v>
      </c>
      <c r="M279" t="s">
        <v>29</v>
      </c>
      <c r="N279" t="s">
        <v>29</v>
      </c>
      <c r="O279" t="s">
        <v>29</v>
      </c>
      <c r="P279" t="s">
        <v>29</v>
      </c>
      <c r="Q279" t="s">
        <v>29</v>
      </c>
      <c r="R279">
        <v>267</v>
      </c>
      <c r="S279">
        <v>12.22</v>
      </c>
      <c r="T279">
        <v>4.3</v>
      </c>
      <c r="U279">
        <v>4.0999999999999996</v>
      </c>
      <c r="V279" t="s">
        <v>84</v>
      </c>
    </row>
    <row r="280" spans="1:22" x14ac:dyDescent="0.35">
      <c r="A280" s="1">
        <v>45615</v>
      </c>
      <c r="B280" t="s">
        <v>30</v>
      </c>
      <c r="C280" s="2">
        <v>0.32701388888888888</v>
      </c>
      <c r="D280" t="s">
        <v>783</v>
      </c>
      <c r="E280" t="s">
        <v>24</v>
      </c>
      <c r="F280" t="s">
        <v>784</v>
      </c>
      <c r="G280" t="s">
        <v>26</v>
      </c>
      <c r="H280" t="s">
        <v>744</v>
      </c>
      <c r="I280" t="s">
        <v>613</v>
      </c>
      <c r="J280" t="s">
        <v>29</v>
      </c>
      <c r="K280" t="s">
        <v>29</v>
      </c>
      <c r="L280" t="s">
        <v>29</v>
      </c>
      <c r="M280" t="s">
        <v>29</v>
      </c>
      <c r="N280" t="s">
        <v>29</v>
      </c>
      <c r="O280" t="s">
        <v>29</v>
      </c>
      <c r="P280" t="s">
        <v>29</v>
      </c>
      <c r="Q280" t="s">
        <v>29</v>
      </c>
      <c r="R280" t="s">
        <v>29</v>
      </c>
      <c r="S280" t="s">
        <v>29</v>
      </c>
      <c r="T280" t="s">
        <v>29</v>
      </c>
      <c r="U280" t="s">
        <v>29</v>
      </c>
      <c r="V280" t="s">
        <v>29</v>
      </c>
    </row>
    <row r="281" spans="1:22" x14ac:dyDescent="0.35">
      <c r="A281" s="1">
        <v>45470</v>
      </c>
      <c r="B281" t="s">
        <v>64</v>
      </c>
      <c r="C281" s="2">
        <v>0.71751157407407407</v>
      </c>
      <c r="D281" t="s">
        <v>785</v>
      </c>
      <c r="E281" t="s">
        <v>41</v>
      </c>
      <c r="F281" t="s">
        <v>786</v>
      </c>
      <c r="G281" t="s">
        <v>67</v>
      </c>
      <c r="H281" t="s">
        <v>531</v>
      </c>
      <c r="I281" t="s">
        <v>299</v>
      </c>
      <c r="J281">
        <v>4.4000000000000004</v>
      </c>
      <c r="K281">
        <v>37</v>
      </c>
      <c r="L281" t="s">
        <v>29</v>
      </c>
      <c r="M281" t="s">
        <v>29</v>
      </c>
      <c r="N281" t="s">
        <v>29</v>
      </c>
      <c r="O281" t="s">
        <v>29</v>
      </c>
      <c r="P281" t="s">
        <v>29</v>
      </c>
      <c r="Q281" t="s">
        <v>29</v>
      </c>
      <c r="R281">
        <v>325</v>
      </c>
      <c r="S281">
        <v>3.95</v>
      </c>
      <c r="T281">
        <v>3.8</v>
      </c>
      <c r="U281">
        <v>4.8</v>
      </c>
      <c r="V281" t="s">
        <v>38</v>
      </c>
    </row>
    <row r="282" spans="1:22" x14ac:dyDescent="0.35">
      <c r="A282" s="1">
        <v>45367</v>
      </c>
      <c r="B282" t="s">
        <v>22</v>
      </c>
      <c r="C282" s="2">
        <v>0.81734953703703705</v>
      </c>
      <c r="D282" t="s">
        <v>787</v>
      </c>
      <c r="E282" t="s">
        <v>41</v>
      </c>
      <c r="F282" t="s">
        <v>788</v>
      </c>
      <c r="G282" t="s">
        <v>34</v>
      </c>
      <c r="H282" t="s">
        <v>438</v>
      </c>
      <c r="I282" t="s">
        <v>449</v>
      </c>
      <c r="J282">
        <v>4.3</v>
      </c>
      <c r="K282">
        <v>15.6</v>
      </c>
      <c r="L282" t="s">
        <v>29</v>
      </c>
      <c r="M282" t="s">
        <v>29</v>
      </c>
      <c r="N282" t="s">
        <v>29</v>
      </c>
      <c r="O282" t="s">
        <v>29</v>
      </c>
      <c r="P282" t="s">
        <v>29</v>
      </c>
      <c r="Q282" t="s">
        <v>29</v>
      </c>
      <c r="R282">
        <v>156</v>
      </c>
      <c r="S282">
        <v>42.87</v>
      </c>
      <c r="T282">
        <v>3.9</v>
      </c>
      <c r="U282">
        <v>4.2</v>
      </c>
      <c r="V282" t="s">
        <v>84</v>
      </c>
    </row>
    <row r="283" spans="1:22" x14ac:dyDescent="0.35">
      <c r="A283" s="1">
        <v>45459</v>
      </c>
      <c r="B283" t="s">
        <v>64</v>
      </c>
      <c r="C283" s="2">
        <v>0.87758101851851855</v>
      </c>
      <c r="D283" t="s">
        <v>789</v>
      </c>
      <c r="E283" t="s">
        <v>41</v>
      </c>
      <c r="F283" t="s">
        <v>790</v>
      </c>
      <c r="G283" t="s">
        <v>56</v>
      </c>
      <c r="H283" t="s">
        <v>613</v>
      </c>
      <c r="I283" t="s">
        <v>355</v>
      </c>
      <c r="J283">
        <v>5.2</v>
      </c>
      <c r="K283">
        <v>27.3</v>
      </c>
      <c r="L283" t="s">
        <v>29</v>
      </c>
      <c r="M283" t="s">
        <v>29</v>
      </c>
      <c r="N283" t="s">
        <v>29</v>
      </c>
      <c r="O283" t="s">
        <v>29</v>
      </c>
      <c r="P283" t="s">
        <v>29</v>
      </c>
      <c r="Q283" t="s">
        <v>29</v>
      </c>
      <c r="R283">
        <v>689</v>
      </c>
      <c r="S283">
        <v>39.840000000000003</v>
      </c>
      <c r="T283">
        <v>4.3</v>
      </c>
      <c r="U283">
        <v>4.9000000000000004</v>
      </c>
      <c r="V283" t="s">
        <v>38</v>
      </c>
    </row>
    <row r="284" spans="1:22" x14ac:dyDescent="0.35">
      <c r="A284" s="1">
        <v>45395</v>
      </c>
      <c r="B284" t="s">
        <v>154</v>
      </c>
      <c r="C284" s="2">
        <v>0.47170138888888891</v>
      </c>
      <c r="D284" t="s">
        <v>791</v>
      </c>
      <c r="E284" t="s">
        <v>41</v>
      </c>
      <c r="F284" t="s">
        <v>792</v>
      </c>
      <c r="G284" t="s">
        <v>43</v>
      </c>
      <c r="H284" t="s">
        <v>349</v>
      </c>
      <c r="I284" t="s">
        <v>616</v>
      </c>
      <c r="J284">
        <v>13.6</v>
      </c>
      <c r="K284">
        <v>40.4</v>
      </c>
      <c r="L284" t="s">
        <v>29</v>
      </c>
      <c r="M284" t="s">
        <v>29</v>
      </c>
      <c r="N284" t="s">
        <v>29</v>
      </c>
      <c r="O284" t="s">
        <v>29</v>
      </c>
      <c r="P284" t="s">
        <v>29</v>
      </c>
      <c r="Q284" t="s">
        <v>29</v>
      </c>
      <c r="R284">
        <v>491</v>
      </c>
      <c r="S284">
        <v>4.1900000000000004</v>
      </c>
      <c r="T284">
        <v>3.8</v>
      </c>
      <c r="U284">
        <v>3.9</v>
      </c>
      <c r="V284" t="s">
        <v>149</v>
      </c>
    </row>
    <row r="285" spans="1:22" x14ac:dyDescent="0.35">
      <c r="A285" s="1">
        <v>45513</v>
      </c>
      <c r="B285" t="s">
        <v>39</v>
      </c>
      <c r="C285" s="2">
        <v>0.1492013888888889</v>
      </c>
      <c r="D285" t="s">
        <v>793</v>
      </c>
      <c r="E285" t="s">
        <v>41</v>
      </c>
      <c r="F285" t="s">
        <v>794</v>
      </c>
      <c r="G285" t="s">
        <v>34</v>
      </c>
      <c r="H285" t="s">
        <v>77</v>
      </c>
      <c r="I285" t="s">
        <v>435</v>
      </c>
      <c r="J285">
        <v>10.1</v>
      </c>
      <c r="K285">
        <v>32.5</v>
      </c>
      <c r="L285" t="s">
        <v>29</v>
      </c>
      <c r="M285" t="s">
        <v>29</v>
      </c>
      <c r="N285" t="s">
        <v>29</v>
      </c>
      <c r="O285" t="s">
        <v>29</v>
      </c>
      <c r="P285" t="s">
        <v>29</v>
      </c>
      <c r="Q285" t="s">
        <v>29</v>
      </c>
      <c r="R285">
        <v>304</v>
      </c>
      <c r="S285">
        <v>6.18</v>
      </c>
      <c r="T285">
        <v>4.2</v>
      </c>
      <c r="U285">
        <v>4.3</v>
      </c>
      <c r="V285" t="s">
        <v>149</v>
      </c>
    </row>
    <row r="286" spans="1:22" x14ac:dyDescent="0.35">
      <c r="A286" s="1">
        <v>45624</v>
      </c>
      <c r="B286" t="s">
        <v>30</v>
      </c>
      <c r="C286" s="2">
        <v>0.86442129629629627</v>
      </c>
      <c r="D286" t="s">
        <v>795</v>
      </c>
      <c r="E286" t="s">
        <v>93</v>
      </c>
      <c r="F286" t="s">
        <v>796</v>
      </c>
      <c r="G286" t="s">
        <v>67</v>
      </c>
      <c r="H286" t="s">
        <v>346</v>
      </c>
      <c r="I286" t="s">
        <v>797</v>
      </c>
      <c r="J286">
        <v>12</v>
      </c>
      <c r="K286" t="s">
        <v>29</v>
      </c>
      <c r="L286" t="s">
        <v>29</v>
      </c>
      <c r="M286" t="s">
        <v>29</v>
      </c>
      <c r="N286">
        <v>1</v>
      </c>
      <c r="O286" t="s">
        <v>169</v>
      </c>
      <c r="P286" t="s">
        <v>29</v>
      </c>
      <c r="Q286" t="s">
        <v>29</v>
      </c>
      <c r="R286" t="s">
        <v>29</v>
      </c>
      <c r="S286" t="s">
        <v>29</v>
      </c>
      <c r="T286" t="s">
        <v>29</v>
      </c>
      <c r="U286" t="s">
        <v>29</v>
      </c>
      <c r="V286" t="s">
        <v>29</v>
      </c>
    </row>
    <row r="287" spans="1:22" x14ac:dyDescent="0.35">
      <c r="A287" s="1">
        <v>45534</v>
      </c>
      <c r="B287" t="s">
        <v>39</v>
      </c>
      <c r="C287" s="2">
        <v>0.79193287037037041</v>
      </c>
      <c r="D287" t="s">
        <v>798</v>
      </c>
      <c r="E287" t="s">
        <v>117</v>
      </c>
      <c r="F287" t="s">
        <v>799</v>
      </c>
      <c r="G287" t="s">
        <v>43</v>
      </c>
      <c r="H287" t="s">
        <v>800</v>
      </c>
      <c r="I287" t="s">
        <v>290</v>
      </c>
      <c r="J287">
        <v>12.6</v>
      </c>
      <c r="K287" t="s">
        <v>29</v>
      </c>
      <c r="L287">
        <v>1</v>
      </c>
      <c r="M287" t="s">
        <v>224</v>
      </c>
      <c r="N287" t="s">
        <v>29</v>
      </c>
      <c r="O287" t="s">
        <v>29</v>
      </c>
      <c r="P287" t="s">
        <v>29</v>
      </c>
      <c r="Q287" t="s">
        <v>29</v>
      </c>
      <c r="R287" t="s">
        <v>29</v>
      </c>
      <c r="S287" t="s">
        <v>29</v>
      </c>
      <c r="T287" t="s">
        <v>29</v>
      </c>
      <c r="U287" t="s">
        <v>29</v>
      </c>
      <c r="V287" t="s">
        <v>29</v>
      </c>
    </row>
    <row r="288" spans="1:22" x14ac:dyDescent="0.35">
      <c r="A288" s="1">
        <v>45484</v>
      </c>
      <c r="B288" t="s">
        <v>108</v>
      </c>
      <c r="C288" s="2">
        <v>0.85349537037037038</v>
      </c>
      <c r="D288" t="s">
        <v>801</v>
      </c>
      <c r="E288" t="s">
        <v>41</v>
      </c>
      <c r="F288" t="s">
        <v>802</v>
      </c>
      <c r="G288" t="s">
        <v>43</v>
      </c>
      <c r="H288" t="s">
        <v>125</v>
      </c>
      <c r="I288" t="s">
        <v>803</v>
      </c>
      <c r="J288">
        <v>14.8</v>
      </c>
      <c r="K288">
        <v>44.4</v>
      </c>
      <c r="L288" t="s">
        <v>29</v>
      </c>
      <c r="M288" t="s">
        <v>29</v>
      </c>
      <c r="N288" t="s">
        <v>29</v>
      </c>
      <c r="O288" t="s">
        <v>29</v>
      </c>
      <c r="P288" t="s">
        <v>29</v>
      </c>
      <c r="Q288" t="s">
        <v>29</v>
      </c>
      <c r="R288">
        <v>697</v>
      </c>
      <c r="S288">
        <v>4.5599999999999996</v>
      </c>
      <c r="T288">
        <v>4.5</v>
      </c>
      <c r="U288">
        <v>4.5999999999999996</v>
      </c>
      <c r="V288" t="s">
        <v>38</v>
      </c>
    </row>
    <row r="289" spans="1:22" x14ac:dyDescent="0.35">
      <c r="A289" s="1">
        <v>45498</v>
      </c>
      <c r="B289" t="s">
        <v>108</v>
      </c>
      <c r="C289" s="2">
        <v>0.8115162037037037</v>
      </c>
      <c r="D289" t="s">
        <v>804</v>
      </c>
      <c r="E289" t="s">
        <v>41</v>
      </c>
      <c r="F289" t="s">
        <v>805</v>
      </c>
      <c r="G289" t="s">
        <v>43</v>
      </c>
      <c r="H289" t="s">
        <v>87</v>
      </c>
      <c r="I289" t="s">
        <v>198</v>
      </c>
      <c r="J289">
        <v>3.8</v>
      </c>
      <c r="K289">
        <v>20.100000000000001</v>
      </c>
      <c r="L289" t="s">
        <v>29</v>
      </c>
      <c r="M289" t="s">
        <v>29</v>
      </c>
      <c r="N289" t="s">
        <v>29</v>
      </c>
      <c r="O289" t="s">
        <v>29</v>
      </c>
      <c r="P289" t="s">
        <v>29</v>
      </c>
      <c r="Q289" t="s">
        <v>29</v>
      </c>
      <c r="R289">
        <v>679</v>
      </c>
      <c r="S289">
        <v>47.56</v>
      </c>
      <c r="T289">
        <v>4.2</v>
      </c>
      <c r="U289">
        <v>4.9000000000000004</v>
      </c>
      <c r="V289" t="s">
        <v>38</v>
      </c>
    </row>
    <row r="290" spans="1:22" x14ac:dyDescent="0.35">
      <c r="A290" s="1">
        <v>45521</v>
      </c>
      <c r="B290" t="s">
        <v>39</v>
      </c>
      <c r="C290" s="2">
        <v>0.77436342592592589</v>
      </c>
      <c r="D290" t="s">
        <v>806</v>
      </c>
      <c r="E290" t="s">
        <v>32</v>
      </c>
      <c r="F290" t="s">
        <v>807</v>
      </c>
      <c r="G290" t="s">
        <v>50</v>
      </c>
      <c r="H290" t="s">
        <v>474</v>
      </c>
      <c r="I290" t="s">
        <v>808</v>
      </c>
      <c r="J290">
        <v>2.9</v>
      </c>
      <c r="K290">
        <v>18</v>
      </c>
      <c r="L290" t="s">
        <v>29</v>
      </c>
      <c r="M290" t="s">
        <v>29</v>
      </c>
      <c r="N290" t="s">
        <v>29</v>
      </c>
      <c r="O290" t="s">
        <v>29</v>
      </c>
      <c r="P290">
        <v>1</v>
      </c>
      <c r="Q290" t="s">
        <v>83</v>
      </c>
      <c r="R290">
        <v>713</v>
      </c>
      <c r="S290">
        <v>14.65</v>
      </c>
      <c r="T290" t="s">
        <v>29</v>
      </c>
      <c r="U290" t="s">
        <v>29</v>
      </c>
      <c r="V290" t="s">
        <v>84</v>
      </c>
    </row>
    <row r="291" spans="1:22" x14ac:dyDescent="0.35">
      <c r="A291" s="1">
        <v>45340</v>
      </c>
      <c r="B291" t="s">
        <v>59</v>
      </c>
      <c r="C291" s="2">
        <v>0.78972222222222221</v>
      </c>
      <c r="D291" t="s">
        <v>809</v>
      </c>
      <c r="E291" t="s">
        <v>93</v>
      </c>
      <c r="F291" t="s">
        <v>810</v>
      </c>
      <c r="G291" t="s">
        <v>34</v>
      </c>
      <c r="H291" t="s">
        <v>266</v>
      </c>
      <c r="I291" t="s">
        <v>91</v>
      </c>
      <c r="J291">
        <v>8.6</v>
      </c>
      <c r="K291" t="s">
        <v>29</v>
      </c>
      <c r="L291" t="s">
        <v>29</v>
      </c>
      <c r="M291" t="s">
        <v>29</v>
      </c>
      <c r="N291">
        <v>1</v>
      </c>
      <c r="O291" t="s">
        <v>115</v>
      </c>
      <c r="P291" t="s">
        <v>29</v>
      </c>
      <c r="Q291" t="s">
        <v>29</v>
      </c>
      <c r="R291" t="s">
        <v>29</v>
      </c>
      <c r="S291" t="s">
        <v>29</v>
      </c>
      <c r="T291" t="s">
        <v>29</v>
      </c>
      <c r="U291" t="s">
        <v>29</v>
      </c>
      <c r="V291" t="s">
        <v>29</v>
      </c>
    </row>
    <row r="292" spans="1:22" x14ac:dyDescent="0.35">
      <c r="A292" s="1">
        <v>45459</v>
      </c>
      <c r="B292" t="s">
        <v>64</v>
      </c>
      <c r="C292" s="2">
        <v>0.42562499999999998</v>
      </c>
      <c r="D292" t="s">
        <v>811</v>
      </c>
      <c r="E292" t="s">
        <v>41</v>
      </c>
      <c r="F292" t="s">
        <v>812</v>
      </c>
      <c r="G292" t="s">
        <v>67</v>
      </c>
      <c r="H292" t="s">
        <v>120</v>
      </c>
      <c r="I292" t="s">
        <v>36</v>
      </c>
      <c r="J292">
        <v>10</v>
      </c>
      <c r="K292">
        <v>18.5</v>
      </c>
      <c r="L292" t="s">
        <v>29</v>
      </c>
      <c r="M292" t="s">
        <v>29</v>
      </c>
      <c r="N292" t="s">
        <v>29</v>
      </c>
      <c r="O292" t="s">
        <v>29</v>
      </c>
      <c r="P292" t="s">
        <v>29</v>
      </c>
      <c r="Q292" t="s">
        <v>29</v>
      </c>
      <c r="R292">
        <v>683</v>
      </c>
      <c r="S292">
        <v>32.15</v>
      </c>
      <c r="T292">
        <v>4.5999999999999996</v>
      </c>
      <c r="U292">
        <v>4</v>
      </c>
      <c r="V292" t="s">
        <v>38</v>
      </c>
    </row>
    <row r="293" spans="1:22" x14ac:dyDescent="0.35">
      <c r="A293" s="1">
        <v>45481</v>
      </c>
      <c r="B293" t="s">
        <v>108</v>
      </c>
      <c r="C293" s="2">
        <v>0.87836805555555553</v>
      </c>
      <c r="D293" t="s">
        <v>813</v>
      </c>
      <c r="E293" t="s">
        <v>41</v>
      </c>
      <c r="F293" t="s">
        <v>814</v>
      </c>
      <c r="G293" t="s">
        <v>34</v>
      </c>
      <c r="H293" t="s">
        <v>636</v>
      </c>
      <c r="I293" t="s">
        <v>549</v>
      </c>
      <c r="J293">
        <v>7.8</v>
      </c>
      <c r="K293">
        <v>36.4</v>
      </c>
      <c r="L293" t="s">
        <v>29</v>
      </c>
      <c r="M293" t="s">
        <v>29</v>
      </c>
      <c r="N293" t="s">
        <v>29</v>
      </c>
      <c r="O293" t="s">
        <v>29</v>
      </c>
      <c r="P293" t="s">
        <v>29</v>
      </c>
      <c r="Q293" t="s">
        <v>29</v>
      </c>
      <c r="R293">
        <v>91</v>
      </c>
      <c r="S293">
        <v>23.5</v>
      </c>
      <c r="T293">
        <v>4</v>
      </c>
      <c r="U293">
        <v>4.3</v>
      </c>
      <c r="V293" t="s">
        <v>38</v>
      </c>
    </row>
    <row r="294" spans="1:22" x14ac:dyDescent="0.35">
      <c r="A294" s="1">
        <v>45348</v>
      </c>
      <c r="B294" t="s">
        <v>59</v>
      </c>
      <c r="C294" s="2">
        <v>0.61552083333333329</v>
      </c>
      <c r="D294" t="s">
        <v>815</v>
      </c>
      <c r="E294" t="s">
        <v>32</v>
      </c>
      <c r="F294" t="s">
        <v>816</v>
      </c>
      <c r="G294" t="s">
        <v>26</v>
      </c>
      <c r="H294" t="s">
        <v>51</v>
      </c>
      <c r="I294" t="s">
        <v>386</v>
      </c>
      <c r="J294">
        <v>3.1</v>
      </c>
      <c r="K294">
        <v>12.4</v>
      </c>
      <c r="L294" t="s">
        <v>29</v>
      </c>
      <c r="M294" t="s">
        <v>29</v>
      </c>
      <c r="N294" t="s">
        <v>29</v>
      </c>
      <c r="O294" t="s">
        <v>29</v>
      </c>
      <c r="P294">
        <v>1</v>
      </c>
      <c r="Q294" t="s">
        <v>83</v>
      </c>
      <c r="R294">
        <v>396</v>
      </c>
      <c r="S294">
        <v>16.61</v>
      </c>
      <c r="T294" t="s">
        <v>29</v>
      </c>
      <c r="U294" t="s">
        <v>29</v>
      </c>
      <c r="V294" t="s">
        <v>38</v>
      </c>
    </row>
    <row r="295" spans="1:22" x14ac:dyDescent="0.35">
      <c r="A295" s="1">
        <v>45350</v>
      </c>
      <c r="B295" t="s">
        <v>59</v>
      </c>
      <c r="C295" s="2">
        <v>0.69663194444444443</v>
      </c>
      <c r="D295" t="s">
        <v>817</v>
      </c>
      <c r="E295" t="s">
        <v>41</v>
      </c>
      <c r="F295" t="s">
        <v>818</v>
      </c>
      <c r="G295" t="s">
        <v>34</v>
      </c>
      <c r="H295" t="s">
        <v>819</v>
      </c>
      <c r="I295" t="s">
        <v>714</v>
      </c>
      <c r="J295">
        <v>8.5</v>
      </c>
      <c r="K295">
        <v>35.700000000000003</v>
      </c>
      <c r="L295" t="s">
        <v>29</v>
      </c>
      <c r="M295" t="s">
        <v>29</v>
      </c>
      <c r="N295" t="s">
        <v>29</v>
      </c>
      <c r="O295" t="s">
        <v>29</v>
      </c>
      <c r="P295" t="s">
        <v>29</v>
      </c>
      <c r="Q295" t="s">
        <v>29</v>
      </c>
      <c r="R295">
        <v>769</v>
      </c>
      <c r="S295">
        <v>18.14</v>
      </c>
      <c r="T295">
        <v>4.4000000000000004</v>
      </c>
      <c r="U295">
        <v>4.0999999999999996</v>
      </c>
      <c r="V295" t="s">
        <v>84</v>
      </c>
    </row>
    <row r="296" spans="1:22" x14ac:dyDescent="0.35">
      <c r="A296" s="1">
        <v>45653</v>
      </c>
      <c r="B296" t="s">
        <v>78</v>
      </c>
      <c r="C296" s="2">
        <v>5.1550925925925924E-2</v>
      </c>
      <c r="D296" t="s">
        <v>820</v>
      </c>
      <c r="E296" t="s">
        <v>41</v>
      </c>
      <c r="F296" t="s">
        <v>821</v>
      </c>
      <c r="G296" t="s">
        <v>56</v>
      </c>
      <c r="H296" t="s">
        <v>822</v>
      </c>
      <c r="I296" t="s">
        <v>383</v>
      </c>
      <c r="J296">
        <v>2.2999999999999998</v>
      </c>
      <c r="K296">
        <v>16.399999999999999</v>
      </c>
      <c r="L296" t="s">
        <v>29</v>
      </c>
      <c r="M296" t="s">
        <v>29</v>
      </c>
      <c r="N296" t="s">
        <v>29</v>
      </c>
      <c r="O296" t="s">
        <v>29</v>
      </c>
      <c r="P296" t="s">
        <v>29</v>
      </c>
      <c r="Q296" t="s">
        <v>29</v>
      </c>
      <c r="R296">
        <v>323</v>
      </c>
      <c r="S296">
        <v>31.1</v>
      </c>
      <c r="T296">
        <v>3.6</v>
      </c>
      <c r="U296">
        <v>4.5999999999999996</v>
      </c>
      <c r="V296" t="s">
        <v>107</v>
      </c>
    </row>
    <row r="297" spans="1:22" x14ac:dyDescent="0.35">
      <c r="A297" s="1">
        <v>45632</v>
      </c>
      <c r="B297" t="s">
        <v>78</v>
      </c>
      <c r="C297" s="2">
        <v>0.67327546296296292</v>
      </c>
      <c r="D297" t="s">
        <v>823</v>
      </c>
      <c r="E297" t="s">
        <v>32</v>
      </c>
      <c r="F297" t="s">
        <v>824</v>
      </c>
      <c r="G297" t="s">
        <v>50</v>
      </c>
      <c r="H297" t="s">
        <v>173</v>
      </c>
      <c r="I297" t="s">
        <v>158</v>
      </c>
      <c r="J297">
        <v>3.6</v>
      </c>
      <c r="K297">
        <v>27.7</v>
      </c>
      <c r="L297" t="s">
        <v>29</v>
      </c>
      <c r="M297" t="s">
        <v>29</v>
      </c>
      <c r="N297" t="s">
        <v>29</v>
      </c>
      <c r="O297" t="s">
        <v>29</v>
      </c>
      <c r="P297">
        <v>1</v>
      </c>
      <c r="Q297" t="s">
        <v>83</v>
      </c>
      <c r="R297">
        <v>627</v>
      </c>
      <c r="S297">
        <v>3.74</v>
      </c>
      <c r="T297" t="s">
        <v>29</v>
      </c>
      <c r="U297" t="s">
        <v>29</v>
      </c>
      <c r="V297" t="s">
        <v>107</v>
      </c>
    </row>
    <row r="298" spans="1:22" x14ac:dyDescent="0.35">
      <c r="A298" s="1">
        <v>45425</v>
      </c>
      <c r="B298" t="s">
        <v>122</v>
      </c>
      <c r="C298" s="2">
        <v>0.7832175925925926</v>
      </c>
      <c r="D298" t="s">
        <v>825</v>
      </c>
      <c r="E298" t="s">
        <v>41</v>
      </c>
      <c r="F298" t="s">
        <v>826</v>
      </c>
      <c r="G298" t="s">
        <v>43</v>
      </c>
      <c r="H298" t="s">
        <v>201</v>
      </c>
      <c r="I298" t="s">
        <v>140</v>
      </c>
      <c r="J298">
        <v>12.9</v>
      </c>
      <c r="K298">
        <v>26</v>
      </c>
      <c r="L298" t="s">
        <v>29</v>
      </c>
      <c r="M298" t="s">
        <v>29</v>
      </c>
      <c r="N298" t="s">
        <v>29</v>
      </c>
      <c r="O298" t="s">
        <v>29</v>
      </c>
      <c r="P298" t="s">
        <v>29</v>
      </c>
      <c r="Q298" t="s">
        <v>29</v>
      </c>
      <c r="R298">
        <v>134</v>
      </c>
      <c r="S298">
        <v>13.99</v>
      </c>
      <c r="T298">
        <v>4.8</v>
      </c>
      <c r="U298">
        <v>4.0999999999999996</v>
      </c>
      <c r="V298" t="s">
        <v>84</v>
      </c>
    </row>
    <row r="299" spans="1:22" x14ac:dyDescent="0.35">
      <c r="A299" s="1">
        <v>45421</v>
      </c>
      <c r="B299" t="s">
        <v>122</v>
      </c>
      <c r="C299" s="2">
        <v>0.71826388888888892</v>
      </c>
      <c r="D299" t="s">
        <v>827</v>
      </c>
      <c r="E299" t="s">
        <v>41</v>
      </c>
      <c r="F299" t="s">
        <v>828</v>
      </c>
      <c r="G299" t="s">
        <v>67</v>
      </c>
      <c r="H299" t="s">
        <v>143</v>
      </c>
      <c r="I299" t="s">
        <v>343</v>
      </c>
      <c r="J299">
        <v>12.1</v>
      </c>
      <c r="K299">
        <v>33.6</v>
      </c>
      <c r="L299" t="s">
        <v>29</v>
      </c>
      <c r="M299" t="s">
        <v>29</v>
      </c>
      <c r="N299" t="s">
        <v>29</v>
      </c>
      <c r="O299" t="s">
        <v>29</v>
      </c>
      <c r="P299" t="s">
        <v>29</v>
      </c>
      <c r="Q299" t="s">
        <v>29</v>
      </c>
      <c r="R299">
        <v>940</v>
      </c>
      <c r="S299">
        <v>5.04</v>
      </c>
      <c r="T299">
        <v>4.5999999999999996</v>
      </c>
      <c r="U299">
        <v>4.5999999999999996</v>
      </c>
      <c r="V299" t="s">
        <v>149</v>
      </c>
    </row>
    <row r="300" spans="1:22" x14ac:dyDescent="0.35">
      <c r="A300" s="1">
        <v>45615</v>
      </c>
      <c r="B300" t="s">
        <v>30</v>
      </c>
      <c r="C300" s="2">
        <v>0.87826388888888884</v>
      </c>
      <c r="D300" t="s">
        <v>829</v>
      </c>
      <c r="E300" t="s">
        <v>24</v>
      </c>
      <c r="F300" t="s">
        <v>830</v>
      </c>
      <c r="G300" t="s">
        <v>26</v>
      </c>
      <c r="H300" t="s">
        <v>197</v>
      </c>
      <c r="I300" t="s">
        <v>87</v>
      </c>
      <c r="J300" t="s">
        <v>29</v>
      </c>
      <c r="K300" t="s">
        <v>29</v>
      </c>
      <c r="L300" t="s">
        <v>29</v>
      </c>
      <c r="M300" t="s">
        <v>29</v>
      </c>
      <c r="N300" t="s">
        <v>29</v>
      </c>
      <c r="O300" t="s">
        <v>29</v>
      </c>
      <c r="P300" t="s">
        <v>29</v>
      </c>
      <c r="Q300" t="s">
        <v>29</v>
      </c>
      <c r="R300" t="s">
        <v>29</v>
      </c>
      <c r="S300" t="s">
        <v>29</v>
      </c>
      <c r="T300" t="s">
        <v>29</v>
      </c>
      <c r="U300" t="s">
        <v>29</v>
      </c>
      <c r="V300" t="s">
        <v>29</v>
      </c>
    </row>
    <row r="301" spans="1:22" x14ac:dyDescent="0.35">
      <c r="A301" s="1">
        <v>45386</v>
      </c>
      <c r="B301" t="s">
        <v>154</v>
      </c>
      <c r="C301" s="2">
        <v>0.58526620370370375</v>
      </c>
      <c r="D301" t="s">
        <v>831</v>
      </c>
      <c r="E301" t="s">
        <v>41</v>
      </c>
      <c r="F301" t="s">
        <v>832</v>
      </c>
      <c r="G301" t="s">
        <v>43</v>
      </c>
      <c r="H301" t="s">
        <v>120</v>
      </c>
      <c r="I301" t="s">
        <v>320</v>
      </c>
      <c r="J301">
        <v>9.6</v>
      </c>
      <c r="K301">
        <v>26.2</v>
      </c>
      <c r="L301" t="s">
        <v>29</v>
      </c>
      <c r="M301" t="s">
        <v>29</v>
      </c>
      <c r="N301" t="s">
        <v>29</v>
      </c>
      <c r="O301" t="s">
        <v>29</v>
      </c>
      <c r="P301" t="s">
        <v>29</v>
      </c>
      <c r="Q301" t="s">
        <v>29</v>
      </c>
      <c r="R301">
        <v>266</v>
      </c>
      <c r="S301">
        <v>36.18</v>
      </c>
      <c r="T301">
        <v>4.0999999999999996</v>
      </c>
      <c r="U301">
        <v>4.2</v>
      </c>
      <c r="V301" t="s">
        <v>107</v>
      </c>
    </row>
    <row r="302" spans="1:22" x14ac:dyDescent="0.35">
      <c r="A302" s="1">
        <v>45615</v>
      </c>
      <c r="B302" t="s">
        <v>30</v>
      </c>
      <c r="C302" s="2">
        <v>0.84420138888888885</v>
      </c>
      <c r="D302" t="s">
        <v>833</v>
      </c>
      <c r="E302" t="s">
        <v>41</v>
      </c>
      <c r="F302" t="s">
        <v>834</v>
      </c>
      <c r="G302" t="s">
        <v>43</v>
      </c>
      <c r="H302" t="s">
        <v>158</v>
      </c>
      <c r="I302" t="s">
        <v>214</v>
      </c>
      <c r="J302">
        <v>8.1</v>
      </c>
      <c r="K302">
        <v>26.4</v>
      </c>
      <c r="L302" t="s">
        <v>29</v>
      </c>
      <c r="M302" t="s">
        <v>29</v>
      </c>
      <c r="N302" t="s">
        <v>29</v>
      </c>
      <c r="O302" t="s">
        <v>29</v>
      </c>
      <c r="P302" t="s">
        <v>29</v>
      </c>
      <c r="Q302" t="s">
        <v>29</v>
      </c>
      <c r="R302">
        <v>484</v>
      </c>
      <c r="S302">
        <v>13.21</v>
      </c>
      <c r="T302">
        <v>4.5</v>
      </c>
      <c r="U302">
        <v>4.3</v>
      </c>
      <c r="V302" t="s">
        <v>107</v>
      </c>
    </row>
    <row r="303" spans="1:22" x14ac:dyDescent="0.35">
      <c r="A303" s="1">
        <v>45447</v>
      </c>
      <c r="B303" t="s">
        <v>64</v>
      </c>
      <c r="C303" s="2">
        <v>0.84387731481481476</v>
      </c>
      <c r="D303" t="s">
        <v>835</v>
      </c>
      <c r="E303" t="s">
        <v>41</v>
      </c>
      <c r="F303" t="s">
        <v>836</v>
      </c>
      <c r="G303" t="s">
        <v>34</v>
      </c>
      <c r="H303" t="s">
        <v>808</v>
      </c>
      <c r="I303" t="s">
        <v>76</v>
      </c>
      <c r="J303">
        <v>5.6</v>
      </c>
      <c r="K303">
        <v>19.2</v>
      </c>
      <c r="L303" t="s">
        <v>29</v>
      </c>
      <c r="M303" t="s">
        <v>29</v>
      </c>
      <c r="N303" t="s">
        <v>29</v>
      </c>
      <c r="O303" t="s">
        <v>29</v>
      </c>
      <c r="P303" t="s">
        <v>29</v>
      </c>
      <c r="Q303" t="s">
        <v>29</v>
      </c>
      <c r="R303">
        <v>250</v>
      </c>
      <c r="S303">
        <v>6.06</v>
      </c>
      <c r="T303">
        <v>4.3</v>
      </c>
      <c r="U303">
        <v>4.7</v>
      </c>
      <c r="V303" t="s">
        <v>84</v>
      </c>
    </row>
    <row r="304" spans="1:22" x14ac:dyDescent="0.35">
      <c r="A304" s="1">
        <v>45517</v>
      </c>
      <c r="B304" t="s">
        <v>39</v>
      </c>
      <c r="C304" s="2">
        <v>0.55706018518518519</v>
      </c>
      <c r="D304" t="s">
        <v>837</v>
      </c>
      <c r="E304" t="s">
        <v>93</v>
      </c>
      <c r="F304" t="s">
        <v>838</v>
      </c>
      <c r="G304" t="s">
        <v>43</v>
      </c>
      <c r="H304" t="s">
        <v>111</v>
      </c>
      <c r="I304" t="s">
        <v>193</v>
      </c>
      <c r="J304">
        <v>9.3000000000000007</v>
      </c>
      <c r="K304" t="s">
        <v>29</v>
      </c>
      <c r="L304" t="s">
        <v>29</v>
      </c>
      <c r="M304" t="s">
        <v>29</v>
      </c>
      <c r="N304">
        <v>1</v>
      </c>
      <c r="O304" t="s">
        <v>337</v>
      </c>
      <c r="P304" t="s">
        <v>29</v>
      </c>
      <c r="Q304" t="s">
        <v>29</v>
      </c>
      <c r="R304" t="s">
        <v>29</v>
      </c>
      <c r="S304" t="s">
        <v>29</v>
      </c>
      <c r="T304" t="s">
        <v>29</v>
      </c>
      <c r="U304" t="s">
        <v>29</v>
      </c>
      <c r="V304" t="s">
        <v>29</v>
      </c>
    </row>
    <row r="305" spans="1:22" x14ac:dyDescent="0.35">
      <c r="A305" s="1">
        <v>45651</v>
      </c>
      <c r="B305" t="s">
        <v>78</v>
      </c>
      <c r="C305" s="2">
        <v>0.46054398148148146</v>
      </c>
      <c r="D305" t="s">
        <v>839</v>
      </c>
      <c r="E305" t="s">
        <v>32</v>
      </c>
      <c r="F305" t="s">
        <v>840</v>
      </c>
      <c r="G305" t="s">
        <v>56</v>
      </c>
      <c r="H305" t="s">
        <v>153</v>
      </c>
      <c r="I305" t="s">
        <v>201</v>
      </c>
      <c r="J305">
        <v>8.8000000000000007</v>
      </c>
      <c r="K305">
        <v>20</v>
      </c>
      <c r="L305" t="s">
        <v>29</v>
      </c>
      <c r="M305" t="s">
        <v>29</v>
      </c>
      <c r="N305" t="s">
        <v>29</v>
      </c>
      <c r="O305" t="s">
        <v>29</v>
      </c>
      <c r="P305">
        <v>1</v>
      </c>
      <c r="Q305" t="s">
        <v>302</v>
      </c>
      <c r="R305">
        <v>361</v>
      </c>
      <c r="S305">
        <v>14.61</v>
      </c>
      <c r="T305" t="s">
        <v>29</v>
      </c>
      <c r="U305" t="s">
        <v>29</v>
      </c>
      <c r="V305" t="s">
        <v>38</v>
      </c>
    </row>
    <row r="306" spans="1:22" x14ac:dyDescent="0.35">
      <c r="A306" s="1">
        <v>45473</v>
      </c>
      <c r="B306" t="s">
        <v>64</v>
      </c>
      <c r="C306" s="2">
        <v>0.49859953703703702</v>
      </c>
      <c r="D306" t="s">
        <v>841</v>
      </c>
      <c r="E306" t="s">
        <v>41</v>
      </c>
      <c r="F306" t="s">
        <v>409</v>
      </c>
      <c r="G306" t="s">
        <v>67</v>
      </c>
      <c r="H306" t="s">
        <v>249</v>
      </c>
      <c r="I306" t="s">
        <v>489</v>
      </c>
      <c r="J306">
        <v>2.6</v>
      </c>
      <c r="K306">
        <v>21</v>
      </c>
      <c r="L306" t="s">
        <v>29</v>
      </c>
      <c r="M306" t="s">
        <v>29</v>
      </c>
      <c r="N306" t="s">
        <v>29</v>
      </c>
      <c r="O306" t="s">
        <v>29</v>
      </c>
      <c r="P306" t="s">
        <v>29</v>
      </c>
      <c r="Q306" t="s">
        <v>29</v>
      </c>
      <c r="R306">
        <v>224</v>
      </c>
      <c r="S306">
        <v>48.08</v>
      </c>
      <c r="T306">
        <v>5</v>
      </c>
      <c r="U306">
        <v>4.5999999999999996</v>
      </c>
      <c r="V306" t="s">
        <v>84</v>
      </c>
    </row>
    <row r="307" spans="1:22" x14ac:dyDescent="0.35">
      <c r="A307" s="1">
        <v>45311</v>
      </c>
      <c r="B307" t="s">
        <v>150</v>
      </c>
      <c r="C307" s="2">
        <v>0.88569444444444445</v>
      </c>
      <c r="D307" t="s">
        <v>842</v>
      </c>
      <c r="E307" t="s">
        <v>117</v>
      </c>
      <c r="F307" t="s">
        <v>843</v>
      </c>
      <c r="G307" t="s">
        <v>67</v>
      </c>
      <c r="H307" t="s">
        <v>486</v>
      </c>
      <c r="I307" t="s">
        <v>239</v>
      </c>
      <c r="J307">
        <v>8.5</v>
      </c>
      <c r="K307" t="s">
        <v>29</v>
      </c>
      <c r="L307">
        <v>1</v>
      </c>
      <c r="M307" t="s">
        <v>224</v>
      </c>
      <c r="N307" t="s">
        <v>29</v>
      </c>
      <c r="O307" t="s">
        <v>29</v>
      </c>
      <c r="P307" t="s">
        <v>29</v>
      </c>
      <c r="Q307" t="s">
        <v>29</v>
      </c>
      <c r="R307" t="s">
        <v>29</v>
      </c>
      <c r="S307" t="s">
        <v>29</v>
      </c>
      <c r="T307" t="s">
        <v>29</v>
      </c>
      <c r="U307" t="s">
        <v>29</v>
      </c>
      <c r="V307" t="s">
        <v>29</v>
      </c>
    </row>
    <row r="308" spans="1:22" x14ac:dyDescent="0.35">
      <c r="A308" s="1">
        <v>45392</v>
      </c>
      <c r="B308" t="s">
        <v>154</v>
      </c>
      <c r="C308" s="2">
        <v>0.48219907407407409</v>
      </c>
      <c r="D308" t="s">
        <v>844</v>
      </c>
      <c r="E308" t="s">
        <v>41</v>
      </c>
      <c r="F308" t="s">
        <v>845</v>
      </c>
      <c r="G308" t="s">
        <v>50</v>
      </c>
      <c r="H308" t="s">
        <v>636</v>
      </c>
      <c r="I308" t="s">
        <v>350</v>
      </c>
      <c r="J308">
        <v>12.8</v>
      </c>
      <c r="K308">
        <v>36.799999999999997</v>
      </c>
      <c r="L308" t="s">
        <v>29</v>
      </c>
      <c r="M308" t="s">
        <v>29</v>
      </c>
      <c r="N308" t="s">
        <v>29</v>
      </c>
      <c r="O308" t="s">
        <v>29</v>
      </c>
      <c r="P308" t="s">
        <v>29</v>
      </c>
      <c r="Q308" t="s">
        <v>29</v>
      </c>
      <c r="R308">
        <v>669</v>
      </c>
      <c r="S308">
        <v>39.51</v>
      </c>
      <c r="T308">
        <v>3.6</v>
      </c>
      <c r="U308">
        <v>4.2</v>
      </c>
      <c r="V308" t="s">
        <v>84</v>
      </c>
    </row>
    <row r="309" spans="1:22" x14ac:dyDescent="0.35">
      <c r="A309" s="1">
        <v>45501</v>
      </c>
      <c r="B309" t="s">
        <v>108</v>
      </c>
      <c r="C309" s="2">
        <v>0.4137615740740741</v>
      </c>
      <c r="D309" t="s">
        <v>846</v>
      </c>
      <c r="E309" t="s">
        <v>117</v>
      </c>
      <c r="F309" t="s">
        <v>847</v>
      </c>
      <c r="G309" t="s">
        <v>34</v>
      </c>
      <c r="H309" t="s">
        <v>366</v>
      </c>
      <c r="I309" t="s">
        <v>96</v>
      </c>
      <c r="J309">
        <v>8.6999999999999993</v>
      </c>
      <c r="K309" t="s">
        <v>29</v>
      </c>
      <c r="L309">
        <v>1</v>
      </c>
      <c r="M309" t="s">
        <v>224</v>
      </c>
      <c r="N309" t="s">
        <v>29</v>
      </c>
      <c r="O309" t="s">
        <v>29</v>
      </c>
      <c r="P309" t="s">
        <v>29</v>
      </c>
      <c r="Q309" t="s">
        <v>29</v>
      </c>
      <c r="R309" t="s">
        <v>29</v>
      </c>
      <c r="S309" t="s">
        <v>29</v>
      </c>
      <c r="T309" t="s">
        <v>29</v>
      </c>
      <c r="U309" t="s">
        <v>29</v>
      </c>
      <c r="V309" t="s">
        <v>29</v>
      </c>
    </row>
    <row r="310" spans="1:22" x14ac:dyDescent="0.35">
      <c r="A310" s="1">
        <v>45508</v>
      </c>
      <c r="B310" t="s">
        <v>39</v>
      </c>
      <c r="C310" s="2">
        <v>0.35092592592592592</v>
      </c>
      <c r="D310" t="s">
        <v>848</v>
      </c>
      <c r="E310" t="s">
        <v>93</v>
      </c>
      <c r="F310" t="s">
        <v>849</v>
      </c>
      <c r="G310" t="s">
        <v>43</v>
      </c>
      <c r="H310" t="s">
        <v>714</v>
      </c>
      <c r="I310" t="s">
        <v>332</v>
      </c>
      <c r="J310">
        <v>8.8000000000000007</v>
      </c>
      <c r="K310" t="s">
        <v>29</v>
      </c>
      <c r="L310" t="s">
        <v>29</v>
      </c>
      <c r="M310" t="s">
        <v>29</v>
      </c>
      <c r="N310">
        <v>1</v>
      </c>
      <c r="O310" t="s">
        <v>115</v>
      </c>
      <c r="P310" t="s">
        <v>29</v>
      </c>
      <c r="Q310" t="s">
        <v>29</v>
      </c>
      <c r="R310" t="s">
        <v>29</v>
      </c>
      <c r="S310" t="s">
        <v>29</v>
      </c>
      <c r="T310" t="s">
        <v>29</v>
      </c>
      <c r="U310" t="s">
        <v>29</v>
      </c>
      <c r="V310" t="s">
        <v>29</v>
      </c>
    </row>
    <row r="311" spans="1:22" x14ac:dyDescent="0.35">
      <c r="A311" s="1">
        <v>45509</v>
      </c>
      <c r="B311" t="s">
        <v>39</v>
      </c>
      <c r="C311" s="2">
        <v>0.65324074074074079</v>
      </c>
      <c r="D311" t="s">
        <v>850</v>
      </c>
      <c r="E311" t="s">
        <v>41</v>
      </c>
      <c r="F311" t="s">
        <v>851</v>
      </c>
      <c r="G311" t="s">
        <v>67</v>
      </c>
      <c r="H311" t="s">
        <v>103</v>
      </c>
      <c r="I311" t="s">
        <v>714</v>
      </c>
      <c r="J311">
        <v>5.2</v>
      </c>
      <c r="K311">
        <v>31.7</v>
      </c>
      <c r="L311" t="s">
        <v>29</v>
      </c>
      <c r="M311" t="s">
        <v>29</v>
      </c>
      <c r="N311" t="s">
        <v>29</v>
      </c>
      <c r="O311" t="s">
        <v>29</v>
      </c>
      <c r="P311" t="s">
        <v>29</v>
      </c>
      <c r="Q311" t="s">
        <v>29</v>
      </c>
      <c r="R311">
        <v>207</v>
      </c>
      <c r="S311">
        <v>7.83</v>
      </c>
      <c r="T311">
        <v>4.4000000000000004</v>
      </c>
      <c r="U311">
        <v>3.9</v>
      </c>
      <c r="V311" t="s">
        <v>107</v>
      </c>
    </row>
    <row r="312" spans="1:22" x14ac:dyDescent="0.35">
      <c r="A312" s="1">
        <v>45520</v>
      </c>
      <c r="B312" t="s">
        <v>39</v>
      </c>
      <c r="C312" s="2">
        <v>0.53128472222222223</v>
      </c>
      <c r="D312" t="s">
        <v>852</v>
      </c>
      <c r="E312" t="s">
        <v>41</v>
      </c>
      <c r="F312" t="s">
        <v>853</v>
      </c>
      <c r="G312" t="s">
        <v>34</v>
      </c>
      <c r="H312" t="s">
        <v>126</v>
      </c>
      <c r="I312" t="s">
        <v>254</v>
      </c>
      <c r="J312">
        <v>13.2</v>
      </c>
      <c r="K312">
        <v>35.799999999999997</v>
      </c>
      <c r="L312" t="s">
        <v>29</v>
      </c>
      <c r="M312" t="s">
        <v>29</v>
      </c>
      <c r="N312" t="s">
        <v>29</v>
      </c>
      <c r="O312" t="s">
        <v>29</v>
      </c>
      <c r="P312" t="s">
        <v>29</v>
      </c>
      <c r="Q312" t="s">
        <v>29</v>
      </c>
      <c r="R312">
        <v>227</v>
      </c>
      <c r="S312">
        <v>12.34</v>
      </c>
      <c r="T312">
        <v>4.0999999999999996</v>
      </c>
      <c r="U312">
        <v>3.1</v>
      </c>
      <c r="V312" t="s">
        <v>84</v>
      </c>
    </row>
    <row r="313" spans="1:22" x14ac:dyDescent="0.35">
      <c r="A313" s="1">
        <v>45372</v>
      </c>
      <c r="B313" t="s">
        <v>22</v>
      </c>
      <c r="C313" s="2">
        <v>6.2384259259259257E-2</v>
      </c>
      <c r="D313" t="s">
        <v>854</v>
      </c>
      <c r="E313" t="s">
        <v>41</v>
      </c>
      <c r="F313" t="s">
        <v>855</v>
      </c>
      <c r="G313" t="s">
        <v>50</v>
      </c>
      <c r="H313" t="s">
        <v>442</v>
      </c>
      <c r="I313" t="s">
        <v>270</v>
      </c>
      <c r="J313">
        <v>2.2999999999999998</v>
      </c>
      <c r="K313">
        <v>33.799999999999997</v>
      </c>
      <c r="L313" t="s">
        <v>29</v>
      </c>
      <c r="M313" t="s">
        <v>29</v>
      </c>
      <c r="N313" t="s">
        <v>29</v>
      </c>
      <c r="O313" t="s">
        <v>29</v>
      </c>
      <c r="P313" t="s">
        <v>29</v>
      </c>
      <c r="Q313" t="s">
        <v>29</v>
      </c>
      <c r="R313">
        <v>771</v>
      </c>
      <c r="S313">
        <v>36.700000000000003</v>
      </c>
      <c r="T313">
        <v>3.5</v>
      </c>
      <c r="U313">
        <v>4.5999999999999996</v>
      </c>
      <c r="V313" t="s">
        <v>38</v>
      </c>
    </row>
    <row r="314" spans="1:22" x14ac:dyDescent="0.35">
      <c r="A314" s="1">
        <v>45411</v>
      </c>
      <c r="B314" t="s">
        <v>154</v>
      </c>
      <c r="C314" s="2">
        <v>0.94384259259259262</v>
      </c>
      <c r="D314" t="s">
        <v>856</v>
      </c>
      <c r="E314" t="s">
        <v>93</v>
      </c>
      <c r="F314" t="s">
        <v>857</v>
      </c>
      <c r="G314" t="s">
        <v>43</v>
      </c>
      <c r="H314" t="s">
        <v>858</v>
      </c>
      <c r="I314" t="s">
        <v>103</v>
      </c>
      <c r="J314">
        <v>9.1</v>
      </c>
      <c r="K314" t="s">
        <v>29</v>
      </c>
      <c r="L314" t="s">
        <v>29</v>
      </c>
      <c r="M314" t="s">
        <v>29</v>
      </c>
      <c r="N314">
        <v>1</v>
      </c>
      <c r="O314" t="s">
        <v>97</v>
      </c>
      <c r="P314" t="s">
        <v>29</v>
      </c>
      <c r="Q314" t="s">
        <v>29</v>
      </c>
      <c r="R314" t="s">
        <v>29</v>
      </c>
      <c r="S314" t="s">
        <v>29</v>
      </c>
      <c r="T314" t="s">
        <v>29</v>
      </c>
      <c r="U314" t="s">
        <v>29</v>
      </c>
      <c r="V314" t="s">
        <v>29</v>
      </c>
    </row>
    <row r="315" spans="1:22" x14ac:dyDescent="0.35">
      <c r="A315" s="1">
        <v>45418</v>
      </c>
      <c r="B315" t="s">
        <v>122</v>
      </c>
      <c r="C315" s="2">
        <v>0.56660879629629635</v>
      </c>
      <c r="D315" t="s">
        <v>859</v>
      </c>
      <c r="E315" t="s">
        <v>41</v>
      </c>
      <c r="F315" t="s">
        <v>860</v>
      </c>
      <c r="G315" t="s">
        <v>43</v>
      </c>
      <c r="H315" t="s">
        <v>157</v>
      </c>
      <c r="I315" t="s">
        <v>430</v>
      </c>
      <c r="J315">
        <v>14.2</v>
      </c>
      <c r="K315">
        <v>26.4</v>
      </c>
      <c r="L315" t="s">
        <v>29</v>
      </c>
      <c r="M315" t="s">
        <v>29</v>
      </c>
      <c r="N315" t="s">
        <v>29</v>
      </c>
      <c r="O315" t="s">
        <v>29</v>
      </c>
      <c r="P315" t="s">
        <v>29</v>
      </c>
      <c r="Q315" t="s">
        <v>29</v>
      </c>
      <c r="R315">
        <v>441</v>
      </c>
      <c r="S315">
        <v>31.5</v>
      </c>
      <c r="T315">
        <v>4.7</v>
      </c>
      <c r="U315">
        <v>3.1</v>
      </c>
      <c r="V315" t="s">
        <v>107</v>
      </c>
    </row>
    <row r="316" spans="1:22" x14ac:dyDescent="0.35">
      <c r="A316" s="1">
        <v>45548</v>
      </c>
      <c r="B316" t="s">
        <v>53</v>
      </c>
      <c r="C316" s="2">
        <v>0.63946759259259256</v>
      </c>
      <c r="D316" t="s">
        <v>861</v>
      </c>
      <c r="E316" t="s">
        <v>93</v>
      </c>
      <c r="F316" t="s">
        <v>862</v>
      </c>
      <c r="G316" t="s">
        <v>34</v>
      </c>
      <c r="H316" t="s">
        <v>305</v>
      </c>
      <c r="I316" t="s">
        <v>407</v>
      </c>
      <c r="J316">
        <v>11.2</v>
      </c>
      <c r="K316" t="s">
        <v>29</v>
      </c>
      <c r="L316" t="s">
        <v>29</v>
      </c>
      <c r="M316" t="s">
        <v>29</v>
      </c>
      <c r="N316">
        <v>1</v>
      </c>
      <c r="O316" t="s">
        <v>115</v>
      </c>
      <c r="P316" t="s">
        <v>29</v>
      </c>
      <c r="Q316" t="s">
        <v>29</v>
      </c>
      <c r="R316" t="s">
        <v>29</v>
      </c>
      <c r="S316" t="s">
        <v>29</v>
      </c>
      <c r="T316" t="s">
        <v>29</v>
      </c>
      <c r="U316" t="s">
        <v>29</v>
      </c>
      <c r="V316" t="s">
        <v>29</v>
      </c>
    </row>
    <row r="317" spans="1:22" x14ac:dyDescent="0.35">
      <c r="A317" s="1">
        <v>45430</v>
      </c>
      <c r="B317" t="s">
        <v>122</v>
      </c>
      <c r="C317" s="2">
        <v>0.27118055555555554</v>
      </c>
      <c r="D317" t="s">
        <v>863</v>
      </c>
      <c r="E317" t="s">
        <v>41</v>
      </c>
      <c r="F317" t="s">
        <v>864</v>
      </c>
      <c r="G317" t="s">
        <v>50</v>
      </c>
      <c r="H317" t="s">
        <v>262</v>
      </c>
      <c r="I317" t="s">
        <v>81</v>
      </c>
      <c r="J317">
        <v>12.4</v>
      </c>
      <c r="K317">
        <v>21.6</v>
      </c>
      <c r="L317" t="s">
        <v>29</v>
      </c>
      <c r="M317" t="s">
        <v>29</v>
      </c>
      <c r="N317" t="s">
        <v>29</v>
      </c>
      <c r="O317" t="s">
        <v>29</v>
      </c>
      <c r="P317" t="s">
        <v>29</v>
      </c>
      <c r="Q317" t="s">
        <v>29</v>
      </c>
      <c r="R317">
        <v>788</v>
      </c>
      <c r="S317">
        <v>4.26</v>
      </c>
      <c r="T317">
        <v>4.2</v>
      </c>
      <c r="U317">
        <v>4.5</v>
      </c>
      <c r="V317" t="s">
        <v>38</v>
      </c>
    </row>
    <row r="318" spans="1:22" x14ac:dyDescent="0.35">
      <c r="A318" s="1">
        <v>45571</v>
      </c>
      <c r="B318" t="s">
        <v>47</v>
      </c>
      <c r="C318" s="2">
        <v>0.91206018518518517</v>
      </c>
      <c r="D318" t="s">
        <v>865</v>
      </c>
      <c r="E318" t="s">
        <v>41</v>
      </c>
      <c r="F318" t="s">
        <v>866</v>
      </c>
      <c r="G318" t="s">
        <v>43</v>
      </c>
      <c r="H318" t="s">
        <v>315</v>
      </c>
      <c r="I318" t="s">
        <v>210</v>
      </c>
      <c r="J318">
        <v>13.3</v>
      </c>
      <c r="K318">
        <v>41.6</v>
      </c>
      <c r="L318" t="s">
        <v>29</v>
      </c>
      <c r="M318" t="s">
        <v>29</v>
      </c>
      <c r="N318" t="s">
        <v>29</v>
      </c>
      <c r="O318" t="s">
        <v>29</v>
      </c>
      <c r="P318" t="s">
        <v>29</v>
      </c>
      <c r="Q318" t="s">
        <v>29</v>
      </c>
      <c r="R318">
        <v>459</v>
      </c>
      <c r="S318">
        <v>46.74</v>
      </c>
      <c r="T318">
        <v>5</v>
      </c>
      <c r="U318">
        <v>4.9000000000000004</v>
      </c>
      <c r="V318" t="s">
        <v>38</v>
      </c>
    </row>
    <row r="319" spans="1:22" x14ac:dyDescent="0.35">
      <c r="A319" s="1">
        <v>45575</v>
      </c>
      <c r="B319" t="s">
        <v>47</v>
      </c>
      <c r="C319" s="2">
        <v>0.16410879629629629</v>
      </c>
      <c r="D319" t="s">
        <v>867</v>
      </c>
      <c r="E319" t="s">
        <v>41</v>
      </c>
      <c r="F319" t="s">
        <v>868</v>
      </c>
      <c r="G319" t="s">
        <v>34</v>
      </c>
      <c r="H319" t="s">
        <v>442</v>
      </c>
      <c r="I319" t="s">
        <v>270</v>
      </c>
      <c r="J319">
        <v>4.7</v>
      </c>
      <c r="K319">
        <v>42.5</v>
      </c>
      <c r="L319" t="s">
        <v>29</v>
      </c>
      <c r="M319" t="s">
        <v>29</v>
      </c>
      <c r="N319" t="s">
        <v>29</v>
      </c>
      <c r="O319" t="s">
        <v>29</v>
      </c>
      <c r="P319" t="s">
        <v>29</v>
      </c>
      <c r="Q319" t="s">
        <v>29</v>
      </c>
      <c r="R319">
        <v>473</v>
      </c>
      <c r="S319">
        <v>48.35</v>
      </c>
      <c r="T319">
        <v>4.7</v>
      </c>
      <c r="U319">
        <v>3.8</v>
      </c>
      <c r="V319" t="s">
        <v>84</v>
      </c>
    </row>
    <row r="320" spans="1:22" x14ac:dyDescent="0.35">
      <c r="A320" s="1">
        <v>45426</v>
      </c>
      <c r="B320" t="s">
        <v>122</v>
      </c>
      <c r="C320" s="2">
        <v>0.2772337962962963</v>
      </c>
      <c r="D320" t="s">
        <v>869</v>
      </c>
      <c r="E320" t="s">
        <v>41</v>
      </c>
      <c r="F320" t="s">
        <v>870</v>
      </c>
      <c r="G320" t="s">
        <v>56</v>
      </c>
      <c r="H320" t="s">
        <v>76</v>
      </c>
      <c r="I320" t="s">
        <v>176</v>
      </c>
      <c r="J320">
        <v>14.5</v>
      </c>
      <c r="K320">
        <v>19.8</v>
      </c>
      <c r="L320" t="s">
        <v>29</v>
      </c>
      <c r="M320" t="s">
        <v>29</v>
      </c>
      <c r="N320" t="s">
        <v>29</v>
      </c>
      <c r="O320" t="s">
        <v>29</v>
      </c>
      <c r="P320" t="s">
        <v>29</v>
      </c>
      <c r="Q320" t="s">
        <v>29</v>
      </c>
      <c r="R320">
        <v>503</v>
      </c>
      <c r="S320">
        <v>49.87</v>
      </c>
      <c r="T320">
        <v>4.3</v>
      </c>
      <c r="U320">
        <v>4.7</v>
      </c>
      <c r="V320" t="s">
        <v>84</v>
      </c>
    </row>
    <row r="321" spans="1:22" x14ac:dyDescent="0.35">
      <c r="A321" s="1">
        <v>45654</v>
      </c>
      <c r="B321" t="s">
        <v>78</v>
      </c>
      <c r="C321" s="2">
        <v>0.64158564814814811</v>
      </c>
      <c r="D321" t="s">
        <v>871</v>
      </c>
      <c r="E321" t="s">
        <v>41</v>
      </c>
      <c r="F321" t="s">
        <v>872</v>
      </c>
      <c r="G321" t="s">
        <v>67</v>
      </c>
      <c r="H321" t="s">
        <v>255</v>
      </c>
      <c r="I321" t="s">
        <v>133</v>
      </c>
      <c r="J321">
        <v>5.4</v>
      </c>
      <c r="K321">
        <v>18.2</v>
      </c>
      <c r="L321" t="s">
        <v>29</v>
      </c>
      <c r="M321" t="s">
        <v>29</v>
      </c>
      <c r="N321" t="s">
        <v>29</v>
      </c>
      <c r="O321" t="s">
        <v>29</v>
      </c>
      <c r="P321" t="s">
        <v>29</v>
      </c>
      <c r="Q321" t="s">
        <v>29</v>
      </c>
      <c r="R321">
        <v>586</v>
      </c>
      <c r="S321">
        <v>22.67</v>
      </c>
      <c r="T321">
        <v>4.2</v>
      </c>
      <c r="U321">
        <v>4.2</v>
      </c>
      <c r="V321" t="s">
        <v>38</v>
      </c>
    </row>
    <row r="322" spans="1:22" x14ac:dyDescent="0.35">
      <c r="A322" s="1">
        <v>45607</v>
      </c>
      <c r="B322" t="s">
        <v>30</v>
      </c>
      <c r="C322" s="2">
        <v>0.6825</v>
      </c>
      <c r="D322" t="s">
        <v>873</v>
      </c>
      <c r="E322" t="s">
        <v>93</v>
      </c>
      <c r="F322" t="s">
        <v>874</v>
      </c>
      <c r="G322" t="s">
        <v>43</v>
      </c>
      <c r="H322" t="s">
        <v>665</v>
      </c>
      <c r="I322" t="s">
        <v>239</v>
      </c>
      <c r="J322">
        <v>8.1</v>
      </c>
      <c r="K322" t="s">
        <v>29</v>
      </c>
      <c r="L322" t="s">
        <v>29</v>
      </c>
      <c r="M322" t="s">
        <v>29</v>
      </c>
      <c r="N322">
        <v>1</v>
      </c>
      <c r="O322" t="s">
        <v>115</v>
      </c>
      <c r="P322" t="s">
        <v>29</v>
      </c>
      <c r="Q322" t="s">
        <v>29</v>
      </c>
      <c r="R322" t="s">
        <v>29</v>
      </c>
      <c r="S322" t="s">
        <v>29</v>
      </c>
      <c r="T322" t="s">
        <v>29</v>
      </c>
      <c r="U322" t="s">
        <v>29</v>
      </c>
      <c r="V322" t="s">
        <v>29</v>
      </c>
    </row>
    <row r="323" spans="1:22" x14ac:dyDescent="0.35">
      <c r="A323" s="1">
        <v>45524</v>
      </c>
      <c r="B323" t="s">
        <v>39</v>
      </c>
      <c r="C323" s="2">
        <v>0.41056712962962966</v>
      </c>
      <c r="D323" t="s">
        <v>875</v>
      </c>
      <c r="E323" t="s">
        <v>93</v>
      </c>
      <c r="F323" t="s">
        <v>876</v>
      </c>
      <c r="G323" t="s">
        <v>56</v>
      </c>
      <c r="H323" t="s">
        <v>386</v>
      </c>
      <c r="I323" t="s">
        <v>332</v>
      </c>
      <c r="J323">
        <v>7.4</v>
      </c>
      <c r="K323" t="s">
        <v>29</v>
      </c>
      <c r="L323" t="s">
        <v>29</v>
      </c>
      <c r="M323" t="s">
        <v>29</v>
      </c>
      <c r="N323">
        <v>1</v>
      </c>
      <c r="O323" t="s">
        <v>337</v>
      </c>
      <c r="P323" t="s">
        <v>29</v>
      </c>
      <c r="Q323" t="s">
        <v>29</v>
      </c>
      <c r="R323" t="s">
        <v>29</v>
      </c>
      <c r="S323" t="s">
        <v>29</v>
      </c>
      <c r="T323" t="s">
        <v>29</v>
      </c>
      <c r="U323" t="s">
        <v>29</v>
      </c>
      <c r="V323" t="s">
        <v>29</v>
      </c>
    </row>
    <row r="324" spans="1:22" x14ac:dyDescent="0.35">
      <c r="A324" s="1">
        <v>45441</v>
      </c>
      <c r="B324" t="s">
        <v>122</v>
      </c>
      <c r="C324" s="2">
        <v>0.94392361111111112</v>
      </c>
      <c r="D324" t="s">
        <v>877</v>
      </c>
      <c r="E324" t="s">
        <v>41</v>
      </c>
      <c r="F324" t="s">
        <v>878</v>
      </c>
      <c r="G324" t="s">
        <v>67</v>
      </c>
      <c r="H324" t="s">
        <v>173</v>
      </c>
      <c r="I324" t="s">
        <v>73</v>
      </c>
      <c r="J324">
        <v>11.5</v>
      </c>
      <c r="K324">
        <v>25.4</v>
      </c>
      <c r="L324" t="s">
        <v>29</v>
      </c>
      <c r="M324" t="s">
        <v>29</v>
      </c>
      <c r="N324" t="s">
        <v>29</v>
      </c>
      <c r="O324" t="s">
        <v>29</v>
      </c>
      <c r="P324" t="s">
        <v>29</v>
      </c>
      <c r="Q324" t="s">
        <v>29</v>
      </c>
      <c r="R324">
        <v>236</v>
      </c>
      <c r="S324">
        <v>45.17</v>
      </c>
      <c r="T324">
        <v>4.5999999999999996</v>
      </c>
      <c r="U324">
        <v>3</v>
      </c>
      <c r="V324" t="s">
        <v>38</v>
      </c>
    </row>
    <row r="325" spans="1:22" x14ac:dyDescent="0.35">
      <c r="A325" s="1">
        <v>45615</v>
      </c>
      <c r="B325" t="s">
        <v>30</v>
      </c>
      <c r="C325" s="2">
        <v>0.73790509259259263</v>
      </c>
      <c r="D325" t="s">
        <v>879</v>
      </c>
      <c r="E325" t="s">
        <v>41</v>
      </c>
      <c r="F325" t="s">
        <v>880</v>
      </c>
      <c r="G325" t="s">
        <v>67</v>
      </c>
      <c r="H325" t="s">
        <v>881</v>
      </c>
      <c r="I325" t="s">
        <v>441</v>
      </c>
      <c r="J325">
        <v>11.6</v>
      </c>
      <c r="K325">
        <v>28.4</v>
      </c>
      <c r="L325" t="s">
        <v>29</v>
      </c>
      <c r="M325" t="s">
        <v>29</v>
      </c>
      <c r="N325" t="s">
        <v>29</v>
      </c>
      <c r="O325" t="s">
        <v>29</v>
      </c>
      <c r="P325" t="s">
        <v>29</v>
      </c>
      <c r="Q325" t="s">
        <v>29</v>
      </c>
      <c r="R325">
        <v>73</v>
      </c>
      <c r="S325">
        <v>23.07</v>
      </c>
      <c r="T325">
        <v>4.5999999999999996</v>
      </c>
      <c r="U325">
        <v>4.2</v>
      </c>
      <c r="V325" t="s">
        <v>38</v>
      </c>
    </row>
    <row r="326" spans="1:22" x14ac:dyDescent="0.35">
      <c r="A326" s="1">
        <v>45623</v>
      </c>
      <c r="B326" t="s">
        <v>30</v>
      </c>
      <c r="C326" s="2">
        <v>0.3409375</v>
      </c>
      <c r="D326" t="s">
        <v>882</v>
      </c>
      <c r="E326" t="s">
        <v>41</v>
      </c>
      <c r="F326" t="s">
        <v>883</v>
      </c>
      <c r="G326" t="s">
        <v>50</v>
      </c>
      <c r="H326" t="s">
        <v>45</v>
      </c>
      <c r="I326" t="s">
        <v>177</v>
      </c>
      <c r="J326">
        <v>3.1</v>
      </c>
      <c r="K326">
        <v>44.8</v>
      </c>
      <c r="L326" t="s">
        <v>29</v>
      </c>
      <c r="M326" t="s">
        <v>29</v>
      </c>
      <c r="N326" t="s">
        <v>29</v>
      </c>
      <c r="O326" t="s">
        <v>29</v>
      </c>
      <c r="P326" t="s">
        <v>29</v>
      </c>
      <c r="Q326" t="s">
        <v>29</v>
      </c>
      <c r="R326">
        <v>355</v>
      </c>
      <c r="S326">
        <v>4.08</v>
      </c>
      <c r="T326">
        <v>4.7</v>
      </c>
      <c r="U326">
        <v>3.1</v>
      </c>
      <c r="V326" t="s">
        <v>84</v>
      </c>
    </row>
    <row r="327" spans="1:22" x14ac:dyDescent="0.35">
      <c r="A327" s="1">
        <v>45567</v>
      </c>
      <c r="B327" t="s">
        <v>47</v>
      </c>
      <c r="C327" s="2">
        <v>0.11939814814814814</v>
      </c>
      <c r="D327" t="s">
        <v>884</v>
      </c>
      <c r="E327" t="s">
        <v>41</v>
      </c>
      <c r="F327" t="s">
        <v>885</v>
      </c>
      <c r="G327" t="s">
        <v>43</v>
      </c>
      <c r="H327" t="s">
        <v>125</v>
      </c>
      <c r="I327" t="s">
        <v>270</v>
      </c>
      <c r="J327">
        <v>11.1</v>
      </c>
      <c r="K327">
        <v>23.6</v>
      </c>
      <c r="L327" t="s">
        <v>29</v>
      </c>
      <c r="M327" t="s">
        <v>29</v>
      </c>
      <c r="N327" t="s">
        <v>29</v>
      </c>
      <c r="O327" t="s">
        <v>29</v>
      </c>
      <c r="P327" t="s">
        <v>29</v>
      </c>
      <c r="Q327" t="s">
        <v>29</v>
      </c>
      <c r="R327">
        <v>663</v>
      </c>
      <c r="S327">
        <v>41.97</v>
      </c>
      <c r="T327">
        <v>3.9</v>
      </c>
      <c r="U327">
        <v>4.0999999999999996</v>
      </c>
      <c r="V327" t="s">
        <v>38</v>
      </c>
    </row>
    <row r="328" spans="1:22" x14ac:dyDescent="0.35">
      <c r="A328" s="1">
        <v>45395</v>
      </c>
      <c r="B328" t="s">
        <v>154</v>
      </c>
      <c r="C328" s="2">
        <v>0.7714699074074074</v>
      </c>
      <c r="D328" t="s">
        <v>886</v>
      </c>
      <c r="E328" t="s">
        <v>41</v>
      </c>
      <c r="F328" t="s">
        <v>887</v>
      </c>
      <c r="G328" t="s">
        <v>43</v>
      </c>
      <c r="H328" t="s">
        <v>714</v>
      </c>
      <c r="I328" t="s">
        <v>217</v>
      </c>
      <c r="J328">
        <v>2.6</v>
      </c>
      <c r="K328">
        <v>39.6</v>
      </c>
      <c r="L328" t="s">
        <v>29</v>
      </c>
      <c r="M328" t="s">
        <v>29</v>
      </c>
      <c r="N328" t="s">
        <v>29</v>
      </c>
      <c r="O328" t="s">
        <v>29</v>
      </c>
      <c r="P328" t="s">
        <v>29</v>
      </c>
      <c r="Q328" t="s">
        <v>29</v>
      </c>
      <c r="R328">
        <v>886</v>
      </c>
      <c r="S328">
        <v>38.82</v>
      </c>
      <c r="T328">
        <v>4.2</v>
      </c>
      <c r="U328">
        <v>4.3</v>
      </c>
      <c r="V328" t="s">
        <v>38</v>
      </c>
    </row>
    <row r="329" spans="1:22" x14ac:dyDescent="0.35">
      <c r="A329" s="1">
        <v>45655</v>
      </c>
      <c r="B329" t="s">
        <v>78</v>
      </c>
      <c r="C329" s="2">
        <v>0.82596064814814818</v>
      </c>
      <c r="D329" t="s">
        <v>888</v>
      </c>
      <c r="E329" t="s">
        <v>41</v>
      </c>
      <c r="F329" t="s">
        <v>889</v>
      </c>
      <c r="G329" t="s">
        <v>43</v>
      </c>
      <c r="H329" t="s">
        <v>221</v>
      </c>
      <c r="I329" t="s">
        <v>463</v>
      </c>
      <c r="J329">
        <v>7.2</v>
      </c>
      <c r="K329">
        <v>37.700000000000003</v>
      </c>
      <c r="L329" t="s">
        <v>29</v>
      </c>
      <c r="M329" t="s">
        <v>29</v>
      </c>
      <c r="N329" t="s">
        <v>29</v>
      </c>
      <c r="O329" t="s">
        <v>29</v>
      </c>
      <c r="P329" t="s">
        <v>29</v>
      </c>
      <c r="Q329" t="s">
        <v>29</v>
      </c>
      <c r="R329">
        <v>292</v>
      </c>
      <c r="S329">
        <v>30.4</v>
      </c>
      <c r="T329">
        <v>4.2</v>
      </c>
      <c r="U329">
        <v>3.7</v>
      </c>
      <c r="V329" t="s">
        <v>84</v>
      </c>
    </row>
    <row r="330" spans="1:22" x14ac:dyDescent="0.35">
      <c r="A330" s="1">
        <v>45448</v>
      </c>
      <c r="B330" t="s">
        <v>64</v>
      </c>
      <c r="C330" s="2">
        <v>0.44440972222222225</v>
      </c>
      <c r="D330" t="s">
        <v>890</v>
      </c>
      <c r="E330" t="s">
        <v>41</v>
      </c>
      <c r="F330" t="s">
        <v>891</v>
      </c>
      <c r="G330" t="s">
        <v>43</v>
      </c>
      <c r="H330" t="s">
        <v>366</v>
      </c>
      <c r="I330" t="s">
        <v>892</v>
      </c>
      <c r="J330">
        <v>2</v>
      </c>
      <c r="K330">
        <v>37.299999999999997</v>
      </c>
      <c r="L330" t="s">
        <v>29</v>
      </c>
      <c r="M330" t="s">
        <v>29</v>
      </c>
      <c r="N330" t="s">
        <v>29</v>
      </c>
      <c r="O330" t="s">
        <v>29</v>
      </c>
      <c r="P330" t="s">
        <v>29</v>
      </c>
      <c r="Q330" t="s">
        <v>29</v>
      </c>
      <c r="R330">
        <v>564</v>
      </c>
      <c r="S330">
        <v>19.78</v>
      </c>
      <c r="T330">
        <v>4.4000000000000004</v>
      </c>
      <c r="U330">
        <v>4.2</v>
      </c>
      <c r="V330" t="s">
        <v>38</v>
      </c>
    </row>
    <row r="331" spans="1:22" x14ac:dyDescent="0.35">
      <c r="A331" s="1">
        <v>45390</v>
      </c>
      <c r="B331" t="s">
        <v>154</v>
      </c>
      <c r="C331" s="2">
        <v>0.75665509259259256</v>
      </c>
      <c r="D331" t="s">
        <v>893</v>
      </c>
      <c r="E331" t="s">
        <v>93</v>
      </c>
      <c r="F331" t="s">
        <v>894</v>
      </c>
      <c r="G331" t="s">
        <v>56</v>
      </c>
      <c r="H331" t="s">
        <v>190</v>
      </c>
      <c r="I331" t="s">
        <v>106</v>
      </c>
      <c r="J331">
        <v>8.6999999999999993</v>
      </c>
      <c r="K331" t="s">
        <v>29</v>
      </c>
      <c r="L331" t="s">
        <v>29</v>
      </c>
      <c r="M331" t="s">
        <v>29</v>
      </c>
      <c r="N331">
        <v>1</v>
      </c>
      <c r="O331" t="s">
        <v>169</v>
      </c>
      <c r="P331" t="s">
        <v>29</v>
      </c>
      <c r="Q331" t="s">
        <v>29</v>
      </c>
      <c r="R331" t="s">
        <v>29</v>
      </c>
      <c r="S331" t="s">
        <v>29</v>
      </c>
      <c r="T331" t="s">
        <v>29</v>
      </c>
      <c r="U331" t="s">
        <v>29</v>
      </c>
      <c r="V331" t="s">
        <v>29</v>
      </c>
    </row>
    <row r="332" spans="1:22" x14ac:dyDescent="0.35">
      <c r="A332" s="1">
        <v>45438</v>
      </c>
      <c r="B332" t="s">
        <v>122</v>
      </c>
      <c r="C332" s="2">
        <v>0.86276620370370372</v>
      </c>
      <c r="D332" t="s">
        <v>895</v>
      </c>
      <c r="E332" t="s">
        <v>41</v>
      </c>
      <c r="F332" t="s">
        <v>896</v>
      </c>
      <c r="G332" t="s">
        <v>67</v>
      </c>
      <c r="H332" t="s">
        <v>590</v>
      </c>
      <c r="I332" t="s">
        <v>343</v>
      </c>
      <c r="J332">
        <v>11.3</v>
      </c>
      <c r="K332">
        <v>39.799999999999997</v>
      </c>
      <c r="L332" t="s">
        <v>29</v>
      </c>
      <c r="M332" t="s">
        <v>29</v>
      </c>
      <c r="N332" t="s">
        <v>29</v>
      </c>
      <c r="O332" t="s">
        <v>29</v>
      </c>
      <c r="P332" t="s">
        <v>29</v>
      </c>
      <c r="Q332" t="s">
        <v>29</v>
      </c>
      <c r="R332">
        <v>619</v>
      </c>
      <c r="S332">
        <v>47.2</v>
      </c>
      <c r="T332">
        <v>4.2</v>
      </c>
      <c r="U332">
        <v>4.3</v>
      </c>
      <c r="V332" t="s">
        <v>84</v>
      </c>
    </row>
    <row r="333" spans="1:22" x14ac:dyDescent="0.35">
      <c r="A333" s="1">
        <v>45568</v>
      </c>
      <c r="B333" t="s">
        <v>47</v>
      </c>
      <c r="C333" s="2">
        <v>0.37908564814814816</v>
      </c>
      <c r="D333" t="s">
        <v>897</v>
      </c>
      <c r="E333" t="s">
        <v>41</v>
      </c>
      <c r="F333" t="s">
        <v>898</v>
      </c>
      <c r="G333" t="s">
        <v>67</v>
      </c>
      <c r="H333" t="s">
        <v>58</v>
      </c>
      <c r="I333" t="s">
        <v>62</v>
      </c>
      <c r="J333">
        <v>2.7</v>
      </c>
      <c r="K333">
        <v>28.4</v>
      </c>
      <c r="L333" t="s">
        <v>29</v>
      </c>
      <c r="M333" t="s">
        <v>29</v>
      </c>
      <c r="N333" t="s">
        <v>29</v>
      </c>
      <c r="O333" t="s">
        <v>29</v>
      </c>
      <c r="P333" t="s">
        <v>29</v>
      </c>
      <c r="Q333" t="s">
        <v>29</v>
      </c>
      <c r="R333">
        <v>963</v>
      </c>
      <c r="S333">
        <v>17.43</v>
      </c>
      <c r="T333">
        <v>4.8</v>
      </c>
      <c r="U333">
        <v>3.8</v>
      </c>
      <c r="V333" t="s">
        <v>107</v>
      </c>
    </row>
    <row r="334" spans="1:22" x14ac:dyDescent="0.35">
      <c r="A334" s="1">
        <v>45496</v>
      </c>
      <c r="B334" t="s">
        <v>108</v>
      </c>
      <c r="C334" s="2">
        <v>7.7800925925925926E-2</v>
      </c>
      <c r="D334" t="s">
        <v>899</v>
      </c>
      <c r="E334" t="s">
        <v>41</v>
      </c>
      <c r="F334" t="s">
        <v>900</v>
      </c>
      <c r="G334" t="s">
        <v>43</v>
      </c>
      <c r="H334" t="s">
        <v>474</v>
      </c>
      <c r="I334" t="s">
        <v>126</v>
      </c>
      <c r="J334">
        <v>4.8</v>
      </c>
      <c r="K334">
        <v>33.6</v>
      </c>
      <c r="L334" t="s">
        <v>29</v>
      </c>
      <c r="M334" t="s">
        <v>29</v>
      </c>
      <c r="N334" t="s">
        <v>29</v>
      </c>
      <c r="O334" t="s">
        <v>29</v>
      </c>
      <c r="P334" t="s">
        <v>29</v>
      </c>
      <c r="Q334" t="s">
        <v>29</v>
      </c>
      <c r="R334">
        <v>427</v>
      </c>
      <c r="S334">
        <v>14.43</v>
      </c>
      <c r="T334">
        <v>4.0999999999999996</v>
      </c>
      <c r="U334">
        <v>4.5999999999999996</v>
      </c>
      <c r="V334" t="s">
        <v>38</v>
      </c>
    </row>
    <row r="335" spans="1:22" x14ac:dyDescent="0.35">
      <c r="A335" s="1">
        <v>45574</v>
      </c>
      <c r="B335" t="s">
        <v>47</v>
      </c>
      <c r="C335" s="2">
        <v>0.11456018518518518</v>
      </c>
      <c r="D335" t="s">
        <v>901</v>
      </c>
      <c r="E335" t="s">
        <v>41</v>
      </c>
      <c r="F335" t="s">
        <v>902</v>
      </c>
      <c r="G335" t="s">
        <v>43</v>
      </c>
      <c r="H335" t="s">
        <v>365</v>
      </c>
      <c r="I335" t="s">
        <v>636</v>
      </c>
      <c r="J335">
        <v>4.4000000000000004</v>
      </c>
      <c r="K335">
        <v>42.4</v>
      </c>
      <c r="L335" t="s">
        <v>29</v>
      </c>
      <c r="M335" t="s">
        <v>29</v>
      </c>
      <c r="N335" t="s">
        <v>29</v>
      </c>
      <c r="O335" t="s">
        <v>29</v>
      </c>
      <c r="P335" t="s">
        <v>29</v>
      </c>
      <c r="Q335" t="s">
        <v>29</v>
      </c>
      <c r="R335">
        <v>60</v>
      </c>
      <c r="S335">
        <v>22.92</v>
      </c>
      <c r="T335">
        <v>4.5999999999999996</v>
      </c>
      <c r="U335">
        <v>3.7</v>
      </c>
      <c r="V335" t="s">
        <v>84</v>
      </c>
    </row>
    <row r="336" spans="1:22" x14ac:dyDescent="0.35">
      <c r="A336" s="1">
        <v>45602</v>
      </c>
      <c r="B336" t="s">
        <v>30</v>
      </c>
      <c r="C336" s="2">
        <v>0.5521759259259259</v>
      </c>
      <c r="D336" t="s">
        <v>903</v>
      </c>
      <c r="E336" t="s">
        <v>41</v>
      </c>
      <c r="F336" t="s">
        <v>904</v>
      </c>
      <c r="G336" t="s">
        <v>56</v>
      </c>
      <c r="H336" t="s">
        <v>227</v>
      </c>
      <c r="I336" t="s">
        <v>438</v>
      </c>
      <c r="J336">
        <v>8</v>
      </c>
      <c r="K336">
        <v>29</v>
      </c>
      <c r="L336" t="s">
        <v>29</v>
      </c>
      <c r="M336" t="s">
        <v>29</v>
      </c>
      <c r="N336" t="s">
        <v>29</v>
      </c>
      <c r="O336" t="s">
        <v>29</v>
      </c>
      <c r="P336" t="s">
        <v>29</v>
      </c>
      <c r="Q336" t="s">
        <v>29</v>
      </c>
      <c r="R336">
        <v>697</v>
      </c>
      <c r="S336">
        <v>32.15</v>
      </c>
      <c r="T336">
        <v>3.2</v>
      </c>
      <c r="U336">
        <v>3.9</v>
      </c>
      <c r="V336" t="s">
        <v>46</v>
      </c>
    </row>
    <row r="337" spans="1:22" x14ac:dyDescent="0.35">
      <c r="A337" s="1">
        <v>45339</v>
      </c>
      <c r="B337" t="s">
        <v>59</v>
      </c>
      <c r="C337" s="2">
        <v>0.46501157407407406</v>
      </c>
      <c r="D337" t="s">
        <v>905</v>
      </c>
      <c r="E337" t="s">
        <v>41</v>
      </c>
      <c r="F337" t="s">
        <v>906</v>
      </c>
      <c r="G337" t="s">
        <v>67</v>
      </c>
      <c r="H337" t="s">
        <v>585</v>
      </c>
      <c r="I337" t="s">
        <v>103</v>
      </c>
      <c r="J337">
        <v>8.1</v>
      </c>
      <c r="K337">
        <v>35.4</v>
      </c>
      <c r="L337" t="s">
        <v>29</v>
      </c>
      <c r="M337" t="s">
        <v>29</v>
      </c>
      <c r="N337" t="s">
        <v>29</v>
      </c>
      <c r="O337" t="s">
        <v>29</v>
      </c>
      <c r="P337" t="s">
        <v>29</v>
      </c>
      <c r="Q337" t="s">
        <v>29</v>
      </c>
      <c r="R337">
        <v>953</v>
      </c>
      <c r="S337">
        <v>43.08</v>
      </c>
      <c r="T337">
        <v>4.5999999999999996</v>
      </c>
      <c r="U337">
        <v>4.9000000000000004</v>
      </c>
      <c r="V337" t="s">
        <v>38</v>
      </c>
    </row>
    <row r="338" spans="1:22" x14ac:dyDescent="0.35">
      <c r="A338" s="1">
        <v>45523</v>
      </c>
      <c r="B338" t="s">
        <v>39</v>
      </c>
      <c r="C338" s="2">
        <v>0.69123842592592588</v>
      </c>
      <c r="D338" t="s">
        <v>907</v>
      </c>
      <c r="E338" t="s">
        <v>41</v>
      </c>
      <c r="F338" t="s">
        <v>908</v>
      </c>
      <c r="G338" t="s">
        <v>67</v>
      </c>
      <c r="H338" t="s">
        <v>320</v>
      </c>
      <c r="I338" t="s">
        <v>355</v>
      </c>
      <c r="J338">
        <v>5.9</v>
      </c>
      <c r="K338">
        <v>37.299999999999997</v>
      </c>
      <c r="L338" t="s">
        <v>29</v>
      </c>
      <c r="M338" t="s">
        <v>29</v>
      </c>
      <c r="N338" t="s">
        <v>29</v>
      </c>
      <c r="O338" t="s">
        <v>29</v>
      </c>
      <c r="P338" t="s">
        <v>29</v>
      </c>
      <c r="Q338" t="s">
        <v>29</v>
      </c>
      <c r="R338">
        <v>342</v>
      </c>
      <c r="S338">
        <v>48.91</v>
      </c>
      <c r="T338">
        <v>4</v>
      </c>
      <c r="U338">
        <v>4.8</v>
      </c>
      <c r="V338" t="s">
        <v>84</v>
      </c>
    </row>
    <row r="339" spans="1:22" x14ac:dyDescent="0.35">
      <c r="A339" s="1">
        <v>45481</v>
      </c>
      <c r="B339" t="s">
        <v>108</v>
      </c>
      <c r="C339" s="2">
        <v>0.57866898148148149</v>
      </c>
      <c r="D339" t="s">
        <v>909</v>
      </c>
      <c r="E339" t="s">
        <v>93</v>
      </c>
      <c r="F339" t="s">
        <v>910</v>
      </c>
      <c r="G339" t="s">
        <v>34</v>
      </c>
      <c r="H339" t="s">
        <v>407</v>
      </c>
      <c r="I339" t="s">
        <v>106</v>
      </c>
      <c r="J339">
        <v>9.8000000000000007</v>
      </c>
      <c r="K339" t="s">
        <v>29</v>
      </c>
      <c r="L339" t="s">
        <v>29</v>
      </c>
      <c r="M339" t="s">
        <v>29</v>
      </c>
      <c r="N339">
        <v>1</v>
      </c>
      <c r="O339" t="s">
        <v>115</v>
      </c>
      <c r="P339" t="s">
        <v>29</v>
      </c>
      <c r="Q339" t="s">
        <v>29</v>
      </c>
      <c r="R339" t="s">
        <v>29</v>
      </c>
      <c r="S339" t="s">
        <v>29</v>
      </c>
      <c r="T339" t="s">
        <v>29</v>
      </c>
      <c r="U339" t="s">
        <v>29</v>
      </c>
      <c r="V339" t="s">
        <v>29</v>
      </c>
    </row>
    <row r="340" spans="1:22" x14ac:dyDescent="0.35">
      <c r="A340" s="1">
        <v>45523</v>
      </c>
      <c r="B340" t="s">
        <v>39</v>
      </c>
      <c r="C340" s="2">
        <v>0.58719907407407412</v>
      </c>
      <c r="D340" t="s">
        <v>911</v>
      </c>
      <c r="E340" t="s">
        <v>41</v>
      </c>
      <c r="F340" t="s">
        <v>912</v>
      </c>
      <c r="G340" t="s">
        <v>67</v>
      </c>
      <c r="H340" t="s">
        <v>193</v>
      </c>
      <c r="I340" t="s">
        <v>425</v>
      </c>
      <c r="J340">
        <v>7</v>
      </c>
      <c r="K340">
        <v>17.899999999999999</v>
      </c>
      <c r="L340" t="s">
        <v>29</v>
      </c>
      <c r="M340" t="s">
        <v>29</v>
      </c>
      <c r="N340" t="s">
        <v>29</v>
      </c>
      <c r="O340" t="s">
        <v>29</v>
      </c>
      <c r="P340" t="s">
        <v>29</v>
      </c>
      <c r="Q340" t="s">
        <v>29</v>
      </c>
      <c r="R340">
        <v>935</v>
      </c>
      <c r="S340">
        <v>32.46</v>
      </c>
      <c r="T340">
        <v>4.4000000000000004</v>
      </c>
      <c r="U340">
        <v>3.9</v>
      </c>
      <c r="V340" t="s">
        <v>107</v>
      </c>
    </row>
    <row r="341" spans="1:22" x14ac:dyDescent="0.35">
      <c r="A341" s="1">
        <v>45425</v>
      </c>
      <c r="B341" t="s">
        <v>122</v>
      </c>
      <c r="C341" s="2">
        <v>0.79718750000000005</v>
      </c>
      <c r="D341" t="s">
        <v>913</v>
      </c>
      <c r="E341" t="s">
        <v>41</v>
      </c>
      <c r="F341" t="s">
        <v>914</v>
      </c>
      <c r="G341" t="s">
        <v>43</v>
      </c>
      <c r="H341" t="s">
        <v>355</v>
      </c>
      <c r="I341" t="s">
        <v>266</v>
      </c>
      <c r="J341">
        <v>6.1</v>
      </c>
      <c r="K341">
        <v>24</v>
      </c>
      <c r="L341" t="s">
        <v>29</v>
      </c>
      <c r="M341" t="s">
        <v>29</v>
      </c>
      <c r="N341" t="s">
        <v>29</v>
      </c>
      <c r="O341" t="s">
        <v>29</v>
      </c>
      <c r="P341" t="s">
        <v>29</v>
      </c>
      <c r="Q341" t="s">
        <v>29</v>
      </c>
      <c r="R341">
        <v>566</v>
      </c>
      <c r="S341">
        <v>11.44</v>
      </c>
      <c r="T341">
        <v>4.8</v>
      </c>
      <c r="U341">
        <v>3.7</v>
      </c>
      <c r="V341" t="s">
        <v>46</v>
      </c>
    </row>
    <row r="342" spans="1:22" x14ac:dyDescent="0.35">
      <c r="A342" s="1">
        <v>45350</v>
      </c>
      <c r="B342" t="s">
        <v>59</v>
      </c>
      <c r="C342" s="2">
        <v>0.66422453703703699</v>
      </c>
      <c r="D342" t="s">
        <v>915</v>
      </c>
      <c r="E342" t="s">
        <v>41</v>
      </c>
      <c r="F342" t="s">
        <v>916</v>
      </c>
      <c r="G342" t="s">
        <v>56</v>
      </c>
      <c r="H342" t="s">
        <v>217</v>
      </c>
      <c r="I342" t="s">
        <v>305</v>
      </c>
      <c r="J342">
        <v>9.6</v>
      </c>
      <c r="K342">
        <v>34.6</v>
      </c>
      <c r="L342" t="s">
        <v>29</v>
      </c>
      <c r="M342" t="s">
        <v>29</v>
      </c>
      <c r="N342" t="s">
        <v>29</v>
      </c>
      <c r="O342" t="s">
        <v>29</v>
      </c>
      <c r="P342" t="s">
        <v>29</v>
      </c>
      <c r="Q342" t="s">
        <v>29</v>
      </c>
      <c r="R342">
        <v>459</v>
      </c>
      <c r="S342">
        <v>42.18</v>
      </c>
      <c r="T342">
        <v>3.7</v>
      </c>
      <c r="U342">
        <v>3.7</v>
      </c>
      <c r="V342" t="s">
        <v>149</v>
      </c>
    </row>
    <row r="343" spans="1:22" x14ac:dyDescent="0.35">
      <c r="A343" s="1">
        <v>45356</v>
      </c>
      <c r="B343" t="s">
        <v>22</v>
      </c>
      <c r="C343" s="2">
        <v>0.54260416666666667</v>
      </c>
      <c r="D343" t="s">
        <v>917</v>
      </c>
      <c r="E343" t="s">
        <v>117</v>
      </c>
      <c r="F343" t="s">
        <v>918</v>
      </c>
      <c r="G343" t="s">
        <v>43</v>
      </c>
      <c r="H343" t="s">
        <v>438</v>
      </c>
      <c r="I343" t="s">
        <v>613</v>
      </c>
      <c r="J343">
        <v>13.3</v>
      </c>
      <c r="K343" t="s">
        <v>29</v>
      </c>
      <c r="L343">
        <v>1</v>
      </c>
      <c r="M343" t="s">
        <v>224</v>
      </c>
      <c r="N343" t="s">
        <v>29</v>
      </c>
      <c r="O343" t="s">
        <v>29</v>
      </c>
      <c r="P343" t="s">
        <v>29</v>
      </c>
      <c r="Q343" t="s">
        <v>29</v>
      </c>
      <c r="R343" t="s">
        <v>29</v>
      </c>
      <c r="S343" t="s">
        <v>29</v>
      </c>
      <c r="T343" t="s">
        <v>29</v>
      </c>
      <c r="U343" t="s">
        <v>29</v>
      </c>
      <c r="V343" t="s">
        <v>29</v>
      </c>
    </row>
    <row r="344" spans="1:22" x14ac:dyDescent="0.35">
      <c r="A344" s="1">
        <v>45606</v>
      </c>
      <c r="B344" t="s">
        <v>30</v>
      </c>
      <c r="C344" s="2">
        <v>0.45401620370370371</v>
      </c>
      <c r="D344" t="s">
        <v>919</v>
      </c>
      <c r="E344" t="s">
        <v>93</v>
      </c>
      <c r="F344" t="s">
        <v>920</v>
      </c>
      <c r="G344" t="s">
        <v>34</v>
      </c>
      <c r="H344" t="s">
        <v>227</v>
      </c>
      <c r="I344" t="s">
        <v>441</v>
      </c>
      <c r="J344">
        <v>11.1</v>
      </c>
      <c r="K344" t="s">
        <v>29</v>
      </c>
      <c r="L344" t="s">
        <v>29</v>
      </c>
      <c r="M344" t="s">
        <v>29</v>
      </c>
      <c r="N344">
        <v>1</v>
      </c>
      <c r="O344" t="s">
        <v>169</v>
      </c>
      <c r="P344" t="s">
        <v>29</v>
      </c>
      <c r="Q344" t="s">
        <v>29</v>
      </c>
      <c r="R344" t="s">
        <v>29</v>
      </c>
      <c r="S344" t="s">
        <v>29</v>
      </c>
      <c r="T344" t="s">
        <v>29</v>
      </c>
      <c r="U344" t="s">
        <v>29</v>
      </c>
      <c r="V344" t="s">
        <v>29</v>
      </c>
    </row>
    <row r="345" spans="1:22" x14ac:dyDescent="0.35">
      <c r="A345" s="1">
        <v>45453</v>
      </c>
      <c r="B345" t="s">
        <v>64</v>
      </c>
      <c r="C345" s="2">
        <v>0.72248842592592588</v>
      </c>
      <c r="D345" t="s">
        <v>921</v>
      </c>
      <c r="E345" t="s">
        <v>41</v>
      </c>
      <c r="F345" t="s">
        <v>922</v>
      </c>
      <c r="G345" t="s">
        <v>67</v>
      </c>
      <c r="H345" t="s">
        <v>665</v>
      </c>
      <c r="I345" t="s">
        <v>217</v>
      </c>
      <c r="J345">
        <v>5.2</v>
      </c>
      <c r="K345">
        <v>18.3</v>
      </c>
      <c r="L345" t="s">
        <v>29</v>
      </c>
      <c r="M345" t="s">
        <v>29</v>
      </c>
      <c r="N345" t="s">
        <v>29</v>
      </c>
      <c r="O345" t="s">
        <v>29</v>
      </c>
      <c r="P345" t="s">
        <v>29</v>
      </c>
      <c r="Q345" t="s">
        <v>29</v>
      </c>
      <c r="R345">
        <v>401</v>
      </c>
      <c r="S345">
        <v>40.159999999999997</v>
      </c>
      <c r="T345">
        <v>4.0999999999999996</v>
      </c>
      <c r="U345">
        <v>4.2</v>
      </c>
      <c r="V345" t="s">
        <v>38</v>
      </c>
    </row>
    <row r="346" spans="1:22" x14ac:dyDescent="0.35">
      <c r="A346" s="1">
        <v>45486</v>
      </c>
      <c r="B346" t="s">
        <v>108</v>
      </c>
      <c r="C346" s="2">
        <v>0.84236111111111112</v>
      </c>
      <c r="D346" t="s">
        <v>923</v>
      </c>
      <c r="E346" t="s">
        <v>41</v>
      </c>
      <c r="F346" t="s">
        <v>924</v>
      </c>
      <c r="G346" t="s">
        <v>146</v>
      </c>
      <c r="H346" t="s">
        <v>136</v>
      </c>
      <c r="I346" t="s">
        <v>190</v>
      </c>
      <c r="J346">
        <v>4.7</v>
      </c>
      <c r="K346">
        <v>34.799999999999997</v>
      </c>
      <c r="L346" t="s">
        <v>29</v>
      </c>
      <c r="M346" t="s">
        <v>29</v>
      </c>
      <c r="N346" t="s">
        <v>29</v>
      </c>
      <c r="O346" t="s">
        <v>29</v>
      </c>
      <c r="P346" t="s">
        <v>29</v>
      </c>
      <c r="Q346" t="s">
        <v>29</v>
      </c>
      <c r="R346">
        <v>509</v>
      </c>
      <c r="S346">
        <v>4.01</v>
      </c>
      <c r="T346">
        <v>4.3</v>
      </c>
      <c r="U346">
        <v>4.9000000000000004</v>
      </c>
      <c r="V346" t="s">
        <v>84</v>
      </c>
    </row>
    <row r="347" spans="1:22" x14ac:dyDescent="0.35">
      <c r="A347" s="1">
        <v>45486</v>
      </c>
      <c r="B347" t="s">
        <v>108</v>
      </c>
      <c r="C347" s="2">
        <v>0.37319444444444444</v>
      </c>
      <c r="D347" t="s">
        <v>925</v>
      </c>
      <c r="E347" t="s">
        <v>93</v>
      </c>
      <c r="F347" t="s">
        <v>926</v>
      </c>
      <c r="G347" t="s">
        <v>67</v>
      </c>
      <c r="H347" t="s">
        <v>412</v>
      </c>
      <c r="I347" t="s">
        <v>248</v>
      </c>
      <c r="J347">
        <v>9.8000000000000007</v>
      </c>
      <c r="K347" t="s">
        <v>29</v>
      </c>
      <c r="L347" t="s">
        <v>29</v>
      </c>
      <c r="M347" t="s">
        <v>29</v>
      </c>
      <c r="N347">
        <v>1</v>
      </c>
      <c r="O347" t="s">
        <v>115</v>
      </c>
      <c r="P347" t="s">
        <v>29</v>
      </c>
      <c r="Q347" t="s">
        <v>29</v>
      </c>
      <c r="R347" t="s">
        <v>29</v>
      </c>
      <c r="S347" t="s">
        <v>29</v>
      </c>
      <c r="T347" t="s">
        <v>29</v>
      </c>
      <c r="U347" t="s">
        <v>29</v>
      </c>
      <c r="V347" t="s">
        <v>29</v>
      </c>
    </row>
    <row r="348" spans="1:22" x14ac:dyDescent="0.35">
      <c r="A348" s="1">
        <v>45307</v>
      </c>
      <c r="B348" t="s">
        <v>150</v>
      </c>
      <c r="C348" s="2">
        <v>0.10496527777777778</v>
      </c>
      <c r="D348" t="s">
        <v>927</v>
      </c>
      <c r="E348" t="s">
        <v>41</v>
      </c>
      <c r="F348" t="s">
        <v>928</v>
      </c>
      <c r="G348" t="s">
        <v>26</v>
      </c>
      <c r="H348" t="s">
        <v>249</v>
      </c>
      <c r="I348" t="s">
        <v>320</v>
      </c>
      <c r="J348">
        <v>10.3</v>
      </c>
      <c r="K348">
        <v>41.2</v>
      </c>
      <c r="L348" t="s">
        <v>29</v>
      </c>
      <c r="M348" t="s">
        <v>29</v>
      </c>
      <c r="N348" t="s">
        <v>29</v>
      </c>
      <c r="O348" t="s">
        <v>29</v>
      </c>
      <c r="P348" t="s">
        <v>29</v>
      </c>
      <c r="Q348" t="s">
        <v>29</v>
      </c>
      <c r="R348">
        <v>905</v>
      </c>
      <c r="S348">
        <v>15.59</v>
      </c>
      <c r="T348">
        <v>4.9000000000000004</v>
      </c>
      <c r="U348">
        <v>4.5999999999999996</v>
      </c>
      <c r="V348" t="s">
        <v>38</v>
      </c>
    </row>
    <row r="349" spans="1:22" x14ac:dyDescent="0.35">
      <c r="A349" s="1">
        <v>45442</v>
      </c>
      <c r="B349" t="s">
        <v>122</v>
      </c>
      <c r="C349" s="2">
        <v>0.67988425925925922</v>
      </c>
      <c r="D349" t="s">
        <v>929</v>
      </c>
      <c r="E349" t="s">
        <v>41</v>
      </c>
      <c r="F349" t="s">
        <v>930</v>
      </c>
      <c r="G349" t="s">
        <v>67</v>
      </c>
      <c r="H349" t="s">
        <v>103</v>
      </c>
      <c r="I349" t="s">
        <v>299</v>
      </c>
      <c r="J349">
        <v>10.8</v>
      </c>
      <c r="K349">
        <v>16.5</v>
      </c>
      <c r="L349" t="s">
        <v>29</v>
      </c>
      <c r="M349" t="s">
        <v>29</v>
      </c>
      <c r="N349" t="s">
        <v>29</v>
      </c>
      <c r="O349" t="s">
        <v>29</v>
      </c>
      <c r="P349" t="s">
        <v>29</v>
      </c>
      <c r="Q349" t="s">
        <v>29</v>
      </c>
      <c r="R349">
        <v>312</v>
      </c>
      <c r="S349">
        <v>47.72</v>
      </c>
      <c r="T349">
        <v>4.7</v>
      </c>
      <c r="U349">
        <v>4.2</v>
      </c>
      <c r="V349" t="s">
        <v>84</v>
      </c>
    </row>
    <row r="350" spans="1:22" x14ac:dyDescent="0.35">
      <c r="A350" s="1">
        <v>45477</v>
      </c>
      <c r="B350" t="s">
        <v>108</v>
      </c>
      <c r="C350" s="2">
        <v>0.71846064814814814</v>
      </c>
      <c r="D350" t="s">
        <v>931</v>
      </c>
      <c r="E350" t="s">
        <v>24</v>
      </c>
      <c r="F350" t="s">
        <v>932</v>
      </c>
      <c r="G350" t="s">
        <v>56</v>
      </c>
      <c r="H350" t="s">
        <v>636</v>
      </c>
      <c r="I350" t="s">
        <v>52</v>
      </c>
      <c r="J350" t="s">
        <v>29</v>
      </c>
      <c r="K350" t="s">
        <v>29</v>
      </c>
      <c r="L350" t="s">
        <v>29</v>
      </c>
      <c r="M350" t="s">
        <v>29</v>
      </c>
      <c r="N350" t="s">
        <v>29</v>
      </c>
      <c r="O350" t="s">
        <v>29</v>
      </c>
      <c r="P350" t="s">
        <v>29</v>
      </c>
      <c r="Q350" t="s">
        <v>29</v>
      </c>
      <c r="R350" t="s">
        <v>29</v>
      </c>
      <c r="S350" t="s">
        <v>29</v>
      </c>
      <c r="T350" t="s">
        <v>29</v>
      </c>
      <c r="U350" t="s">
        <v>29</v>
      </c>
      <c r="V350" t="s">
        <v>29</v>
      </c>
    </row>
    <row r="351" spans="1:22" x14ac:dyDescent="0.35">
      <c r="A351" s="1">
        <v>45421</v>
      </c>
      <c r="B351" t="s">
        <v>122</v>
      </c>
      <c r="C351" s="2">
        <v>0.38615740740740739</v>
      </c>
      <c r="D351" t="s">
        <v>933</v>
      </c>
      <c r="E351" t="s">
        <v>41</v>
      </c>
      <c r="F351" t="s">
        <v>934</v>
      </c>
      <c r="G351" t="s">
        <v>43</v>
      </c>
      <c r="H351" t="s">
        <v>254</v>
      </c>
      <c r="I351" t="s">
        <v>935</v>
      </c>
      <c r="J351">
        <v>11.6</v>
      </c>
      <c r="K351">
        <v>20.9</v>
      </c>
      <c r="L351" t="s">
        <v>29</v>
      </c>
      <c r="M351" t="s">
        <v>29</v>
      </c>
      <c r="N351" t="s">
        <v>29</v>
      </c>
      <c r="O351" t="s">
        <v>29</v>
      </c>
      <c r="P351" t="s">
        <v>29</v>
      </c>
      <c r="Q351" t="s">
        <v>29</v>
      </c>
      <c r="R351">
        <v>103</v>
      </c>
      <c r="S351">
        <v>34.36</v>
      </c>
      <c r="T351">
        <v>4.2</v>
      </c>
      <c r="U351">
        <v>4.5999999999999996</v>
      </c>
      <c r="V351" t="s">
        <v>38</v>
      </c>
    </row>
    <row r="352" spans="1:22" x14ac:dyDescent="0.35">
      <c r="A352" s="1">
        <v>45326</v>
      </c>
      <c r="B352" t="s">
        <v>59</v>
      </c>
      <c r="C352" s="2">
        <v>0.89530092592592592</v>
      </c>
      <c r="D352" t="s">
        <v>936</v>
      </c>
      <c r="E352" t="s">
        <v>41</v>
      </c>
      <c r="F352" t="s">
        <v>937</v>
      </c>
      <c r="G352" t="s">
        <v>56</v>
      </c>
      <c r="H352" t="s">
        <v>172</v>
      </c>
      <c r="I352" t="s">
        <v>327</v>
      </c>
      <c r="J352">
        <v>7.4</v>
      </c>
      <c r="K352">
        <v>16</v>
      </c>
      <c r="L352" t="s">
        <v>29</v>
      </c>
      <c r="M352" t="s">
        <v>29</v>
      </c>
      <c r="N352" t="s">
        <v>29</v>
      </c>
      <c r="O352" t="s">
        <v>29</v>
      </c>
      <c r="P352" t="s">
        <v>29</v>
      </c>
      <c r="Q352" t="s">
        <v>29</v>
      </c>
      <c r="R352">
        <v>425</v>
      </c>
      <c r="S352">
        <v>11.93</v>
      </c>
      <c r="T352">
        <v>4.2</v>
      </c>
      <c r="U352">
        <v>4.3</v>
      </c>
      <c r="V352" t="s">
        <v>84</v>
      </c>
    </row>
    <row r="353" spans="1:22" x14ac:dyDescent="0.35">
      <c r="A353" s="1">
        <v>45449</v>
      </c>
      <c r="B353" t="s">
        <v>64</v>
      </c>
      <c r="C353" s="2">
        <v>0.74230324074074072</v>
      </c>
      <c r="D353" t="s">
        <v>938</v>
      </c>
      <c r="E353" t="s">
        <v>41</v>
      </c>
      <c r="F353" t="s">
        <v>939</v>
      </c>
      <c r="G353" t="s">
        <v>50</v>
      </c>
      <c r="H353" t="s">
        <v>305</v>
      </c>
      <c r="I353" t="s">
        <v>72</v>
      </c>
      <c r="J353">
        <v>11.3</v>
      </c>
      <c r="K353">
        <v>44.8</v>
      </c>
      <c r="L353" t="s">
        <v>29</v>
      </c>
      <c r="M353" t="s">
        <v>29</v>
      </c>
      <c r="N353" t="s">
        <v>29</v>
      </c>
      <c r="O353" t="s">
        <v>29</v>
      </c>
      <c r="P353" t="s">
        <v>29</v>
      </c>
      <c r="Q353" t="s">
        <v>29</v>
      </c>
      <c r="R353">
        <v>309</v>
      </c>
      <c r="S353">
        <v>42.82</v>
      </c>
      <c r="T353">
        <v>4.3</v>
      </c>
      <c r="U353">
        <v>4.7</v>
      </c>
      <c r="V353" t="s">
        <v>38</v>
      </c>
    </row>
    <row r="354" spans="1:22" x14ac:dyDescent="0.35">
      <c r="A354" s="1">
        <v>45503</v>
      </c>
      <c r="B354" t="s">
        <v>108</v>
      </c>
      <c r="C354" s="2">
        <v>0.88460648148148147</v>
      </c>
      <c r="D354" t="s">
        <v>940</v>
      </c>
      <c r="E354" t="s">
        <v>32</v>
      </c>
      <c r="F354" t="s">
        <v>941</v>
      </c>
      <c r="G354" t="s">
        <v>67</v>
      </c>
      <c r="H354" t="s">
        <v>238</v>
      </c>
      <c r="I354" t="s">
        <v>140</v>
      </c>
      <c r="J354">
        <v>8.1</v>
      </c>
      <c r="K354">
        <v>22.6</v>
      </c>
      <c r="L354" t="s">
        <v>29</v>
      </c>
      <c r="M354" t="s">
        <v>29</v>
      </c>
      <c r="N354" t="s">
        <v>29</v>
      </c>
      <c r="O354" t="s">
        <v>29</v>
      </c>
      <c r="P354">
        <v>1</v>
      </c>
      <c r="Q354" t="s">
        <v>83</v>
      </c>
      <c r="R354">
        <v>103</v>
      </c>
      <c r="S354">
        <v>12.63</v>
      </c>
      <c r="T354" t="s">
        <v>29</v>
      </c>
      <c r="U354" t="s">
        <v>29</v>
      </c>
      <c r="V354" t="s">
        <v>38</v>
      </c>
    </row>
    <row r="355" spans="1:22" x14ac:dyDescent="0.35">
      <c r="A355" s="1">
        <v>45527</v>
      </c>
      <c r="B355" t="s">
        <v>39</v>
      </c>
      <c r="C355" s="2">
        <v>0.63599537037037035</v>
      </c>
      <c r="D355" t="s">
        <v>942</v>
      </c>
      <c r="E355" t="s">
        <v>41</v>
      </c>
      <c r="F355" t="s">
        <v>943</v>
      </c>
      <c r="G355" t="s">
        <v>43</v>
      </c>
      <c r="H355" t="s">
        <v>305</v>
      </c>
      <c r="I355" t="s">
        <v>636</v>
      </c>
      <c r="J355">
        <v>8</v>
      </c>
      <c r="K355">
        <v>23.6</v>
      </c>
      <c r="L355" t="s">
        <v>29</v>
      </c>
      <c r="M355" t="s">
        <v>29</v>
      </c>
      <c r="N355" t="s">
        <v>29</v>
      </c>
      <c r="O355" t="s">
        <v>29</v>
      </c>
      <c r="P355" t="s">
        <v>29</v>
      </c>
      <c r="Q355" t="s">
        <v>29</v>
      </c>
      <c r="R355">
        <v>379</v>
      </c>
      <c r="S355">
        <v>43.14</v>
      </c>
      <c r="T355">
        <v>4.3</v>
      </c>
      <c r="U355">
        <v>3.9</v>
      </c>
      <c r="V355" t="s">
        <v>38</v>
      </c>
    </row>
    <row r="356" spans="1:22" x14ac:dyDescent="0.35">
      <c r="A356" s="1">
        <v>45413</v>
      </c>
      <c r="B356" t="s">
        <v>122</v>
      </c>
      <c r="C356" s="2">
        <v>0.7867939814814815</v>
      </c>
      <c r="D356" t="s">
        <v>944</v>
      </c>
      <c r="E356" t="s">
        <v>93</v>
      </c>
      <c r="F356" t="s">
        <v>945</v>
      </c>
      <c r="G356" t="s">
        <v>43</v>
      </c>
      <c r="H356" t="s">
        <v>498</v>
      </c>
      <c r="I356" t="s">
        <v>45</v>
      </c>
      <c r="J356">
        <v>6.4</v>
      </c>
      <c r="K356" t="s">
        <v>29</v>
      </c>
      <c r="L356" t="s">
        <v>29</v>
      </c>
      <c r="M356" t="s">
        <v>29</v>
      </c>
      <c r="N356">
        <v>1</v>
      </c>
      <c r="O356" t="s">
        <v>97</v>
      </c>
      <c r="P356" t="s">
        <v>29</v>
      </c>
      <c r="Q356" t="s">
        <v>29</v>
      </c>
      <c r="R356" t="s">
        <v>29</v>
      </c>
      <c r="S356" t="s">
        <v>29</v>
      </c>
      <c r="T356" t="s">
        <v>29</v>
      </c>
      <c r="U356" t="s">
        <v>29</v>
      </c>
      <c r="V356" t="s">
        <v>29</v>
      </c>
    </row>
    <row r="357" spans="1:22" x14ac:dyDescent="0.35">
      <c r="A357" s="1">
        <v>45369</v>
      </c>
      <c r="B357" t="s">
        <v>22</v>
      </c>
      <c r="C357" s="2">
        <v>0.72407407407407409</v>
      </c>
      <c r="D357" t="s">
        <v>946</v>
      </c>
      <c r="E357" t="s">
        <v>24</v>
      </c>
      <c r="F357" t="s">
        <v>947</v>
      </c>
      <c r="G357" t="s">
        <v>43</v>
      </c>
      <c r="H357" t="s">
        <v>36</v>
      </c>
      <c r="I357" t="s">
        <v>132</v>
      </c>
      <c r="J357" t="s">
        <v>29</v>
      </c>
      <c r="K357" t="s">
        <v>29</v>
      </c>
      <c r="L357" t="s">
        <v>29</v>
      </c>
      <c r="M357" t="s">
        <v>29</v>
      </c>
      <c r="N357" t="s">
        <v>29</v>
      </c>
      <c r="O357" t="s">
        <v>29</v>
      </c>
      <c r="P357" t="s">
        <v>29</v>
      </c>
      <c r="Q357" t="s">
        <v>29</v>
      </c>
      <c r="R357" t="s">
        <v>29</v>
      </c>
      <c r="S357" t="s">
        <v>29</v>
      </c>
      <c r="T357" t="s">
        <v>29</v>
      </c>
      <c r="U357" t="s">
        <v>29</v>
      </c>
      <c r="V357" t="s">
        <v>29</v>
      </c>
    </row>
    <row r="358" spans="1:22" x14ac:dyDescent="0.35">
      <c r="A358" s="1">
        <v>45551</v>
      </c>
      <c r="B358" t="s">
        <v>53</v>
      </c>
      <c r="C358" s="2">
        <v>0.51396990740740744</v>
      </c>
      <c r="D358" t="s">
        <v>948</v>
      </c>
      <c r="E358" t="s">
        <v>41</v>
      </c>
      <c r="F358" t="s">
        <v>949</v>
      </c>
      <c r="G358" t="s">
        <v>67</v>
      </c>
      <c r="H358" t="s">
        <v>277</v>
      </c>
      <c r="I358" t="s">
        <v>202</v>
      </c>
      <c r="J358">
        <v>9.6</v>
      </c>
      <c r="K358">
        <v>39.799999999999997</v>
      </c>
      <c r="L358" t="s">
        <v>29</v>
      </c>
      <c r="M358" t="s">
        <v>29</v>
      </c>
      <c r="N358" t="s">
        <v>29</v>
      </c>
      <c r="O358" t="s">
        <v>29</v>
      </c>
      <c r="P358" t="s">
        <v>29</v>
      </c>
      <c r="Q358" t="s">
        <v>29</v>
      </c>
      <c r="R358">
        <v>623</v>
      </c>
      <c r="S358">
        <v>40.590000000000003</v>
      </c>
      <c r="T358">
        <v>4.3</v>
      </c>
      <c r="U358">
        <v>3.8</v>
      </c>
      <c r="V358" t="s">
        <v>38</v>
      </c>
    </row>
    <row r="359" spans="1:22" x14ac:dyDescent="0.35">
      <c r="A359" s="1">
        <v>45651</v>
      </c>
      <c r="B359" t="s">
        <v>78</v>
      </c>
      <c r="C359" s="2">
        <v>0.75497685185185182</v>
      </c>
      <c r="D359" t="s">
        <v>950</v>
      </c>
      <c r="E359" t="s">
        <v>41</v>
      </c>
      <c r="F359" t="s">
        <v>951</v>
      </c>
      <c r="G359" t="s">
        <v>67</v>
      </c>
      <c r="H359" t="s">
        <v>346</v>
      </c>
      <c r="I359" t="s">
        <v>125</v>
      </c>
      <c r="J359">
        <v>14.3</v>
      </c>
      <c r="K359">
        <v>19.600000000000001</v>
      </c>
      <c r="L359" t="s">
        <v>29</v>
      </c>
      <c r="M359" t="s">
        <v>29</v>
      </c>
      <c r="N359" t="s">
        <v>29</v>
      </c>
      <c r="O359" t="s">
        <v>29</v>
      </c>
      <c r="P359" t="s">
        <v>29</v>
      </c>
      <c r="Q359" t="s">
        <v>29</v>
      </c>
      <c r="R359">
        <v>743</v>
      </c>
      <c r="S359">
        <v>20.32</v>
      </c>
      <c r="T359">
        <v>4.4000000000000004</v>
      </c>
      <c r="U359">
        <v>5</v>
      </c>
      <c r="V359" t="s">
        <v>84</v>
      </c>
    </row>
    <row r="360" spans="1:22" x14ac:dyDescent="0.35">
      <c r="A360" s="1">
        <v>45498</v>
      </c>
      <c r="B360" t="s">
        <v>108</v>
      </c>
      <c r="C360" s="2">
        <v>0.61084490740740738</v>
      </c>
      <c r="D360" t="s">
        <v>952</v>
      </c>
      <c r="E360" t="s">
        <v>41</v>
      </c>
      <c r="F360" t="s">
        <v>953</v>
      </c>
      <c r="G360" t="s">
        <v>50</v>
      </c>
      <c r="H360" t="s">
        <v>73</v>
      </c>
      <c r="I360" t="s">
        <v>63</v>
      </c>
      <c r="J360">
        <v>2.1</v>
      </c>
      <c r="K360">
        <v>23.1</v>
      </c>
      <c r="L360" t="s">
        <v>29</v>
      </c>
      <c r="M360" t="s">
        <v>29</v>
      </c>
      <c r="N360" t="s">
        <v>29</v>
      </c>
      <c r="O360" t="s">
        <v>29</v>
      </c>
      <c r="P360" t="s">
        <v>29</v>
      </c>
      <c r="Q360" t="s">
        <v>29</v>
      </c>
      <c r="R360">
        <v>647</v>
      </c>
      <c r="S360">
        <v>48.8</v>
      </c>
      <c r="T360">
        <v>4.4000000000000004</v>
      </c>
      <c r="U360">
        <v>4.3</v>
      </c>
      <c r="V360" t="s">
        <v>107</v>
      </c>
    </row>
    <row r="361" spans="1:22" x14ac:dyDescent="0.35">
      <c r="A361" s="1">
        <v>45355</v>
      </c>
      <c r="B361" t="s">
        <v>22</v>
      </c>
      <c r="C361" s="2">
        <v>0.78087962962962965</v>
      </c>
      <c r="D361" t="s">
        <v>954</v>
      </c>
      <c r="E361" t="s">
        <v>117</v>
      </c>
      <c r="F361" t="s">
        <v>955</v>
      </c>
      <c r="G361" t="s">
        <v>43</v>
      </c>
      <c r="H361" t="s">
        <v>76</v>
      </c>
      <c r="I361" t="s">
        <v>28</v>
      </c>
      <c r="J361">
        <v>14.1</v>
      </c>
      <c r="K361" t="s">
        <v>29</v>
      </c>
      <c r="L361">
        <v>1</v>
      </c>
      <c r="M361" t="s">
        <v>224</v>
      </c>
      <c r="N361" t="s">
        <v>29</v>
      </c>
      <c r="O361" t="s">
        <v>29</v>
      </c>
      <c r="P361" t="s">
        <v>29</v>
      </c>
      <c r="Q361" t="s">
        <v>29</v>
      </c>
      <c r="R361" t="s">
        <v>29</v>
      </c>
      <c r="S361" t="s">
        <v>29</v>
      </c>
      <c r="T361" t="s">
        <v>29</v>
      </c>
      <c r="U361" t="s">
        <v>29</v>
      </c>
      <c r="V361" t="s">
        <v>29</v>
      </c>
    </row>
    <row r="362" spans="1:22" x14ac:dyDescent="0.35">
      <c r="A362" s="1">
        <v>45595</v>
      </c>
      <c r="B362" t="s">
        <v>47</v>
      </c>
      <c r="C362" s="2">
        <v>0.15459490740740742</v>
      </c>
      <c r="D362" t="s">
        <v>956</v>
      </c>
      <c r="E362" t="s">
        <v>41</v>
      </c>
      <c r="F362" t="s">
        <v>957</v>
      </c>
      <c r="G362" t="s">
        <v>67</v>
      </c>
      <c r="H362" t="s">
        <v>324</v>
      </c>
      <c r="I362" t="s">
        <v>560</v>
      </c>
      <c r="J362">
        <v>7.3</v>
      </c>
      <c r="K362">
        <v>30.1</v>
      </c>
      <c r="L362" t="s">
        <v>29</v>
      </c>
      <c r="M362" t="s">
        <v>29</v>
      </c>
      <c r="N362" t="s">
        <v>29</v>
      </c>
      <c r="O362" t="s">
        <v>29</v>
      </c>
      <c r="P362" t="s">
        <v>29</v>
      </c>
      <c r="Q362" t="s">
        <v>29</v>
      </c>
      <c r="R362">
        <v>1364</v>
      </c>
      <c r="S362">
        <v>42.16</v>
      </c>
      <c r="T362">
        <v>3.4</v>
      </c>
      <c r="U362">
        <v>3.3</v>
      </c>
      <c r="V362" t="s">
        <v>84</v>
      </c>
    </row>
    <row r="363" spans="1:22" x14ac:dyDescent="0.35">
      <c r="A363" s="1">
        <v>45497</v>
      </c>
      <c r="B363" t="s">
        <v>108</v>
      </c>
      <c r="C363" s="2">
        <v>0.2257986111111111</v>
      </c>
      <c r="D363" t="s">
        <v>958</v>
      </c>
      <c r="E363" t="s">
        <v>93</v>
      </c>
      <c r="F363" t="s">
        <v>959</v>
      </c>
      <c r="G363" t="s">
        <v>34</v>
      </c>
      <c r="H363" t="s">
        <v>343</v>
      </c>
      <c r="I363" t="s">
        <v>417</v>
      </c>
      <c r="J363">
        <v>7.6</v>
      </c>
      <c r="K363" t="s">
        <v>29</v>
      </c>
      <c r="L363" t="s">
        <v>29</v>
      </c>
      <c r="M363" t="s">
        <v>29</v>
      </c>
      <c r="N363">
        <v>1</v>
      </c>
      <c r="O363" t="s">
        <v>115</v>
      </c>
      <c r="P363" t="s">
        <v>29</v>
      </c>
      <c r="Q363" t="s">
        <v>29</v>
      </c>
      <c r="R363" t="s">
        <v>29</v>
      </c>
      <c r="S363" t="s">
        <v>29</v>
      </c>
      <c r="T363" t="s">
        <v>29</v>
      </c>
      <c r="U363" t="s">
        <v>29</v>
      </c>
      <c r="V363" t="s">
        <v>29</v>
      </c>
    </row>
    <row r="364" spans="1:22" x14ac:dyDescent="0.35">
      <c r="A364" s="1">
        <v>45425</v>
      </c>
      <c r="B364" t="s">
        <v>122</v>
      </c>
      <c r="C364" s="2">
        <v>0.72901620370370368</v>
      </c>
      <c r="D364" t="s">
        <v>960</v>
      </c>
      <c r="E364" t="s">
        <v>93</v>
      </c>
      <c r="F364" t="s">
        <v>961</v>
      </c>
      <c r="G364" t="s">
        <v>67</v>
      </c>
      <c r="H364" t="s">
        <v>255</v>
      </c>
      <c r="I364" t="s">
        <v>962</v>
      </c>
      <c r="J364">
        <v>6.8</v>
      </c>
      <c r="K364" t="s">
        <v>29</v>
      </c>
      <c r="L364" t="s">
        <v>29</v>
      </c>
      <c r="M364" t="s">
        <v>29</v>
      </c>
      <c r="N364">
        <v>1</v>
      </c>
      <c r="O364" t="s">
        <v>97</v>
      </c>
      <c r="P364" t="s">
        <v>29</v>
      </c>
      <c r="Q364" t="s">
        <v>29</v>
      </c>
      <c r="R364" t="s">
        <v>29</v>
      </c>
      <c r="S364" t="s">
        <v>29</v>
      </c>
      <c r="T364" t="s">
        <v>29</v>
      </c>
      <c r="U364" t="s">
        <v>29</v>
      </c>
      <c r="V364" t="s">
        <v>29</v>
      </c>
    </row>
    <row r="365" spans="1:22" x14ac:dyDescent="0.35">
      <c r="A365" s="1">
        <v>45564</v>
      </c>
      <c r="B365" t="s">
        <v>53</v>
      </c>
      <c r="C365" s="2">
        <v>0.7974768518518518</v>
      </c>
      <c r="D365" t="s">
        <v>963</v>
      </c>
      <c r="E365" t="s">
        <v>41</v>
      </c>
      <c r="F365" t="s">
        <v>964</v>
      </c>
      <c r="G365" t="s">
        <v>43</v>
      </c>
      <c r="H365" t="s">
        <v>377</v>
      </c>
      <c r="I365" t="s">
        <v>636</v>
      </c>
      <c r="J365">
        <v>3.6</v>
      </c>
      <c r="K365">
        <v>24.8</v>
      </c>
      <c r="L365" t="s">
        <v>29</v>
      </c>
      <c r="M365" t="s">
        <v>29</v>
      </c>
      <c r="N365" t="s">
        <v>29</v>
      </c>
      <c r="O365" t="s">
        <v>29</v>
      </c>
      <c r="P365" t="s">
        <v>29</v>
      </c>
      <c r="Q365" t="s">
        <v>29</v>
      </c>
      <c r="R365">
        <v>890</v>
      </c>
      <c r="S365">
        <v>47.98</v>
      </c>
      <c r="T365">
        <v>3.6</v>
      </c>
      <c r="U365">
        <v>4.7</v>
      </c>
      <c r="V365" t="s">
        <v>38</v>
      </c>
    </row>
    <row r="366" spans="1:22" x14ac:dyDescent="0.35">
      <c r="A366" s="1">
        <v>45650</v>
      </c>
      <c r="B366" t="s">
        <v>78</v>
      </c>
      <c r="C366" s="2">
        <v>0.75474537037037037</v>
      </c>
      <c r="D366" t="s">
        <v>965</v>
      </c>
      <c r="E366" t="s">
        <v>41</v>
      </c>
      <c r="F366" t="s">
        <v>966</v>
      </c>
      <c r="G366" t="s">
        <v>34</v>
      </c>
      <c r="H366" t="s">
        <v>449</v>
      </c>
      <c r="I366" t="s">
        <v>435</v>
      </c>
      <c r="J366">
        <v>5.0999999999999996</v>
      </c>
      <c r="K366">
        <v>44</v>
      </c>
      <c r="L366" t="s">
        <v>29</v>
      </c>
      <c r="M366" t="s">
        <v>29</v>
      </c>
      <c r="N366" t="s">
        <v>29</v>
      </c>
      <c r="O366" t="s">
        <v>29</v>
      </c>
      <c r="P366" t="s">
        <v>29</v>
      </c>
      <c r="Q366" t="s">
        <v>29</v>
      </c>
      <c r="R366">
        <v>162</v>
      </c>
      <c r="S366">
        <v>46.78</v>
      </c>
      <c r="T366">
        <v>3.8</v>
      </c>
      <c r="U366">
        <v>3.2</v>
      </c>
      <c r="V366" t="s">
        <v>84</v>
      </c>
    </row>
    <row r="367" spans="1:22" x14ac:dyDescent="0.35">
      <c r="A367" s="1">
        <v>45619</v>
      </c>
      <c r="B367" t="s">
        <v>30</v>
      </c>
      <c r="C367" s="2">
        <v>0.60974537037037035</v>
      </c>
      <c r="D367" t="s">
        <v>967</v>
      </c>
      <c r="E367" t="s">
        <v>41</v>
      </c>
      <c r="F367" t="s">
        <v>968</v>
      </c>
      <c r="G367" t="s">
        <v>43</v>
      </c>
      <c r="H367" t="s">
        <v>536</v>
      </c>
      <c r="I367" t="s">
        <v>489</v>
      </c>
      <c r="J367">
        <v>14.6</v>
      </c>
      <c r="K367">
        <v>42.3</v>
      </c>
      <c r="L367" t="s">
        <v>29</v>
      </c>
      <c r="M367" t="s">
        <v>29</v>
      </c>
      <c r="N367" t="s">
        <v>29</v>
      </c>
      <c r="O367" t="s">
        <v>29</v>
      </c>
      <c r="P367" t="s">
        <v>29</v>
      </c>
      <c r="Q367" t="s">
        <v>29</v>
      </c>
      <c r="R367">
        <v>242</v>
      </c>
      <c r="S367">
        <v>27.68</v>
      </c>
      <c r="T367">
        <v>4.3</v>
      </c>
      <c r="U367">
        <v>4.5</v>
      </c>
      <c r="V367" t="s">
        <v>46</v>
      </c>
    </row>
    <row r="368" spans="1:22" x14ac:dyDescent="0.35">
      <c r="A368" s="1">
        <v>45344</v>
      </c>
      <c r="B368" t="s">
        <v>59</v>
      </c>
      <c r="C368" s="2">
        <v>0.80481481481481476</v>
      </c>
      <c r="D368" t="s">
        <v>969</v>
      </c>
      <c r="E368" t="s">
        <v>41</v>
      </c>
      <c r="F368" t="s">
        <v>970</v>
      </c>
      <c r="G368" t="s">
        <v>50</v>
      </c>
      <c r="H368" t="s">
        <v>386</v>
      </c>
      <c r="I368" t="s">
        <v>207</v>
      </c>
      <c r="J368">
        <v>2.9</v>
      </c>
      <c r="K368">
        <v>44.7</v>
      </c>
      <c r="L368" t="s">
        <v>29</v>
      </c>
      <c r="M368" t="s">
        <v>29</v>
      </c>
      <c r="N368" t="s">
        <v>29</v>
      </c>
      <c r="O368" t="s">
        <v>29</v>
      </c>
      <c r="P368" t="s">
        <v>29</v>
      </c>
      <c r="Q368" t="s">
        <v>29</v>
      </c>
      <c r="R368">
        <v>342</v>
      </c>
      <c r="S368">
        <v>27.62</v>
      </c>
      <c r="T368">
        <v>4.5999999999999996</v>
      </c>
      <c r="U368">
        <v>4.5</v>
      </c>
      <c r="V368" t="s">
        <v>38</v>
      </c>
    </row>
    <row r="369" spans="1:22" x14ac:dyDescent="0.35">
      <c r="A369" s="1">
        <v>45302</v>
      </c>
      <c r="B369" t="s">
        <v>150</v>
      </c>
      <c r="C369" s="2">
        <v>0.68</v>
      </c>
      <c r="D369" t="s">
        <v>971</v>
      </c>
      <c r="E369" t="s">
        <v>41</v>
      </c>
      <c r="F369" t="s">
        <v>972</v>
      </c>
      <c r="G369" t="s">
        <v>67</v>
      </c>
      <c r="H369" t="s">
        <v>441</v>
      </c>
      <c r="I369" t="s">
        <v>57</v>
      </c>
      <c r="J369">
        <v>5.2</v>
      </c>
      <c r="K369">
        <v>26.2</v>
      </c>
      <c r="L369" t="s">
        <v>29</v>
      </c>
      <c r="M369" t="s">
        <v>29</v>
      </c>
      <c r="N369" t="s">
        <v>29</v>
      </c>
      <c r="O369" t="s">
        <v>29</v>
      </c>
      <c r="P369" t="s">
        <v>29</v>
      </c>
      <c r="Q369" t="s">
        <v>29</v>
      </c>
      <c r="R369">
        <v>316</v>
      </c>
      <c r="S369">
        <v>17.920000000000002</v>
      </c>
      <c r="T369">
        <v>4</v>
      </c>
      <c r="U369">
        <v>4.7</v>
      </c>
      <c r="V369" t="s">
        <v>38</v>
      </c>
    </row>
    <row r="370" spans="1:22" x14ac:dyDescent="0.35">
      <c r="A370" s="1">
        <v>45530</v>
      </c>
      <c r="B370" t="s">
        <v>39</v>
      </c>
      <c r="C370" s="2">
        <v>0.90361111111111114</v>
      </c>
      <c r="D370" t="s">
        <v>973</v>
      </c>
      <c r="E370" t="s">
        <v>41</v>
      </c>
      <c r="F370" t="s">
        <v>974</v>
      </c>
      <c r="G370" t="s">
        <v>43</v>
      </c>
      <c r="H370" t="s">
        <v>183</v>
      </c>
      <c r="I370" t="s">
        <v>245</v>
      </c>
      <c r="J370">
        <v>2.7</v>
      </c>
      <c r="K370">
        <v>34.6</v>
      </c>
      <c r="L370" t="s">
        <v>29</v>
      </c>
      <c r="M370" t="s">
        <v>29</v>
      </c>
      <c r="N370" t="s">
        <v>29</v>
      </c>
      <c r="O370" t="s">
        <v>29</v>
      </c>
      <c r="P370" t="s">
        <v>29</v>
      </c>
      <c r="Q370" t="s">
        <v>29</v>
      </c>
      <c r="R370">
        <v>1286</v>
      </c>
      <c r="S370">
        <v>30.53</v>
      </c>
      <c r="T370">
        <v>4.5</v>
      </c>
      <c r="U370">
        <v>4.2</v>
      </c>
      <c r="V370" t="s">
        <v>107</v>
      </c>
    </row>
    <row r="371" spans="1:22" x14ac:dyDescent="0.35">
      <c r="A371" s="1">
        <v>45384</v>
      </c>
      <c r="B371" t="s">
        <v>154</v>
      </c>
      <c r="C371" s="2">
        <v>0.5875231481481481</v>
      </c>
      <c r="D371" t="s">
        <v>975</v>
      </c>
      <c r="E371" t="s">
        <v>93</v>
      </c>
      <c r="F371" t="s">
        <v>976</v>
      </c>
      <c r="G371" t="s">
        <v>43</v>
      </c>
      <c r="H371" t="s">
        <v>627</v>
      </c>
      <c r="I371" t="s">
        <v>201</v>
      </c>
      <c r="J371">
        <v>6.3</v>
      </c>
      <c r="K371" t="s">
        <v>29</v>
      </c>
      <c r="L371" t="s">
        <v>29</v>
      </c>
      <c r="M371" t="s">
        <v>29</v>
      </c>
      <c r="N371">
        <v>1</v>
      </c>
      <c r="O371" t="s">
        <v>337</v>
      </c>
      <c r="P371" t="s">
        <v>29</v>
      </c>
      <c r="Q371" t="s">
        <v>29</v>
      </c>
      <c r="R371" t="s">
        <v>29</v>
      </c>
      <c r="S371" t="s">
        <v>29</v>
      </c>
      <c r="T371" t="s">
        <v>29</v>
      </c>
      <c r="U371" t="s">
        <v>29</v>
      </c>
      <c r="V371" t="s">
        <v>29</v>
      </c>
    </row>
    <row r="372" spans="1:22" x14ac:dyDescent="0.35">
      <c r="A372" s="1">
        <v>45627</v>
      </c>
      <c r="B372" t="s">
        <v>78</v>
      </c>
      <c r="C372" s="2">
        <v>0.70130787037037035</v>
      </c>
      <c r="D372" t="s">
        <v>977</v>
      </c>
      <c r="E372" t="s">
        <v>32</v>
      </c>
      <c r="F372" t="s">
        <v>978</v>
      </c>
      <c r="G372" t="s">
        <v>56</v>
      </c>
      <c r="H372" t="s">
        <v>36</v>
      </c>
      <c r="I372" t="s">
        <v>531</v>
      </c>
      <c r="J372">
        <v>2.5</v>
      </c>
      <c r="K372">
        <v>18.899999999999999</v>
      </c>
      <c r="L372" t="s">
        <v>29</v>
      </c>
      <c r="M372" t="s">
        <v>29</v>
      </c>
      <c r="N372" t="s">
        <v>29</v>
      </c>
      <c r="O372" t="s">
        <v>29</v>
      </c>
      <c r="P372">
        <v>1</v>
      </c>
      <c r="Q372" t="s">
        <v>37</v>
      </c>
      <c r="R372">
        <v>274</v>
      </c>
      <c r="S372">
        <v>14.78</v>
      </c>
      <c r="T372" t="s">
        <v>29</v>
      </c>
      <c r="U372" t="s">
        <v>29</v>
      </c>
      <c r="V372" t="s">
        <v>149</v>
      </c>
    </row>
    <row r="373" spans="1:22" x14ac:dyDescent="0.35">
      <c r="A373" s="1">
        <v>45327</v>
      </c>
      <c r="B373" t="s">
        <v>59</v>
      </c>
      <c r="C373" s="2">
        <v>0.80901620370370375</v>
      </c>
      <c r="D373" t="s">
        <v>979</v>
      </c>
      <c r="E373" t="s">
        <v>24</v>
      </c>
      <c r="F373" t="s">
        <v>980</v>
      </c>
      <c r="G373" t="s">
        <v>50</v>
      </c>
      <c r="H373" t="s">
        <v>511</v>
      </c>
      <c r="I373" t="s">
        <v>549</v>
      </c>
      <c r="J373" t="s">
        <v>29</v>
      </c>
      <c r="K373" t="s">
        <v>29</v>
      </c>
      <c r="L373" t="s">
        <v>29</v>
      </c>
      <c r="M373" t="s">
        <v>29</v>
      </c>
      <c r="N373" t="s">
        <v>29</v>
      </c>
      <c r="O373" t="s">
        <v>29</v>
      </c>
      <c r="P373" t="s">
        <v>29</v>
      </c>
      <c r="Q373" t="s">
        <v>29</v>
      </c>
      <c r="R373" t="s">
        <v>29</v>
      </c>
      <c r="S373" t="s">
        <v>29</v>
      </c>
      <c r="T373" t="s">
        <v>29</v>
      </c>
      <c r="U373" t="s">
        <v>29</v>
      </c>
      <c r="V373" t="s">
        <v>29</v>
      </c>
    </row>
    <row r="374" spans="1:22" x14ac:dyDescent="0.35">
      <c r="A374" s="1">
        <v>45357</v>
      </c>
      <c r="B374" t="s">
        <v>22</v>
      </c>
      <c r="C374" s="2">
        <v>0.75358796296296293</v>
      </c>
      <c r="D374" t="s">
        <v>981</v>
      </c>
      <c r="E374" t="s">
        <v>41</v>
      </c>
      <c r="F374" t="s">
        <v>982</v>
      </c>
      <c r="G374" t="s">
        <v>56</v>
      </c>
      <c r="H374" t="s">
        <v>498</v>
      </c>
      <c r="I374" t="s">
        <v>193</v>
      </c>
      <c r="J374">
        <v>6.6</v>
      </c>
      <c r="K374">
        <v>29.8</v>
      </c>
      <c r="L374" t="s">
        <v>29</v>
      </c>
      <c r="M374" t="s">
        <v>29</v>
      </c>
      <c r="N374" t="s">
        <v>29</v>
      </c>
      <c r="O374" t="s">
        <v>29</v>
      </c>
      <c r="P374" t="s">
        <v>29</v>
      </c>
      <c r="Q374" t="s">
        <v>29</v>
      </c>
      <c r="R374">
        <v>689</v>
      </c>
      <c r="S374">
        <v>45.97</v>
      </c>
      <c r="T374">
        <v>3.9</v>
      </c>
      <c r="U374">
        <v>4.9000000000000004</v>
      </c>
      <c r="V374" t="s">
        <v>38</v>
      </c>
    </row>
    <row r="375" spans="1:22" x14ac:dyDescent="0.35">
      <c r="A375" s="1">
        <v>45557</v>
      </c>
      <c r="B375" t="s">
        <v>53</v>
      </c>
      <c r="C375" s="2">
        <v>0.66197916666666667</v>
      </c>
      <c r="D375" t="s">
        <v>983</v>
      </c>
      <c r="E375" t="s">
        <v>93</v>
      </c>
      <c r="F375" t="s">
        <v>984</v>
      </c>
      <c r="G375" t="s">
        <v>43</v>
      </c>
      <c r="H375" t="s">
        <v>374</v>
      </c>
      <c r="I375" t="s">
        <v>800</v>
      </c>
      <c r="J375">
        <v>5</v>
      </c>
      <c r="K375" t="s">
        <v>29</v>
      </c>
      <c r="L375" t="s">
        <v>29</v>
      </c>
      <c r="M375" t="s">
        <v>29</v>
      </c>
      <c r="N375">
        <v>1</v>
      </c>
      <c r="O375" t="s">
        <v>169</v>
      </c>
      <c r="P375" t="s">
        <v>29</v>
      </c>
      <c r="Q375" t="s">
        <v>29</v>
      </c>
      <c r="R375" t="s">
        <v>29</v>
      </c>
      <c r="S375" t="s">
        <v>29</v>
      </c>
      <c r="T375" t="s">
        <v>29</v>
      </c>
      <c r="U375" t="s">
        <v>29</v>
      </c>
      <c r="V375" t="s">
        <v>29</v>
      </c>
    </row>
    <row r="376" spans="1:22" x14ac:dyDescent="0.35">
      <c r="A376" s="1">
        <v>45497</v>
      </c>
      <c r="B376" t="s">
        <v>108</v>
      </c>
      <c r="C376" s="2">
        <v>0.97822916666666671</v>
      </c>
      <c r="D376" t="s">
        <v>985</v>
      </c>
      <c r="E376" t="s">
        <v>93</v>
      </c>
      <c r="F376" t="s">
        <v>986</v>
      </c>
      <c r="G376" t="s">
        <v>26</v>
      </c>
      <c r="H376" t="s">
        <v>73</v>
      </c>
      <c r="I376" t="s">
        <v>111</v>
      </c>
      <c r="J376">
        <v>8.4</v>
      </c>
      <c r="K376" t="s">
        <v>29</v>
      </c>
      <c r="L376" t="s">
        <v>29</v>
      </c>
      <c r="M376" t="s">
        <v>29</v>
      </c>
      <c r="N376">
        <v>1</v>
      </c>
      <c r="O376" t="s">
        <v>115</v>
      </c>
      <c r="P376" t="s">
        <v>29</v>
      </c>
      <c r="Q376" t="s">
        <v>29</v>
      </c>
      <c r="R376" t="s">
        <v>29</v>
      </c>
      <c r="S376" t="s">
        <v>29</v>
      </c>
      <c r="T376" t="s">
        <v>29</v>
      </c>
      <c r="U376" t="s">
        <v>29</v>
      </c>
      <c r="V376" t="s">
        <v>29</v>
      </c>
    </row>
    <row r="377" spans="1:22" x14ac:dyDescent="0.35">
      <c r="A377" s="1">
        <v>45406</v>
      </c>
      <c r="B377" t="s">
        <v>154</v>
      </c>
      <c r="C377" s="2">
        <v>0.20271990740740742</v>
      </c>
      <c r="D377" t="s">
        <v>987</v>
      </c>
      <c r="E377" t="s">
        <v>41</v>
      </c>
      <c r="F377" t="s">
        <v>988</v>
      </c>
      <c r="G377" t="s">
        <v>50</v>
      </c>
      <c r="H377" t="s">
        <v>119</v>
      </c>
      <c r="I377" t="s">
        <v>346</v>
      </c>
      <c r="J377">
        <v>4.7</v>
      </c>
      <c r="K377">
        <v>15.6</v>
      </c>
      <c r="L377" t="s">
        <v>29</v>
      </c>
      <c r="M377" t="s">
        <v>29</v>
      </c>
      <c r="N377" t="s">
        <v>29</v>
      </c>
      <c r="O377" t="s">
        <v>29</v>
      </c>
      <c r="P377" t="s">
        <v>29</v>
      </c>
      <c r="Q377" t="s">
        <v>29</v>
      </c>
      <c r="R377">
        <v>504</v>
      </c>
      <c r="S377">
        <v>24.06</v>
      </c>
      <c r="T377">
        <v>4.7</v>
      </c>
      <c r="U377">
        <v>5</v>
      </c>
      <c r="V377" t="s">
        <v>107</v>
      </c>
    </row>
    <row r="378" spans="1:22" x14ac:dyDescent="0.35">
      <c r="A378" s="1">
        <v>45394</v>
      </c>
      <c r="B378" t="s">
        <v>154</v>
      </c>
      <c r="C378" s="2">
        <v>0.38180555555555556</v>
      </c>
      <c r="D378" t="s">
        <v>989</v>
      </c>
      <c r="E378" t="s">
        <v>41</v>
      </c>
      <c r="F378" t="s">
        <v>990</v>
      </c>
      <c r="G378" t="s">
        <v>34</v>
      </c>
      <c r="H378" t="s">
        <v>474</v>
      </c>
      <c r="I378" t="s">
        <v>217</v>
      </c>
      <c r="J378">
        <v>10.8</v>
      </c>
      <c r="K378">
        <v>17.600000000000001</v>
      </c>
      <c r="L378" t="s">
        <v>29</v>
      </c>
      <c r="M378" t="s">
        <v>29</v>
      </c>
      <c r="N378" t="s">
        <v>29</v>
      </c>
      <c r="O378" t="s">
        <v>29</v>
      </c>
      <c r="P378" t="s">
        <v>29</v>
      </c>
      <c r="Q378" t="s">
        <v>29</v>
      </c>
      <c r="R378">
        <v>231</v>
      </c>
      <c r="S378">
        <v>9.44</v>
      </c>
      <c r="T378">
        <v>4.0999999999999996</v>
      </c>
      <c r="U378">
        <v>4.5</v>
      </c>
      <c r="V378" t="s">
        <v>107</v>
      </c>
    </row>
    <row r="379" spans="1:22" x14ac:dyDescent="0.35">
      <c r="A379" s="1">
        <v>45654</v>
      </c>
      <c r="B379" t="s">
        <v>78</v>
      </c>
      <c r="C379" s="2">
        <v>0.15682870370370369</v>
      </c>
      <c r="D379" t="s">
        <v>991</v>
      </c>
      <c r="E379" t="s">
        <v>41</v>
      </c>
      <c r="F379" t="s">
        <v>992</v>
      </c>
      <c r="G379" t="s">
        <v>50</v>
      </c>
      <c r="H379" t="s">
        <v>129</v>
      </c>
      <c r="I379" t="s">
        <v>355</v>
      </c>
      <c r="J379">
        <v>15</v>
      </c>
      <c r="K379">
        <v>29.1</v>
      </c>
      <c r="L379" t="s">
        <v>29</v>
      </c>
      <c r="M379" t="s">
        <v>29</v>
      </c>
      <c r="N379" t="s">
        <v>29</v>
      </c>
      <c r="O379" t="s">
        <v>29</v>
      </c>
      <c r="P379" t="s">
        <v>29</v>
      </c>
      <c r="Q379" t="s">
        <v>29</v>
      </c>
      <c r="R379">
        <v>824</v>
      </c>
      <c r="S379">
        <v>24.98</v>
      </c>
      <c r="T379">
        <v>4.4000000000000004</v>
      </c>
      <c r="U379">
        <v>4.2</v>
      </c>
      <c r="V379" t="s">
        <v>38</v>
      </c>
    </row>
    <row r="380" spans="1:22" x14ac:dyDescent="0.35">
      <c r="A380" s="1">
        <v>45544</v>
      </c>
      <c r="B380" t="s">
        <v>53</v>
      </c>
      <c r="C380" s="2">
        <v>0.89278935185185182</v>
      </c>
      <c r="D380" t="s">
        <v>993</v>
      </c>
      <c r="E380" t="s">
        <v>41</v>
      </c>
      <c r="F380" t="s">
        <v>994</v>
      </c>
      <c r="G380" t="s">
        <v>146</v>
      </c>
      <c r="H380" t="s">
        <v>58</v>
      </c>
      <c r="I380" t="s">
        <v>435</v>
      </c>
      <c r="J380">
        <v>12.5</v>
      </c>
      <c r="K380">
        <v>15.4</v>
      </c>
      <c r="L380" t="s">
        <v>29</v>
      </c>
      <c r="M380" t="s">
        <v>29</v>
      </c>
      <c r="N380" t="s">
        <v>29</v>
      </c>
      <c r="O380" t="s">
        <v>29</v>
      </c>
      <c r="P380" t="s">
        <v>29</v>
      </c>
      <c r="Q380" t="s">
        <v>29</v>
      </c>
      <c r="R380">
        <v>478</v>
      </c>
      <c r="S380">
        <v>10.78</v>
      </c>
      <c r="T380">
        <v>3.9</v>
      </c>
      <c r="U380">
        <v>4.9000000000000004</v>
      </c>
      <c r="V380" t="s">
        <v>107</v>
      </c>
    </row>
    <row r="381" spans="1:22" x14ac:dyDescent="0.35">
      <c r="A381" s="1">
        <v>45367</v>
      </c>
      <c r="B381" t="s">
        <v>22</v>
      </c>
      <c r="C381" s="2">
        <v>0.6017824074074074</v>
      </c>
      <c r="D381" t="s">
        <v>995</v>
      </c>
      <c r="E381" t="s">
        <v>41</v>
      </c>
      <c r="F381" t="s">
        <v>996</v>
      </c>
      <c r="G381" t="s">
        <v>56</v>
      </c>
      <c r="H381" t="s">
        <v>210</v>
      </c>
      <c r="I381" t="s">
        <v>242</v>
      </c>
      <c r="J381">
        <v>6.9</v>
      </c>
      <c r="K381">
        <v>29.7</v>
      </c>
      <c r="L381" t="s">
        <v>29</v>
      </c>
      <c r="M381" t="s">
        <v>29</v>
      </c>
      <c r="N381" t="s">
        <v>29</v>
      </c>
      <c r="O381" t="s">
        <v>29</v>
      </c>
      <c r="P381" t="s">
        <v>29</v>
      </c>
      <c r="Q381" t="s">
        <v>29</v>
      </c>
      <c r="R381">
        <v>432</v>
      </c>
      <c r="S381">
        <v>40.590000000000003</v>
      </c>
      <c r="T381">
        <v>4.4000000000000004</v>
      </c>
      <c r="U381">
        <v>4.3</v>
      </c>
      <c r="V381" t="s">
        <v>46</v>
      </c>
    </row>
    <row r="382" spans="1:22" x14ac:dyDescent="0.35">
      <c r="A382" s="1">
        <v>45412</v>
      </c>
      <c r="B382" t="s">
        <v>154</v>
      </c>
      <c r="C382" s="2">
        <v>0.48282407407407407</v>
      </c>
      <c r="D382" t="s">
        <v>997</v>
      </c>
      <c r="E382" t="s">
        <v>41</v>
      </c>
      <c r="F382" t="s">
        <v>998</v>
      </c>
      <c r="G382" t="s">
        <v>56</v>
      </c>
      <c r="H382" t="s">
        <v>153</v>
      </c>
      <c r="I382" t="s">
        <v>81</v>
      </c>
      <c r="J382">
        <v>6.6</v>
      </c>
      <c r="K382">
        <v>19.100000000000001</v>
      </c>
      <c r="L382" t="s">
        <v>29</v>
      </c>
      <c r="M382" t="s">
        <v>29</v>
      </c>
      <c r="N382" t="s">
        <v>29</v>
      </c>
      <c r="O382" t="s">
        <v>29</v>
      </c>
      <c r="P382" t="s">
        <v>29</v>
      </c>
      <c r="Q382" t="s">
        <v>29</v>
      </c>
      <c r="R382">
        <v>606</v>
      </c>
      <c r="S382">
        <v>5.75</v>
      </c>
      <c r="T382">
        <v>4.2</v>
      </c>
      <c r="U382">
        <v>4.5999999999999996</v>
      </c>
      <c r="V382" t="s">
        <v>38</v>
      </c>
    </row>
    <row r="383" spans="1:22" x14ac:dyDescent="0.35">
      <c r="A383" s="1">
        <v>45516</v>
      </c>
      <c r="B383" t="s">
        <v>39</v>
      </c>
      <c r="C383" s="2">
        <v>0.70769675925925923</v>
      </c>
      <c r="D383" t="s">
        <v>999</v>
      </c>
      <c r="E383" t="s">
        <v>41</v>
      </c>
      <c r="F383" t="s">
        <v>1000</v>
      </c>
      <c r="G383" t="s">
        <v>43</v>
      </c>
      <c r="H383" t="s">
        <v>217</v>
      </c>
      <c r="I383" t="s">
        <v>323</v>
      </c>
      <c r="J383">
        <v>7.5</v>
      </c>
      <c r="K383">
        <v>18.100000000000001</v>
      </c>
      <c r="L383" t="s">
        <v>29</v>
      </c>
      <c r="M383" t="s">
        <v>29</v>
      </c>
      <c r="N383" t="s">
        <v>29</v>
      </c>
      <c r="O383" t="s">
        <v>29</v>
      </c>
      <c r="P383" t="s">
        <v>29</v>
      </c>
      <c r="Q383" t="s">
        <v>29</v>
      </c>
      <c r="R383">
        <v>328</v>
      </c>
      <c r="S383">
        <v>42.66</v>
      </c>
      <c r="T383">
        <v>3.4</v>
      </c>
      <c r="U383">
        <v>4.9000000000000004</v>
      </c>
      <c r="V383" t="s">
        <v>38</v>
      </c>
    </row>
    <row r="384" spans="1:22" x14ac:dyDescent="0.35">
      <c r="A384" s="1">
        <v>45586</v>
      </c>
      <c r="B384" t="s">
        <v>47</v>
      </c>
      <c r="C384" s="2">
        <v>0.25425925925925924</v>
      </c>
      <c r="D384" t="s">
        <v>1001</v>
      </c>
      <c r="E384" t="s">
        <v>117</v>
      </c>
      <c r="F384" t="s">
        <v>1002</v>
      </c>
      <c r="G384" t="s">
        <v>50</v>
      </c>
      <c r="H384" t="s">
        <v>299</v>
      </c>
      <c r="I384" t="s">
        <v>365</v>
      </c>
      <c r="J384">
        <v>14.9</v>
      </c>
      <c r="K384" t="s">
        <v>29</v>
      </c>
      <c r="L384">
        <v>1</v>
      </c>
      <c r="M384" t="s">
        <v>378</v>
      </c>
      <c r="N384" t="s">
        <v>29</v>
      </c>
      <c r="O384" t="s">
        <v>29</v>
      </c>
      <c r="P384" t="s">
        <v>29</v>
      </c>
      <c r="Q384" t="s">
        <v>29</v>
      </c>
      <c r="R384" t="s">
        <v>29</v>
      </c>
      <c r="S384" t="s">
        <v>29</v>
      </c>
      <c r="T384" t="s">
        <v>29</v>
      </c>
      <c r="U384" t="s">
        <v>29</v>
      </c>
      <c r="V384" t="s">
        <v>29</v>
      </c>
    </row>
    <row r="385" spans="1:22" x14ac:dyDescent="0.35">
      <c r="A385" s="1">
        <v>45580</v>
      </c>
      <c r="B385" t="s">
        <v>47</v>
      </c>
      <c r="C385" s="2">
        <v>0.47574074074074074</v>
      </c>
      <c r="D385" t="s">
        <v>1003</v>
      </c>
      <c r="E385" t="s">
        <v>41</v>
      </c>
      <c r="F385" t="s">
        <v>1004</v>
      </c>
      <c r="G385" t="s">
        <v>50</v>
      </c>
      <c r="H385" t="s">
        <v>161</v>
      </c>
      <c r="I385" t="s">
        <v>391</v>
      </c>
      <c r="J385">
        <v>2.9</v>
      </c>
      <c r="K385">
        <v>38.299999999999997</v>
      </c>
      <c r="L385" t="s">
        <v>29</v>
      </c>
      <c r="M385" t="s">
        <v>29</v>
      </c>
      <c r="N385" t="s">
        <v>29</v>
      </c>
      <c r="O385" t="s">
        <v>29</v>
      </c>
      <c r="P385" t="s">
        <v>29</v>
      </c>
      <c r="Q385" t="s">
        <v>29</v>
      </c>
      <c r="R385">
        <v>156</v>
      </c>
      <c r="S385">
        <v>36.130000000000003</v>
      </c>
      <c r="T385">
        <v>4.3</v>
      </c>
      <c r="U385">
        <v>4.3</v>
      </c>
      <c r="V385" t="s">
        <v>38</v>
      </c>
    </row>
    <row r="386" spans="1:22" x14ac:dyDescent="0.35">
      <c r="A386" s="1">
        <v>45357</v>
      </c>
      <c r="B386" t="s">
        <v>22</v>
      </c>
      <c r="C386" s="2">
        <v>0.4926388888888889</v>
      </c>
      <c r="D386" t="s">
        <v>1005</v>
      </c>
      <c r="E386" t="s">
        <v>41</v>
      </c>
      <c r="F386" t="s">
        <v>1006</v>
      </c>
      <c r="G386" t="s">
        <v>34</v>
      </c>
      <c r="H386" t="s">
        <v>454</v>
      </c>
      <c r="I386" t="s">
        <v>190</v>
      </c>
      <c r="J386">
        <v>9.4</v>
      </c>
      <c r="K386">
        <v>36.299999999999997</v>
      </c>
      <c r="L386" t="s">
        <v>29</v>
      </c>
      <c r="M386" t="s">
        <v>29</v>
      </c>
      <c r="N386" t="s">
        <v>29</v>
      </c>
      <c r="O386" t="s">
        <v>29</v>
      </c>
      <c r="P386" t="s">
        <v>29</v>
      </c>
      <c r="Q386" t="s">
        <v>29</v>
      </c>
      <c r="R386">
        <v>105</v>
      </c>
      <c r="S386">
        <v>44.08</v>
      </c>
      <c r="T386">
        <v>4.7</v>
      </c>
      <c r="U386">
        <v>4.9000000000000004</v>
      </c>
      <c r="V386" t="s">
        <v>149</v>
      </c>
    </row>
    <row r="387" spans="1:22" x14ac:dyDescent="0.35">
      <c r="A387" s="1">
        <v>45419</v>
      </c>
      <c r="B387" t="s">
        <v>122</v>
      </c>
      <c r="C387" s="2">
        <v>0.49688657407407405</v>
      </c>
      <c r="D387" t="s">
        <v>1007</v>
      </c>
      <c r="E387" t="s">
        <v>93</v>
      </c>
      <c r="F387" t="s">
        <v>1008</v>
      </c>
      <c r="G387" t="s">
        <v>34</v>
      </c>
      <c r="H387" t="s">
        <v>267</v>
      </c>
      <c r="I387" t="s">
        <v>552</v>
      </c>
      <c r="J387">
        <v>11.3</v>
      </c>
      <c r="K387" t="s">
        <v>29</v>
      </c>
      <c r="L387" t="s">
        <v>29</v>
      </c>
      <c r="M387" t="s">
        <v>29</v>
      </c>
      <c r="N387">
        <v>1</v>
      </c>
      <c r="O387" t="s">
        <v>169</v>
      </c>
      <c r="P387" t="s">
        <v>29</v>
      </c>
      <c r="Q387" t="s">
        <v>29</v>
      </c>
      <c r="R387" t="s">
        <v>29</v>
      </c>
      <c r="S387" t="s">
        <v>29</v>
      </c>
      <c r="T387" t="s">
        <v>29</v>
      </c>
      <c r="U387" t="s">
        <v>29</v>
      </c>
      <c r="V387" t="s">
        <v>29</v>
      </c>
    </row>
    <row r="388" spans="1:22" x14ac:dyDescent="0.35">
      <c r="A388" s="1">
        <v>45501</v>
      </c>
      <c r="B388" t="s">
        <v>108</v>
      </c>
      <c r="C388" s="2">
        <v>0.8389699074074074</v>
      </c>
      <c r="D388" t="s">
        <v>1009</v>
      </c>
      <c r="E388" t="s">
        <v>117</v>
      </c>
      <c r="F388" t="s">
        <v>1010</v>
      </c>
      <c r="G388" t="s">
        <v>34</v>
      </c>
      <c r="H388" t="s">
        <v>333</v>
      </c>
      <c r="I388" t="s">
        <v>217</v>
      </c>
      <c r="J388">
        <v>16.899999999999999</v>
      </c>
      <c r="K388" t="s">
        <v>29</v>
      </c>
      <c r="L388">
        <v>1</v>
      </c>
      <c r="M388" t="s">
        <v>420</v>
      </c>
      <c r="N388" t="s">
        <v>29</v>
      </c>
      <c r="O388" t="s">
        <v>29</v>
      </c>
      <c r="P388" t="s">
        <v>29</v>
      </c>
      <c r="Q388" t="s">
        <v>29</v>
      </c>
      <c r="R388" t="s">
        <v>29</v>
      </c>
      <c r="S388" t="s">
        <v>29</v>
      </c>
      <c r="T388" t="s">
        <v>29</v>
      </c>
      <c r="U388" t="s">
        <v>29</v>
      </c>
      <c r="V388" t="s">
        <v>29</v>
      </c>
    </row>
    <row r="389" spans="1:22" x14ac:dyDescent="0.35">
      <c r="A389" s="1">
        <v>45315</v>
      </c>
      <c r="B389" t="s">
        <v>150</v>
      </c>
      <c r="C389" s="2">
        <v>0.43957175925925923</v>
      </c>
      <c r="D389" t="s">
        <v>1011</v>
      </c>
      <c r="E389" t="s">
        <v>41</v>
      </c>
      <c r="F389" t="s">
        <v>1012</v>
      </c>
      <c r="G389" t="s">
        <v>43</v>
      </c>
      <c r="H389" t="s">
        <v>486</v>
      </c>
      <c r="I389" t="s">
        <v>207</v>
      </c>
      <c r="J389">
        <v>11.2</v>
      </c>
      <c r="K389">
        <v>22</v>
      </c>
      <c r="L389" t="s">
        <v>29</v>
      </c>
      <c r="M389" t="s">
        <v>29</v>
      </c>
      <c r="N389" t="s">
        <v>29</v>
      </c>
      <c r="O389" t="s">
        <v>29</v>
      </c>
      <c r="P389" t="s">
        <v>29</v>
      </c>
      <c r="Q389" t="s">
        <v>29</v>
      </c>
      <c r="R389">
        <v>213</v>
      </c>
      <c r="S389">
        <v>35.76</v>
      </c>
      <c r="T389">
        <v>4.8</v>
      </c>
      <c r="U389">
        <v>4.5999999999999996</v>
      </c>
      <c r="V389" t="s">
        <v>46</v>
      </c>
    </row>
    <row r="390" spans="1:22" x14ac:dyDescent="0.35">
      <c r="A390" s="1">
        <v>45533</v>
      </c>
      <c r="B390" t="s">
        <v>39</v>
      </c>
      <c r="C390" s="2">
        <v>0.10914351851851851</v>
      </c>
      <c r="D390" t="s">
        <v>1013</v>
      </c>
      <c r="E390" t="s">
        <v>41</v>
      </c>
      <c r="F390" t="s">
        <v>1014</v>
      </c>
      <c r="G390" t="s">
        <v>56</v>
      </c>
      <c r="H390" t="s">
        <v>407</v>
      </c>
      <c r="I390" t="s">
        <v>235</v>
      </c>
      <c r="J390">
        <v>11.2</v>
      </c>
      <c r="K390">
        <v>19.600000000000001</v>
      </c>
      <c r="L390" t="s">
        <v>29</v>
      </c>
      <c r="M390" t="s">
        <v>29</v>
      </c>
      <c r="N390" t="s">
        <v>29</v>
      </c>
      <c r="O390" t="s">
        <v>29</v>
      </c>
      <c r="P390" t="s">
        <v>29</v>
      </c>
      <c r="Q390" t="s">
        <v>29</v>
      </c>
      <c r="R390">
        <v>620</v>
      </c>
      <c r="S390">
        <v>45</v>
      </c>
      <c r="T390">
        <v>4.5999999999999996</v>
      </c>
      <c r="U390">
        <v>3.1</v>
      </c>
      <c r="V390" t="s">
        <v>84</v>
      </c>
    </row>
    <row r="391" spans="1:22" x14ac:dyDescent="0.35">
      <c r="A391" s="1">
        <v>45329</v>
      </c>
      <c r="B391" t="s">
        <v>59</v>
      </c>
      <c r="C391" s="2">
        <v>0.91120370370370374</v>
      </c>
      <c r="D391" t="s">
        <v>1015</v>
      </c>
      <c r="E391" t="s">
        <v>93</v>
      </c>
      <c r="F391" t="s">
        <v>1016</v>
      </c>
      <c r="G391" t="s">
        <v>56</v>
      </c>
      <c r="H391" t="s">
        <v>438</v>
      </c>
      <c r="I391" t="s">
        <v>281</v>
      </c>
      <c r="J391">
        <v>6.8</v>
      </c>
      <c r="K391" t="s">
        <v>29</v>
      </c>
      <c r="L391" t="s">
        <v>29</v>
      </c>
      <c r="M391" t="s">
        <v>29</v>
      </c>
      <c r="N391">
        <v>1</v>
      </c>
      <c r="O391" t="s">
        <v>337</v>
      </c>
      <c r="P391" t="s">
        <v>29</v>
      </c>
      <c r="Q391" t="s">
        <v>29</v>
      </c>
      <c r="R391" t="s">
        <v>29</v>
      </c>
      <c r="S391" t="s">
        <v>29</v>
      </c>
      <c r="T391" t="s">
        <v>29</v>
      </c>
      <c r="U391" t="s">
        <v>29</v>
      </c>
      <c r="V391" t="s">
        <v>29</v>
      </c>
    </row>
    <row r="392" spans="1:22" x14ac:dyDescent="0.35">
      <c r="A392" s="1">
        <v>45567</v>
      </c>
      <c r="B392" t="s">
        <v>47</v>
      </c>
      <c r="C392" s="2">
        <v>0.9994791666666667</v>
      </c>
      <c r="D392" t="s">
        <v>1017</v>
      </c>
      <c r="E392" t="s">
        <v>41</v>
      </c>
      <c r="F392" t="s">
        <v>1018</v>
      </c>
      <c r="G392" t="s">
        <v>67</v>
      </c>
      <c r="H392" t="s">
        <v>665</v>
      </c>
      <c r="I392" t="s">
        <v>91</v>
      </c>
      <c r="J392">
        <v>11.6</v>
      </c>
      <c r="K392">
        <v>21.9</v>
      </c>
      <c r="L392" t="s">
        <v>29</v>
      </c>
      <c r="M392" t="s">
        <v>29</v>
      </c>
      <c r="N392" t="s">
        <v>29</v>
      </c>
      <c r="O392" t="s">
        <v>29</v>
      </c>
      <c r="P392" t="s">
        <v>29</v>
      </c>
      <c r="Q392" t="s">
        <v>29</v>
      </c>
      <c r="R392">
        <v>83</v>
      </c>
      <c r="S392">
        <v>45.07</v>
      </c>
      <c r="T392">
        <v>3.9</v>
      </c>
      <c r="U392">
        <v>4.2</v>
      </c>
      <c r="V392" t="s">
        <v>149</v>
      </c>
    </row>
    <row r="393" spans="1:22" x14ac:dyDescent="0.35">
      <c r="A393" s="1">
        <v>45627</v>
      </c>
      <c r="B393" t="s">
        <v>78</v>
      </c>
      <c r="C393" s="2">
        <v>0.56371527777777775</v>
      </c>
      <c r="D393" t="s">
        <v>1019</v>
      </c>
      <c r="E393" t="s">
        <v>93</v>
      </c>
      <c r="F393" t="s">
        <v>1020</v>
      </c>
      <c r="G393" t="s">
        <v>34</v>
      </c>
      <c r="H393" t="s">
        <v>377</v>
      </c>
      <c r="I393" t="s">
        <v>277</v>
      </c>
      <c r="J393">
        <v>9.6999999999999993</v>
      </c>
      <c r="K393" t="s">
        <v>29</v>
      </c>
      <c r="L393" t="s">
        <v>29</v>
      </c>
      <c r="M393" t="s">
        <v>29</v>
      </c>
      <c r="N393">
        <v>1</v>
      </c>
      <c r="O393" t="s">
        <v>169</v>
      </c>
      <c r="P393" t="s">
        <v>29</v>
      </c>
      <c r="Q393" t="s">
        <v>29</v>
      </c>
      <c r="R393" t="s">
        <v>29</v>
      </c>
      <c r="S393" t="s">
        <v>29</v>
      </c>
      <c r="T393" t="s">
        <v>29</v>
      </c>
      <c r="U393" t="s">
        <v>29</v>
      </c>
      <c r="V393" t="s">
        <v>29</v>
      </c>
    </row>
    <row r="394" spans="1:22" x14ac:dyDescent="0.35">
      <c r="A394" s="1">
        <v>45656</v>
      </c>
      <c r="B394" t="s">
        <v>78</v>
      </c>
      <c r="C394" s="2">
        <v>0.73993055555555554</v>
      </c>
      <c r="D394" t="s">
        <v>1021</v>
      </c>
      <c r="E394" t="s">
        <v>41</v>
      </c>
      <c r="F394" t="s">
        <v>1022</v>
      </c>
      <c r="G394" t="s">
        <v>56</v>
      </c>
      <c r="H394" t="s">
        <v>962</v>
      </c>
      <c r="I394" t="s">
        <v>81</v>
      </c>
      <c r="J394">
        <v>7.6</v>
      </c>
      <c r="K394">
        <v>41.6</v>
      </c>
      <c r="L394" t="s">
        <v>29</v>
      </c>
      <c r="M394" t="s">
        <v>29</v>
      </c>
      <c r="N394" t="s">
        <v>29</v>
      </c>
      <c r="O394" t="s">
        <v>29</v>
      </c>
      <c r="P394" t="s">
        <v>29</v>
      </c>
      <c r="Q394" t="s">
        <v>29</v>
      </c>
      <c r="R394">
        <v>821</v>
      </c>
      <c r="S394">
        <v>3.86</v>
      </c>
      <c r="T394">
        <v>3.7</v>
      </c>
      <c r="U394">
        <v>4.9000000000000004</v>
      </c>
      <c r="V394" t="s">
        <v>107</v>
      </c>
    </row>
    <row r="395" spans="1:22" x14ac:dyDescent="0.35">
      <c r="A395" s="1">
        <v>45479</v>
      </c>
      <c r="B395" t="s">
        <v>108</v>
      </c>
      <c r="C395" s="2">
        <v>0.82039351851851849</v>
      </c>
      <c r="D395" t="s">
        <v>1023</v>
      </c>
      <c r="E395" t="s">
        <v>117</v>
      </c>
      <c r="F395" t="s">
        <v>1024</v>
      </c>
      <c r="G395" t="s">
        <v>67</v>
      </c>
      <c r="H395" t="s">
        <v>474</v>
      </c>
      <c r="I395" t="s">
        <v>73</v>
      </c>
      <c r="J395">
        <v>16.2</v>
      </c>
      <c r="K395" t="s">
        <v>29</v>
      </c>
      <c r="L395">
        <v>1</v>
      </c>
      <c r="M395" t="s">
        <v>420</v>
      </c>
      <c r="N395" t="s">
        <v>29</v>
      </c>
      <c r="O395" t="s">
        <v>29</v>
      </c>
      <c r="P395" t="s">
        <v>29</v>
      </c>
      <c r="Q395" t="s">
        <v>29</v>
      </c>
      <c r="R395" t="s">
        <v>29</v>
      </c>
      <c r="S395" t="s">
        <v>29</v>
      </c>
      <c r="T395" t="s">
        <v>29</v>
      </c>
      <c r="U395" t="s">
        <v>29</v>
      </c>
      <c r="V395" t="s">
        <v>29</v>
      </c>
    </row>
    <row r="396" spans="1:22" x14ac:dyDescent="0.35">
      <c r="A396" s="1">
        <v>45318</v>
      </c>
      <c r="B396" t="s">
        <v>150</v>
      </c>
      <c r="C396" s="2">
        <v>0.57868055555555553</v>
      </c>
      <c r="D396" t="s">
        <v>1025</v>
      </c>
      <c r="E396" t="s">
        <v>41</v>
      </c>
      <c r="F396" t="s">
        <v>1026</v>
      </c>
      <c r="G396" t="s">
        <v>50</v>
      </c>
      <c r="H396" t="s">
        <v>125</v>
      </c>
      <c r="I396" t="s">
        <v>552</v>
      </c>
      <c r="J396">
        <v>4.8</v>
      </c>
      <c r="K396">
        <v>44.8</v>
      </c>
      <c r="L396" t="s">
        <v>29</v>
      </c>
      <c r="M396" t="s">
        <v>29</v>
      </c>
      <c r="N396" t="s">
        <v>29</v>
      </c>
      <c r="O396" t="s">
        <v>29</v>
      </c>
      <c r="P396" t="s">
        <v>29</v>
      </c>
      <c r="Q396" t="s">
        <v>29</v>
      </c>
      <c r="R396">
        <v>176</v>
      </c>
      <c r="S396">
        <v>49.18</v>
      </c>
      <c r="T396">
        <v>3.1</v>
      </c>
      <c r="U396">
        <v>4.5999999999999996</v>
      </c>
      <c r="V396" t="s">
        <v>38</v>
      </c>
    </row>
    <row r="397" spans="1:22" x14ac:dyDescent="0.35">
      <c r="A397" s="1">
        <v>45652</v>
      </c>
      <c r="B397" t="s">
        <v>78</v>
      </c>
      <c r="C397" s="2">
        <v>0.29875000000000002</v>
      </c>
      <c r="D397" t="s">
        <v>1027</v>
      </c>
      <c r="E397" t="s">
        <v>32</v>
      </c>
      <c r="F397" t="s">
        <v>1028</v>
      </c>
      <c r="G397" t="s">
        <v>67</v>
      </c>
      <c r="H397" t="s">
        <v>412</v>
      </c>
      <c r="I397" t="s">
        <v>161</v>
      </c>
      <c r="J397">
        <v>6.6</v>
      </c>
      <c r="K397">
        <v>21.9</v>
      </c>
      <c r="L397" t="s">
        <v>29</v>
      </c>
      <c r="M397" t="s">
        <v>29</v>
      </c>
      <c r="N397" t="s">
        <v>29</v>
      </c>
      <c r="O397" t="s">
        <v>29</v>
      </c>
      <c r="P397">
        <v>1</v>
      </c>
      <c r="Q397" t="s">
        <v>302</v>
      </c>
      <c r="R397">
        <v>315</v>
      </c>
      <c r="S397">
        <v>7.41</v>
      </c>
      <c r="T397" t="s">
        <v>29</v>
      </c>
      <c r="U397" t="s">
        <v>29</v>
      </c>
      <c r="V397" t="s">
        <v>38</v>
      </c>
    </row>
    <row r="398" spans="1:22" x14ac:dyDescent="0.35">
      <c r="A398" s="1">
        <v>45527</v>
      </c>
      <c r="B398" t="s">
        <v>39</v>
      </c>
      <c r="C398" s="2">
        <v>0.49122685185185183</v>
      </c>
      <c r="D398" t="s">
        <v>1029</v>
      </c>
      <c r="E398" t="s">
        <v>41</v>
      </c>
      <c r="F398" t="s">
        <v>1030</v>
      </c>
      <c r="G398" t="s">
        <v>43</v>
      </c>
      <c r="H398" t="s">
        <v>176</v>
      </c>
      <c r="I398" t="s">
        <v>125</v>
      </c>
      <c r="J398">
        <v>8.3000000000000007</v>
      </c>
      <c r="K398">
        <v>18.7</v>
      </c>
      <c r="L398" t="s">
        <v>29</v>
      </c>
      <c r="M398" t="s">
        <v>29</v>
      </c>
      <c r="N398" t="s">
        <v>29</v>
      </c>
      <c r="O398" t="s">
        <v>29</v>
      </c>
      <c r="P398" t="s">
        <v>29</v>
      </c>
      <c r="Q398" t="s">
        <v>29</v>
      </c>
      <c r="R398">
        <v>82</v>
      </c>
      <c r="S398">
        <v>14.49</v>
      </c>
      <c r="T398">
        <v>4.5999999999999996</v>
      </c>
      <c r="U398">
        <v>4.2</v>
      </c>
      <c r="V398" t="s">
        <v>38</v>
      </c>
    </row>
    <row r="399" spans="1:22" x14ac:dyDescent="0.35">
      <c r="A399" s="1">
        <v>45410</v>
      </c>
      <c r="B399" t="s">
        <v>154</v>
      </c>
      <c r="C399" s="2">
        <v>5.4062499999999999E-2</v>
      </c>
      <c r="D399" t="s">
        <v>1031</v>
      </c>
      <c r="E399" t="s">
        <v>41</v>
      </c>
      <c r="F399" t="s">
        <v>1032</v>
      </c>
      <c r="G399" t="s">
        <v>146</v>
      </c>
      <c r="H399" t="s">
        <v>177</v>
      </c>
      <c r="I399" t="s">
        <v>235</v>
      </c>
      <c r="J399">
        <v>14.8</v>
      </c>
      <c r="K399">
        <v>40.4</v>
      </c>
      <c r="L399" t="s">
        <v>29</v>
      </c>
      <c r="M399" t="s">
        <v>29</v>
      </c>
      <c r="N399" t="s">
        <v>29</v>
      </c>
      <c r="O399" t="s">
        <v>29</v>
      </c>
      <c r="P399" t="s">
        <v>29</v>
      </c>
      <c r="Q399" t="s">
        <v>29</v>
      </c>
      <c r="R399">
        <v>221</v>
      </c>
      <c r="S399">
        <v>15.3</v>
      </c>
      <c r="T399">
        <v>4.0999999999999996</v>
      </c>
      <c r="U399">
        <v>4.5</v>
      </c>
      <c r="V399" t="s">
        <v>38</v>
      </c>
    </row>
    <row r="400" spans="1:22" x14ac:dyDescent="0.35">
      <c r="A400" s="1">
        <v>45358</v>
      </c>
      <c r="B400" t="s">
        <v>22</v>
      </c>
      <c r="C400" s="2">
        <v>0.52414351851851848</v>
      </c>
      <c r="D400" t="s">
        <v>1033</v>
      </c>
      <c r="E400" t="s">
        <v>117</v>
      </c>
      <c r="F400" t="s">
        <v>1034</v>
      </c>
      <c r="G400" t="s">
        <v>50</v>
      </c>
      <c r="H400" t="s">
        <v>449</v>
      </c>
      <c r="I400" t="s">
        <v>1035</v>
      </c>
      <c r="J400">
        <v>6.1</v>
      </c>
      <c r="K400" t="s">
        <v>29</v>
      </c>
      <c r="L400">
        <v>1</v>
      </c>
      <c r="M400" t="s">
        <v>490</v>
      </c>
      <c r="N400" t="s">
        <v>29</v>
      </c>
      <c r="O400" t="s">
        <v>29</v>
      </c>
      <c r="P400" t="s">
        <v>29</v>
      </c>
      <c r="Q400" t="s">
        <v>29</v>
      </c>
      <c r="R400" t="s">
        <v>29</v>
      </c>
      <c r="S400" t="s">
        <v>29</v>
      </c>
      <c r="T400" t="s">
        <v>29</v>
      </c>
      <c r="U400" t="s">
        <v>29</v>
      </c>
      <c r="V400" t="s">
        <v>29</v>
      </c>
    </row>
    <row r="401" spans="1:22" x14ac:dyDescent="0.35">
      <c r="A401" s="1">
        <v>45293</v>
      </c>
      <c r="B401" t="s">
        <v>150</v>
      </c>
      <c r="C401" s="2">
        <v>0.37708333333333333</v>
      </c>
      <c r="D401" t="s">
        <v>1036</v>
      </c>
      <c r="E401" t="s">
        <v>93</v>
      </c>
      <c r="F401" t="s">
        <v>1037</v>
      </c>
      <c r="G401" t="s">
        <v>26</v>
      </c>
      <c r="H401" t="s">
        <v>349</v>
      </c>
      <c r="I401" t="s">
        <v>350</v>
      </c>
      <c r="J401">
        <v>9.1</v>
      </c>
      <c r="K401" t="s">
        <v>29</v>
      </c>
      <c r="L401" t="s">
        <v>29</v>
      </c>
      <c r="M401" t="s">
        <v>29</v>
      </c>
      <c r="N401">
        <v>1</v>
      </c>
      <c r="O401" t="s">
        <v>115</v>
      </c>
      <c r="P401" t="s">
        <v>29</v>
      </c>
      <c r="Q401" t="s">
        <v>29</v>
      </c>
      <c r="R401" t="s">
        <v>29</v>
      </c>
      <c r="S401" t="s">
        <v>29</v>
      </c>
      <c r="T401" t="s">
        <v>29</v>
      </c>
      <c r="U401" t="s">
        <v>29</v>
      </c>
      <c r="V401" t="s">
        <v>29</v>
      </c>
    </row>
    <row r="402" spans="1:22" x14ac:dyDescent="0.35">
      <c r="A402" s="1">
        <v>45312</v>
      </c>
      <c r="B402" t="s">
        <v>150</v>
      </c>
      <c r="C402" s="2">
        <v>0.80905092592592598</v>
      </c>
      <c r="D402" t="s">
        <v>1038</v>
      </c>
      <c r="E402" t="s">
        <v>93</v>
      </c>
      <c r="F402" t="s">
        <v>1039</v>
      </c>
      <c r="G402" t="s">
        <v>43</v>
      </c>
      <c r="H402" t="s">
        <v>168</v>
      </c>
      <c r="I402" t="s">
        <v>498</v>
      </c>
      <c r="J402">
        <v>5</v>
      </c>
      <c r="K402" t="s">
        <v>29</v>
      </c>
      <c r="L402" t="s">
        <v>29</v>
      </c>
      <c r="M402" t="s">
        <v>29</v>
      </c>
      <c r="N402">
        <v>1</v>
      </c>
      <c r="O402" t="s">
        <v>115</v>
      </c>
      <c r="P402" t="s">
        <v>29</v>
      </c>
      <c r="Q402" t="s">
        <v>29</v>
      </c>
      <c r="R402" t="s">
        <v>29</v>
      </c>
      <c r="S402" t="s">
        <v>29</v>
      </c>
      <c r="T402" t="s">
        <v>29</v>
      </c>
      <c r="U402" t="s">
        <v>29</v>
      </c>
      <c r="V402" t="s">
        <v>29</v>
      </c>
    </row>
    <row r="403" spans="1:22" x14ac:dyDescent="0.35">
      <c r="A403" s="1">
        <v>45448</v>
      </c>
      <c r="B403" t="s">
        <v>64</v>
      </c>
      <c r="C403" s="2">
        <v>0.54342592592592598</v>
      </c>
      <c r="D403" t="s">
        <v>1040</v>
      </c>
      <c r="E403" t="s">
        <v>41</v>
      </c>
      <c r="F403" t="s">
        <v>1041</v>
      </c>
      <c r="G403" t="s">
        <v>56</v>
      </c>
      <c r="H403" t="s">
        <v>312</v>
      </c>
      <c r="I403" t="s">
        <v>355</v>
      </c>
      <c r="J403">
        <v>14.1</v>
      </c>
      <c r="K403">
        <v>30.2</v>
      </c>
      <c r="L403" t="s">
        <v>29</v>
      </c>
      <c r="M403" t="s">
        <v>29</v>
      </c>
      <c r="N403" t="s">
        <v>29</v>
      </c>
      <c r="O403" t="s">
        <v>29</v>
      </c>
      <c r="P403" t="s">
        <v>29</v>
      </c>
      <c r="Q403" t="s">
        <v>29</v>
      </c>
      <c r="R403">
        <v>901</v>
      </c>
      <c r="S403">
        <v>15.53</v>
      </c>
      <c r="T403">
        <v>4.4000000000000004</v>
      </c>
      <c r="U403">
        <v>4.5999999999999996</v>
      </c>
      <c r="V403" t="s">
        <v>107</v>
      </c>
    </row>
    <row r="404" spans="1:22" x14ac:dyDescent="0.35">
      <c r="A404" s="1">
        <v>45336</v>
      </c>
      <c r="B404" t="s">
        <v>59</v>
      </c>
      <c r="C404" s="2">
        <v>0.61570601851851847</v>
      </c>
      <c r="D404" t="s">
        <v>1042</v>
      </c>
      <c r="E404" t="s">
        <v>41</v>
      </c>
      <c r="F404" t="s">
        <v>1043</v>
      </c>
      <c r="G404" t="s">
        <v>34</v>
      </c>
      <c r="H404" t="s">
        <v>360</v>
      </c>
      <c r="I404" t="s">
        <v>935</v>
      </c>
      <c r="J404">
        <v>4.8</v>
      </c>
      <c r="K404">
        <v>24.7</v>
      </c>
      <c r="L404" t="s">
        <v>29</v>
      </c>
      <c r="M404" t="s">
        <v>29</v>
      </c>
      <c r="N404" t="s">
        <v>29</v>
      </c>
      <c r="O404" t="s">
        <v>29</v>
      </c>
      <c r="P404" t="s">
        <v>29</v>
      </c>
      <c r="Q404" t="s">
        <v>29</v>
      </c>
      <c r="R404">
        <v>1523</v>
      </c>
      <c r="S404">
        <v>6.84</v>
      </c>
      <c r="T404">
        <v>4</v>
      </c>
      <c r="U404">
        <v>4.3</v>
      </c>
      <c r="V404" t="s">
        <v>38</v>
      </c>
    </row>
    <row r="405" spans="1:22" x14ac:dyDescent="0.35">
      <c r="A405" s="1">
        <v>45346</v>
      </c>
      <c r="B405" t="s">
        <v>59</v>
      </c>
      <c r="C405" s="2">
        <v>0.96237268518518515</v>
      </c>
      <c r="D405" t="s">
        <v>1044</v>
      </c>
      <c r="E405" t="s">
        <v>24</v>
      </c>
      <c r="F405" t="s">
        <v>1045</v>
      </c>
      <c r="G405" t="s">
        <v>43</v>
      </c>
      <c r="H405" t="s">
        <v>82</v>
      </c>
      <c r="I405" t="s">
        <v>486</v>
      </c>
      <c r="J405" t="s">
        <v>29</v>
      </c>
      <c r="K405" t="s">
        <v>29</v>
      </c>
      <c r="L405" t="s">
        <v>29</v>
      </c>
      <c r="M405" t="s">
        <v>29</v>
      </c>
      <c r="N405" t="s">
        <v>29</v>
      </c>
      <c r="O405" t="s">
        <v>29</v>
      </c>
      <c r="P405" t="s">
        <v>29</v>
      </c>
      <c r="Q405" t="s">
        <v>29</v>
      </c>
      <c r="R405" t="s">
        <v>29</v>
      </c>
      <c r="S405" t="s">
        <v>29</v>
      </c>
      <c r="T405" t="s">
        <v>29</v>
      </c>
      <c r="U405" t="s">
        <v>29</v>
      </c>
      <c r="V405" t="s">
        <v>29</v>
      </c>
    </row>
    <row r="406" spans="1:22" x14ac:dyDescent="0.35">
      <c r="A406" s="1">
        <v>45310</v>
      </c>
      <c r="B406" t="s">
        <v>150</v>
      </c>
      <c r="C406" s="2">
        <v>0.90857638888888892</v>
      </c>
      <c r="D406" t="s">
        <v>1046</v>
      </c>
      <c r="E406" t="s">
        <v>41</v>
      </c>
      <c r="F406" t="s">
        <v>1047</v>
      </c>
      <c r="G406" t="s">
        <v>50</v>
      </c>
      <c r="H406" t="s">
        <v>270</v>
      </c>
      <c r="I406" t="s">
        <v>227</v>
      </c>
      <c r="J406">
        <v>9.1</v>
      </c>
      <c r="K406">
        <v>21.7</v>
      </c>
      <c r="L406" t="s">
        <v>29</v>
      </c>
      <c r="M406" t="s">
        <v>29</v>
      </c>
      <c r="N406" t="s">
        <v>29</v>
      </c>
      <c r="O406" t="s">
        <v>29</v>
      </c>
      <c r="P406" t="s">
        <v>29</v>
      </c>
      <c r="Q406" t="s">
        <v>29</v>
      </c>
      <c r="R406">
        <v>582</v>
      </c>
      <c r="S406">
        <v>27.22</v>
      </c>
      <c r="T406">
        <v>3.5</v>
      </c>
      <c r="U406">
        <v>4.3</v>
      </c>
      <c r="V406" t="s">
        <v>84</v>
      </c>
    </row>
    <row r="407" spans="1:22" x14ac:dyDescent="0.35">
      <c r="A407" s="1">
        <v>45475</v>
      </c>
      <c r="B407" t="s">
        <v>108</v>
      </c>
      <c r="C407" s="2">
        <v>0.63133101851851847</v>
      </c>
      <c r="D407" t="s">
        <v>1048</v>
      </c>
      <c r="E407" t="s">
        <v>41</v>
      </c>
      <c r="F407" t="s">
        <v>1049</v>
      </c>
      <c r="G407" t="s">
        <v>43</v>
      </c>
      <c r="H407" t="s">
        <v>62</v>
      </c>
      <c r="I407" t="s">
        <v>242</v>
      </c>
      <c r="J407">
        <v>3.6</v>
      </c>
      <c r="K407">
        <v>18.600000000000001</v>
      </c>
      <c r="L407" t="s">
        <v>29</v>
      </c>
      <c r="M407" t="s">
        <v>29</v>
      </c>
      <c r="N407" t="s">
        <v>29</v>
      </c>
      <c r="O407" t="s">
        <v>29</v>
      </c>
      <c r="P407" t="s">
        <v>29</v>
      </c>
      <c r="Q407" t="s">
        <v>29</v>
      </c>
      <c r="R407">
        <v>133</v>
      </c>
      <c r="S407">
        <v>31.65</v>
      </c>
      <c r="T407">
        <v>3.2</v>
      </c>
      <c r="U407">
        <v>4.4000000000000004</v>
      </c>
      <c r="V407" t="s">
        <v>38</v>
      </c>
    </row>
    <row r="408" spans="1:22" x14ac:dyDescent="0.35">
      <c r="A408" s="1">
        <v>45349</v>
      </c>
      <c r="B408" t="s">
        <v>59</v>
      </c>
      <c r="C408" s="2">
        <v>0.39797453703703706</v>
      </c>
      <c r="D408" t="s">
        <v>1050</v>
      </c>
      <c r="E408" t="s">
        <v>41</v>
      </c>
      <c r="F408" t="s">
        <v>1051</v>
      </c>
      <c r="G408" t="s">
        <v>43</v>
      </c>
      <c r="H408" t="s">
        <v>277</v>
      </c>
      <c r="I408" t="s">
        <v>232</v>
      </c>
      <c r="J408">
        <v>6.8</v>
      </c>
      <c r="K408">
        <v>21</v>
      </c>
      <c r="L408" t="s">
        <v>29</v>
      </c>
      <c r="M408" t="s">
        <v>29</v>
      </c>
      <c r="N408" t="s">
        <v>29</v>
      </c>
      <c r="O408" t="s">
        <v>29</v>
      </c>
      <c r="P408" t="s">
        <v>29</v>
      </c>
      <c r="Q408" t="s">
        <v>29</v>
      </c>
      <c r="R408">
        <v>508</v>
      </c>
      <c r="S408">
        <v>38.25</v>
      </c>
      <c r="T408">
        <v>3.2</v>
      </c>
      <c r="U408">
        <v>5</v>
      </c>
      <c r="V408" t="s">
        <v>149</v>
      </c>
    </row>
    <row r="409" spans="1:22" x14ac:dyDescent="0.35">
      <c r="A409" s="1">
        <v>45397</v>
      </c>
      <c r="B409" t="s">
        <v>154</v>
      </c>
      <c r="C409" s="2">
        <v>0.51762731481481483</v>
      </c>
      <c r="D409" t="s">
        <v>1052</v>
      </c>
      <c r="E409" t="s">
        <v>117</v>
      </c>
      <c r="F409" t="s">
        <v>1053</v>
      </c>
      <c r="G409" t="s">
        <v>43</v>
      </c>
      <c r="H409" t="s">
        <v>493</v>
      </c>
      <c r="I409" t="s">
        <v>407</v>
      </c>
      <c r="J409">
        <v>9.5</v>
      </c>
      <c r="K409" t="s">
        <v>29</v>
      </c>
      <c r="L409">
        <v>1</v>
      </c>
      <c r="M409" t="s">
        <v>224</v>
      </c>
      <c r="N409" t="s">
        <v>29</v>
      </c>
      <c r="O409" t="s">
        <v>29</v>
      </c>
      <c r="P409" t="s">
        <v>29</v>
      </c>
      <c r="Q409" t="s">
        <v>29</v>
      </c>
      <c r="R409" t="s">
        <v>29</v>
      </c>
      <c r="S409" t="s">
        <v>29</v>
      </c>
      <c r="T409" t="s">
        <v>29</v>
      </c>
      <c r="U409" t="s">
        <v>29</v>
      </c>
      <c r="V409" t="s">
        <v>29</v>
      </c>
    </row>
    <row r="410" spans="1:22" x14ac:dyDescent="0.35">
      <c r="A410" s="1">
        <v>45504</v>
      </c>
      <c r="B410" t="s">
        <v>108</v>
      </c>
      <c r="C410" s="2">
        <v>0.92586805555555551</v>
      </c>
      <c r="D410" t="s">
        <v>1054</v>
      </c>
      <c r="E410" t="s">
        <v>41</v>
      </c>
      <c r="F410" t="s">
        <v>1055</v>
      </c>
      <c r="G410" t="s">
        <v>56</v>
      </c>
      <c r="H410" t="s">
        <v>102</v>
      </c>
      <c r="I410" t="s">
        <v>365</v>
      </c>
      <c r="J410">
        <v>5</v>
      </c>
      <c r="K410">
        <v>22</v>
      </c>
      <c r="L410" t="s">
        <v>29</v>
      </c>
      <c r="M410" t="s">
        <v>29</v>
      </c>
      <c r="N410" t="s">
        <v>29</v>
      </c>
      <c r="O410" t="s">
        <v>29</v>
      </c>
      <c r="P410" t="s">
        <v>29</v>
      </c>
      <c r="Q410" t="s">
        <v>29</v>
      </c>
      <c r="R410">
        <v>999</v>
      </c>
      <c r="S410">
        <v>12.14</v>
      </c>
      <c r="T410">
        <v>4.4000000000000004</v>
      </c>
      <c r="U410">
        <v>4.5999999999999996</v>
      </c>
      <c r="V410" t="s">
        <v>107</v>
      </c>
    </row>
    <row r="411" spans="1:22" x14ac:dyDescent="0.35">
      <c r="A411" s="1">
        <v>45579</v>
      </c>
      <c r="B411" t="s">
        <v>47</v>
      </c>
      <c r="C411" s="2">
        <v>0.98559027777777775</v>
      </c>
      <c r="D411" t="s">
        <v>1056</v>
      </c>
      <c r="E411" t="s">
        <v>41</v>
      </c>
      <c r="F411" t="s">
        <v>1057</v>
      </c>
      <c r="G411" t="s">
        <v>43</v>
      </c>
      <c r="H411" t="s">
        <v>442</v>
      </c>
      <c r="I411" t="s">
        <v>198</v>
      </c>
      <c r="J411">
        <v>11</v>
      </c>
      <c r="K411">
        <v>25.8</v>
      </c>
      <c r="L411" t="s">
        <v>29</v>
      </c>
      <c r="M411" t="s">
        <v>29</v>
      </c>
      <c r="N411" t="s">
        <v>29</v>
      </c>
      <c r="O411" t="s">
        <v>29</v>
      </c>
      <c r="P411" t="s">
        <v>29</v>
      </c>
      <c r="Q411" t="s">
        <v>29</v>
      </c>
      <c r="R411">
        <v>713</v>
      </c>
      <c r="S411">
        <v>9.76</v>
      </c>
      <c r="T411">
        <v>4.3</v>
      </c>
      <c r="U411">
        <v>4.0999999999999996</v>
      </c>
      <c r="V411" t="s">
        <v>38</v>
      </c>
    </row>
    <row r="412" spans="1:22" x14ac:dyDescent="0.35">
      <c r="A412" s="1">
        <v>45649</v>
      </c>
      <c r="B412" t="s">
        <v>78</v>
      </c>
      <c r="C412" s="2">
        <v>0.79194444444444445</v>
      </c>
      <c r="D412" t="s">
        <v>1058</v>
      </c>
      <c r="E412" t="s">
        <v>41</v>
      </c>
      <c r="F412" t="s">
        <v>1059</v>
      </c>
      <c r="G412" t="s">
        <v>50</v>
      </c>
      <c r="H412" t="s">
        <v>194</v>
      </c>
      <c r="I412" t="s">
        <v>157</v>
      </c>
      <c r="J412">
        <v>14.3</v>
      </c>
      <c r="K412">
        <v>35.200000000000003</v>
      </c>
      <c r="L412" t="s">
        <v>29</v>
      </c>
      <c r="M412" t="s">
        <v>29</v>
      </c>
      <c r="N412" t="s">
        <v>29</v>
      </c>
      <c r="O412" t="s">
        <v>29</v>
      </c>
      <c r="P412" t="s">
        <v>29</v>
      </c>
      <c r="Q412" t="s">
        <v>29</v>
      </c>
      <c r="R412">
        <v>96</v>
      </c>
      <c r="S412">
        <v>10.63</v>
      </c>
      <c r="T412">
        <v>4.7</v>
      </c>
      <c r="U412">
        <v>4.5</v>
      </c>
      <c r="V412" t="s">
        <v>38</v>
      </c>
    </row>
    <row r="413" spans="1:22" x14ac:dyDescent="0.35">
      <c r="A413" s="1">
        <v>45533</v>
      </c>
      <c r="B413" t="s">
        <v>39</v>
      </c>
      <c r="C413" s="2">
        <v>0.82434027777777774</v>
      </c>
      <c r="D413" t="s">
        <v>1060</v>
      </c>
      <c r="E413" t="s">
        <v>41</v>
      </c>
      <c r="F413" t="s">
        <v>1061</v>
      </c>
      <c r="G413" t="s">
        <v>43</v>
      </c>
      <c r="H413" t="s">
        <v>143</v>
      </c>
      <c r="I413" t="s">
        <v>63</v>
      </c>
      <c r="J413">
        <v>11.4</v>
      </c>
      <c r="K413">
        <v>36.799999999999997</v>
      </c>
      <c r="L413" t="s">
        <v>29</v>
      </c>
      <c r="M413" t="s">
        <v>29</v>
      </c>
      <c r="N413" t="s">
        <v>29</v>
      </c>
      <c r="O413" t="s">
        <v>29</v>
      </c>
      <c r="P413" t="s">
        <v>29</v>
      </c>
      <c r="Q413" t="s">
        <v>29</v>
      </c>
      <c r="R413">
        <v>595</v>
      </c>
      <c r="S413">
        <v>15.32</v>
      </c>
      <c r="T413">
        <v>4.5999999999999996</v>
      </c>
      <c r="U413">
        <v>5</v>
      </c>
      <c r="V413" t="s">
        <v>38</v>
      </c>
    </row>
    <row r="414" spans="1:22" x14ac:dyDescent="0.35">
      <c r="A414" s="1">
        <v>45541</v>
      </c>
      <c r="B414" t="s">
        <v>53</v>
      </c>
      <c r="C414" s="2">
        <v>0.69694444444444448</v>
      </c>
      <c r="D414" t="s">
        <v>1062</v>
      </c>
      <c r="E414" t="s">
        <v>93</v>
      </c>
      <c r="F414" t="s">
        <v>1063</v>
      </c>
      <c r="G414" t="s">
        <v>34</v>
      </c>
      <c r="H414" t="s">
        <v>72</v>
      </c>
      <c r="I414" t="s">
        <v>312</v>
      </c>
      <c r="J414">
        <v>4.8</v>
      </c>
      <c r="K414" t="s">
        <v>29</v>
      </c>
      <c r="L414" t="s">
        <v>29</v>
      </c>
      <c r="M414" t="s">
        <v>29</v>
      </c>
      <c r="N414">
        <v>1</v>
      </c>
      <c r="O414" t="s">
        <v>337</v>
      </c>
      <c r="P414" t="s">
        <v>29</v>
      </c>
      <c r="Q414" t="s">
        <v>29</v>
      </c>
      <c r="R414" t="s">
        <v>29</v>
      </c>
      <c r="S414" t="s">
        <v>29</v>
      </c>
      <c r="T414" t="s">
        <v>29</v>
      </c>
      <c r="U414" t="s">
        <v>29</v>
      </c>
      <c r="V414" t="s">
        <v>29</v>
      </c>
    </row>
    <row r="415" spans="1:22" x14ac:dyDescent="0.35">
      <c r="A415" s="1">
        <v>45373</v>
      </c>
      <c r="B415" t="s">
        <v>22</v>
      </c>
      <c r="C415" s="2">
        <v>0.70283564814814814</v>
      </c>
      <c r="D415" t="s">
        <v>1064</v>
      </c>
      <c r="E415" t="s">
        <v>41</v>
      </c>
      <c r="F415" t="s">
        <v>1065</v>
      </c>
      <c r="G415" t="s">
        <v>43</v>
      </c>
      <c r="H415" t="s">
        <v>57</v>
      </c>
      <c r="I415" t="s">
        <v>126</v>
      </c>
      <c r="J415">
        <v>12.2</v>
      </c>
      <c r="K415">
        <v>20.5</v>
      </c>
      <c r="L415" t="s">
        <v>29</v>
      </c>
      <c r="M415" t="s">
        <v>29</v>
      </c>
      <c r="N415" t="s">
        <v>29</v>
      </c>
      <c r="O415" t="s">
        <v>29</v>
      </c>
      <c r="P415" t="s">
        <v>29</v>
      </c>
      <c r="Q415" t="s">
        <v>29</v>
      </c>
      <c r="R415">
        <v>256</v>
      </c>
      <c r="S415">
        <v>8.76</v>
      </c>
      <c r="T415">
        <v>4.5</v>
      </c>
      <c r="U415">
        <v>5</v>
      </c>
      <c r="V415" t="s">
        <v>46</v>
      </c>
    </row>
    <row r="416" spans="1:22" x14ac:dyDescent="0.35">
      <c r="A416" s="1">
        <v>45637</v>
      </c>
      <c r="B416" t="s">
        <v>78</v>
      </c>
      <c r="C416" s="2">
        <v>0.42887731481481484</v>
      </c>
      <c r="D416" t="s">
        <v>1066</v>
      </c>
      <c r="E416" t="s">
        <v>41</v>
      </c>
      <c r="F416" t="s">
        <v>1067</v>
      </c>
      <c r="G416" t="s">
        <v>43</v>
      </c>
      <c r="H416" t="s">
        <v>82</v>
      </c>
      <c r="I416" t="s">
        <v>800</v>
      </c>
      <c r="J416">
        <v>11.8</v>
      </c>
      <c r="K416">
        <v>37.200000000000003</v>
      </c>
      <c r="L416" t="s">
        <v>29</v>
      </c>
      <c r="M416" t="s">
        <v>29</v>
      </c>
      <c r="N416" t="s">
        <v>29</v>
      </c>
      <c r="O416" t="s">
        <v>29</v>
      </c>
      <c r="P416" t="s">
        <v>29</v>
      </c>
      <c r="Q416" t="s">
        <v>29</v>
      </c>
      <c r="R416">
        <v>449</v>
      </c>
      <c r="S416">
        <v>22.4</v>
      </c>
      <c r="T416">
        <v>4.9000000000000004</v>
      </c>
      <c r="U416">
        <v>4.5</v>
      </c>
      <c r="V416" t="s">
        <v>107</v>
      </c>
    </row>
    <row r="417" spans="1:22" x14ac:dyDescent="0.35">
      <c r="A417" s="1">
        <v>45513</v>
      </c>
      <c r="B417" t="s">
        <v>39</v>
      </c>
      <c r="C417" s="2">
        <v>0.93959490740740736</v>
      </c>
      <c r="D417" t="s">
        <v>1068</v>
      </c>
      <c r="E417" t="s">
        <v>93</v>
      </c>
      <c r="F417" t="s">
        <v>1069</v>
      </c>
      <c r="G417" t="s">
        <v>56</v>
      </c>
      <c r="H417" t="s">
        <v>232</v>
      </c>
      <c r="I417" t="s">
        <v>76</v>
      </c>
      <c r="J417">
        <v>7.8</v>
      </c>
      <c r="K417" t="s">
        <v>29</v>
      </c>
      <c r="L417" t="s">
        <v>29</v>
      </c>
      <c r="M417" t="s">
        <v>29</v>
      </c>
      <c r="N417">
        <v>1</v>
      </c>
      <c r="O417" t="s">
        <v>115</v>
      </c>
      <c r="P417" t="s">
        <v>29</v>
      </c>
      <c r="Q417" t="s">
        <v>29</v>
      </c>
      <c r="R417" t="s">
        <v>29</v>
      </c>
      <c r="S417" t="s">
        <v>29</v>
      </c>
      <c r="T417" t="s">
        <v>29</v>
      </c>
      <c r="U417" t="s">
        <v>29</v>
      </c>
      <c r="V417" t="s">
        <v>29</v>
      </c>
    </row>
    <row r="418" spans="1:22" x14ac:dyDescent="0.35">
      <c r="A418" s="1">
        <v>45325</v>
      </c>
      <c r="B418" t="s">
        <v>59</v>
      </c>
      <c r="C418" s="2">
        <v>0.82166666666666666</v>
      </c>
      <c r="D418" t="s">
        <v>1070</v>
      </c>
      <c r="E418" t="s">
        <v>41</v>
      </c>
      <c r="F418" t="s">
        <v>1071</v>
      </c>
      <c r="G418" t="s">
        <v>50</v>
      </c>
      <c r="H418" t="s">
        <v>324</v>
      </c>
      <c r="I418" t="s">
        <v>493</v>
      </c>
      <c r="J418">
        <v>13.4</v>
      </c>
      <c r="K418">
        <v>40</v>
      </c>
      <c r="L418" t="s">
        <v>29</v>
      </c>
      <c r="M418" t="s">
        <v>29</v>
      </c>
      <c r="N418" t="s">
        <v>29</v>
      </c>
      <c r="O418" t="s">
        <v>29</v>
      </c>
      <c r="P418" t="s">
        <v>29</v>
      </c>
      <c r="Q418" t="s">
        <v>29</v>
      </c>
      <c r="R418">
        <v>373</v>
      </c>
      <c r="S418">
        <v>12.73</v>
      </c>
      <c r="T418">
        <v>4.5999999999999996</v>
      </c>
      <c r="U418">
        <v>4.2</v>
      </c>
      <c r="V418" t="s">
        <v>84</v>
      </c>
    </row>
    <row r="419" spans="1:22" x14ac:dyDescent="0.35">
      <c r="A419" s="1">
        <v>45497</v>
      </c>
      <c r="B419" t="s">
        <v>108</v>
      </c>
      <c r="C419" s="2">
        <v>0.25634259259259257</v>
      </c>
      <c r="D419" t="s">
        <v>1072</v>
      </c>
      <c r="E419" t="s">
        <v>41</v>
      </c>
      <c r="F419" t="s">
        <v>1073</v>
      </c>
      <c r="G419" t="s">
        <v>67</v>
      </c>
      <c r="H419" t="s">
        <v>377</v>
      </c>
      <c r="I419" t="s">
        <v>173</v>
      </c>
      <c r="J419">
        <v>2.4</v>
      </c>
      <c r="K419">
        <v>38.5</v>
      </c>
      <c r="L419" t="s">
        <v>29</v>
      </c>
      <c r="M419" t="s">
        <v>29</v>
      </c>
      <c r="N419" t="s">
        <v>29</v>
      </c>
      <c r="O419" t="s">
        <v>29</v>
      </c>
      <c r="P419" t="s">
        <v>29</v>
      </c>
      <c r="Q419" t="s">
        <v>29</v>
      </c>
      <c r="R419">
        <v>445</v>
      </c>
      <c r="S419">
        <v>28.77</v>
      </c>
      <c r="T419">
        <v>4.2</v>
      </c>
      <c r="U419">
        <v>4.2</v>
      </c>
      <c r="V419" t="s">
        <v>38</v>
      </c>
    </row>
    <row r="420" spans="1:22" x14ac:dyDescent="0.35">
      <c r="A420" s="1">
        <v>45584</v>
      </c>
      <c r="B420" t="s">
        <v>47</v>
      </c>
      <c r="C420" s="2">
        <v>0.44694444444444442</v>
      </c>
      <c r="D420" t="s">
        <v>1074</v>
      </c>
      <c r="E420" t="s">
        <v>41</v>
      </c>
      <c r="F420" t="s">
        <v>1075</v>
      </c>
      <c r="G420" t="s">
        <v>50</v>
      </c>
      <c r="H420" t="s">
        <v>158</v>
      </c>
      <c r="I420" t="s">
        <v>454</v>
      </c>
      <c r="J420">
        <v>7.4</v>
      </c>
      <c r="K420">
        <v>20.6</v>
      </c>
      <c r="L420" t="s">
        <v>29</v>
      </c>
      <c r="M420" t="s">
        <v>29</v>
      </c>
      <c r="N420" t="s">
        <v>29</v>
      </c>
      <c r="O420" t="s">
        <v>29</v>
      </c>
      <c r="P420" t="s">
        <v>29</v>
      </c>
      <c r="Q420" t="s">
        <v>29</v>
      </c>
      <c r="R420">
        <v>1563</v>
      </c>
      <c r="S420">
        <v>8.86</v>
      </c>
      <c r="T420">
        <v>4.7</v>
      </c>
      <c r="U420">
        <v>4.5999999999999996</v>
      </c>
      <c r="V420" t="s">
        <v>84</v>
      </c>
    </row>
    <row r="421" spans="1:22" x14ac:dyDescent="0.35">
      <c r="A421" s="1">
        <v>45594</v>
      </c>
      <c r="B421" t="s">
        <v>47</v>
      </c>
      <c r="C421" s="2">
        <v>0.2658564814814815</v>
      </c>
      <c r="D421" t="s">
        <v>1076</v>
      </c>
      <c r="E421" t="s">
        <v>93</v>
      </c>
      <c r="F421" t="s">
        <v>1077</v>
      </c>
      <c r="G421" t="s">
        <v>43</v>
      </c>
      <c r="H421" t="s">
        <v>315</v>
      </c>
      <c r="I421" t="s">
        <v>366</v>
      </c>
      <c r="J421">
        <v>4.0999999999999996</v>
      </c>
      <c r="K421" t="s">
        <v>29</v>
      </c>
      <c r="L421" t="s">
        <v>29</v>
      </c>
      <c r="M421" t="s">
        <v>29</v>
      </c>
      <c r="N421">
        <v>1</v>
      </c>
      <c r="O421" t="s">
        <v>97</v>
      </c>
      <c r="P421" t="s">
        <v>29</v>
      </c>
      <c r="Q421" t="s">
        <v>29</v>
      </c>
      <c r="R421" t="s">
        <v>29</v>
      </c>
      <c r="S421" t="s">
        <v>29</v>
      </c>
      <c r="T421" t="s">
        <v>29</v>
      </c>
      <c r="U421" t="s">
        <v>29</v>
      </c>
      <c r="V421" t="s">
        <v>29</v>
      </c>
    </row>
    <row r="422" spans="1:22" x14ac:dyDescent="0.35">
      <c r="A422" s="1">
        <v>45329</v>
      </c>
      <c r="B422" t="s">
        <v>59</v>
      </c>
      <c r="C422" s="2">
        <v>0.79090277777777773</v>
      </c>
      <c r="D422" t="s">
        <v>1078</v>
      </c>
      <c r="E422" t="s">
        <v>24</v>
      </c>
      <c r="F422" t="s">
        <v>1079</v>
      </c>
      <c r="G422" t="s">
        <v>43</v>
      </c>
      <c r="H422" t="s">
        <v>320</v>
      </c>
      <c r="I422" t="s">
        <v>153</v>
      </c>
      <c r="J422" t="s">
        <v>29</v>
      </c>
      <c r="K422" t="s">
        <v>29</v>
      </c>
      <c r="L422" t="s">
        <v>29</v>
      </c>
      <c r="M422" t="s">
        <v>29</v>
      </c>
      <c r="N422" t="s">
        <v>29</v>
      </c>
      <c r="O422" t="s">
        <v>29</v>
      </c>
      <c r="P422" t="s">
        <v>29</v>
      </c>
      <c r="Q422" t="s">
        <v>29</v>
      </c>
      <c r="R422" t="s">
        <v>29</v>
      </c>
      <c r="S422" t="s">
        <v>29</v>
      </c>
      <c r="T422" t="s">
        <v>29</v>
      </c>
      <c r="U422" t="s">
        <v>29</v>
      </c>
      <c r="V422" t="s">
        <v>29</v>
      </c>
    </row>
    <row r="423" spans="1:22" x14ac:dyDescent="0.35">
      <c r="A423" s="1">
        <v>45380</v>
      </c>
      <c r="B423" t="s">
        <v>22</v>
      </c>
      <c r="C423" s="2">
        <v>0.86265046296296299</v>
      </c>
      <c r="D423" t="s">
        <v>1080</v>
      </c>
      <c r="E423" t="s">
        <v>24</v>
      </c>
      <c r="F423" t="s">
        <v>1081</v>
      </c>
      <c r="G423" t="s">
        <v>34</v>
      </c>
      <c r="H423" t="s">
        <v>133</v>
      </c>
      <c r="I423" t="s">
        <v>552</v>
      </c>
      <c r="J423" t="s">
        <v>29</v>
      </c>
      <c r="K423" t="s">
        <v>29</v>
      </c>
      <c r="L423" t="s">
        <v>29</v>
      </c>
      <c r="M423" t="s">
        <v>29</v>
      </c>
      <c r="N423" t="s">
        <v>29</v>
      </c>
      <c r="O423" t="s">
        <v>29</v>
      </c>
      <c r="P423" t="s">
        <v>29</v>
      </c>
      <c r="Q423" t="s">
        <v>29</v>
      </c>
      <c r="R423" t="s">
        <v>29</v>
      </c>
      <c r="S423" t="s">
        <v>29</v>
      </c>
      <c r="T423" t="s">
        <v>29</v>
      </c>
      <c r="U423" t="s">
        <v>29</v>
      </c>
      <c r="V423" t="s">
        <v>29</v>
      </c>
    </row>
    <row r="424" spans="1:22" x14ac:dyDescent="0.35">
      <c r="A424" s="1">
        <v>45427</v>
      </c>
      <c r="B424" t="s">
        <v>122</v>
      </c>
      <c r="C424" s="2">
        <v>0.62642361111111111</v>
      </c>
      <c r="D424" t="s">
        <v>1082</v>
      </c>
      <c r="E424" t="s">
        <v>41</v>
      </c>
      <c r="F424" t="s">
        <v>1083</v>
      </c>
      <c r="G424" t="s">
        <v>34</v>
      </c>
      <c r="H424" t="s">
        <v>808</v>
      </c>
      <c r="I424" t="s">
        <v>133</v>
      </c>
      <c r="J424">
        <v>12.2</v>
      </c>
      <c r="K424">
        <v>35.299999999999997</v>
      </c>
      <c r="L424" t="s">
        <v>29</v>
      </c>
      <c r="M424" t="s">
        <v>29</v>
      </c>
      <c r="N424" t="s">
        <v>29</v>
      </c>
      <c r="O424" t="s">
        <v>29</v>
      </c>
      <c r="P424" t="s">
        <v>29</v>
      </c>
      <c r="Q424" t="s">
        <v>29</v>
      </c>
      <c r="R424">
        <v>486</v>
      </c>
      <c r="S424">
        <v>30.28</v>
      </c>
      <c r="T424">
        <v>4.5999999999999996</v>
      </c>
      <c r="U424">
        <v>4.8</v>
      </c>
      <c r="V424" t="s">
        <v>46</v>
      </c>
    </row>
    <row r="425" spans="1:22" x14ac:dyDescent="0.35">
      <c r="A425" s="1">
        <v>45463</v>
      </c>
      <c r="B425" t="s">
        <v>64</v>
      </c>
      <c r="C425" s="2">
        <v>0.48204861111111114</v>
      </c>
      <c r="D425" t="s">
        <v>1084</v>
      </c>
      <c r="E425" t="s">
        <v>41</v>
      </c>
      <c r="F425" t="s">
        <v>1085</v>
      </c>
      <c r="G425" t="s">
        <v>50</v>
      </c>
      <c r="H425" t="s">
        <v>190</v>
      </c>
      <c r="I425" t="s">
        <v>435</v>
      </c>
      <c r="J425">
        <v>4.3</v>
      </c>
      <c r="K425">
        <v>33.1</v>
      </c>
      <c r="L425" t="s">
        <v>29</v>
      </c>
      <c r="M425" t="s">
        <v>29</v>
      </c>
      <c r="N425" t="s">
        <v>29</v>
      </c>
      <c r="O425" t="s">
        <v>29</v>
      </c>
      <c r="P425" t="s">
        <v>29</v>
      </c>
      <c r="Q425" t="s">
        <v>29</v>
      </c>
      <c r="R425">
        <v>480</v>
      </c>
      <c r="S425">
        <v>40.380000000000003</v>
      </c>
      <c r="T425">
        <v>4.2</v>
      </c>
      <c r="U425">
        <v>3.7</v>
      </c>
      <c r="V425" t="s">
        <v>84</v>
      </c>
    </row>
    <row r="426" spans="1:22" x14ac:dyDescent="0.35">
      <c r="A426" s="1">
        <v>45549</v>
      </c>
      <c r="B426" t="s">
        <v>53</v>
      </c>
      <c r="C426" s="2">
        <v>0.4304513888888889</v>
      </c>
      <c r="D426" t="s">
        <v>1086</v>
      </c>
      <c r="E426" t="s">
        <v>41</v>
      </c>
      <c r="F426" t="s">
        <v>1087</v>
      </c>
      <c r="G426" t="s">
        <v>56</v>
      </c>
      <c r="H426" t="s">
        <v>474</v>
      </c>
      <c r="I426" t="s">
        <v>290</v>
      </c>
      <c r="J426">
        <v>11.1</v>
      </c>
      <c r="K426">
        <v>26.5</v>
      </c>
      <c r="L426" t="s">
        <v>29</v>
      </c>
      <c r="M426" t="s">
        <v>29</v>
      </c>
      <c r="N426" t="s">
        <v>29</v>
      </c>
      <c r="O426" t="s">
        <v>29</v>
      </c>
      <c r="P426" t="s">
        <v>29</v>
      </c>
      <c r="Q426" t="s">
        <v>29</v>
      </c>
      <c r="R426">
        <v>162</v>
      </c>
      <c r="S426">
        <v>45.56</v>
      </c>
      <c r="T426">
        <v>3.6</v>
      </c>
      <c r="U426">
        <v>4.3</v>
      </c>
      <c r="V426" t="s">
        <v>149</v>
      </c>
    </row>
    <row r="427" spans="1:22" x14ac:dyDescent="0.35">
      <c r="A427" s="1">
        <v>45400</v>
      </c>
      <c r="B427" t="s">
        <v>154</v>
      </c>
      <c r="C427" s="2">
        <v>0.7386342592592593</v>
      </c>
      <c r="D427" t="s">
        <v>1088</v>
      </c>
      <c r="E427" t="s">
        <v>41</v>
      </c>
      <c r="F427" t="s">
        <v>1089</v>
      </c>
      <c r="G427" t="s">
        <v>56</v>
      </c>
      <c r="H427" t="s">
        <v>202</v>
      </c>
      <c r="I427" t="s">
        <v>114</v>
      </c>
      <c r="J427">
        <v>7.1</v>
      </c>
      <c r="K427">
        <v>34</v>
      </c>
      <c r="L427" t="s">
        <v>29</v>
      </c>
      <c r="M427" t="s">
        <v>29</v>
      </c>
      <c r="N427" t="s">
        <v>29</v>
      </c>
      <c r="O427" t="s">
        <v>29</v>
      </c>
      <c r="P427" t="s">
        <v>29</v>
      </c>
      <c r="Q427" t="s">
        <v>29</v>
      </c>
      <c r="R427">
        <v>964</v>
      </c>
      <c r="S427">
        <v>47.18</v>
      </c>
      <c r="T427">
        <v>4.5999999999999996</v>
      </c>
      <c r="U427">
        <v>4.5999999999999996</v>
      </c>
      <c r="V427" t="s">
        <v>46</v>
      </c>
    </row>
    <row r="428" spans="1:22" x14ac:dyDescent="0.35">
      <c r="A428" s="1">
        <v>45363</v>
      </c>
      <c r="B428" t="s">
        <v>22</v>
      </c>
      <c r="C428" s="2">
        <v>0.76854166666666668</v>
      </c>
      <c r="D428" t="s">
        <v>1090</v>
      </c>
      <c r="E428" t="s">
        <v>41</v>
      </c>
      <c r="F428" t="s">
        <v>1091</v>
      </c>
      <c r="G428" t="s">
        <v>56</v>
      </c>
      <c r="H428" t="s">
        <v>96</v>
      </c>
      <c r="I428" t="s">
        <v>194</v>
      </c>
      <c r="J428">
        <v>3</v>
      </c>
      <c r="K428">
        <v>29.1</v>
      </c>
      <c r="L428" t="s">
        <v>29</v>
      </c>
      <c r="M428" t="s">
        <v>29</v>
      </c>
      <c r="N428" t="s">
        <v>29</v>
      </c>
      <c r="O428" t="s">
        <v>29</v>
      </c>
      <c r="P428" t="s">
        <v>29</v>
      </c>
      <c r="Q428" t="s">
        <v>29</v>
      </c>
      <c r="R428">
        <v>68</v>
      </c>
      <c r="S428">
        <v>46.93</v>
      </c>
      <c r="T428">
        <v>3.3</v>
      </c>
      <c r="U428">
        <v>4.9000000000000004</v>
      </c>
      <c r="V428" t="s">
        <v>84</v>
      </c>
    </row>
    <row r="429" spans="1:22" x14ac:dyDescent="0.35">
      <c r="A429" s="1">
        <v>45621</v>
      </c>
      <c r="B429" t="s">
        <v>30</v>
      </c>
      <c r="C429" s="2">
        <v>0.76356481481481486</v>
      </c>
      <c r="D429" t="s">
        <v>1092</v>
      </c>
      <c r="E429" t="s">
        <v>93</v>
      </c>
      <c r="F429" t="s">
        <v>1093</v>
      </c>
      <c r="G429" t="s">
        <v>34</v>
      </c>
      <c r="H429" t="s">
        <v>129</v>
      </c>
      <c r="I429" t="s">
        <v>262</v>
      </c>
      <c r="J429">
        <v>9.8000000000000007</v>
      </c>
      <c r="K429" t="s">
        <v>29</v>
      </c>
      <c r="L429" t="s">
        <v>29</v>
      </c>
      <c r="M429" t="s">
        <v>29</v>
      </c>
      <c r="N429">
        <v>1</v>
      </c>
      <c r="O429" t="s">
        <v>337</v>
      </c>
      <c r="P429" t="s">
        <v>29</v>
      </c>
      <c r="Q429" t="s">
        <v>29</v>
      </c>
      <c r="R429" t="s">
        <v>29</v>
      </c>
      <c r="S429" t="s">
        <v>29</v>
      </c>
      <c r="T429" t="s">
        <v>29</v>
      </c>
      <c r="U429" t="s">
        <v>29</v>
      </c>
      <c r="V429" t="s">
        <v>29</v>
      </c>
    </row>
    <row r="430" spans="1:22" x14ac:dyDescent="0.35">
      <c r="A430" s="1">
        <v>45435</v>
      </c>
      <c r="B430" t="s">
        <v>122</v>
      </c>
      <c r="C430" s="2">
        <v>0.79865740740740743</v>
      </c>
      <c r="D430" t="s">
        <v>1094</v>
      </c>
      <c r="E430" t="s">
        <v>41</v>
      </c>
      <c r="F430" t="s">
        <v>1095</v>
      </c>
      <c r="G430" t="s">
        <v>43</v>
      </c>
      <c r="H430" t="s">
        <v>349</v>
      </c>
      <c r="I430" t="s">
        <v>103</v>
      </c>
      <c r="J430">
        <v>3.5</v>
      </c>
      <c r="K430">
        <v>22.7</v>
      </c>
      <c r="L430" t="s">
        <v>29</v>
      </c>
      <c r="M430" t="s">
        <v>29</v>
      </c>
      <c r="N430" t="s">
        <v>29</v>
      </c>
      <c r="O430" t="s">
        <v>29</v>
      </c>
      <c r="P430" t="s">
        <v>29</v>
      </c>
      <c r="Q430" t="s">
        <v>29</v>
      </c>
      <c r="R430">
        <v>77</v>
      </c>
      <c r="S430">
        <v>43.81</v>
      </c>
      <c r="T430">
        <v>4.5</v>
      </c>
      <c r="U430">
        <v>4.8</v>
      </c>
      <c r="V430" t="s">
        <v>107</v>
      </c>
    </row>
    <row r="431" spans="1:22" x14ac:dyDescent="0.35">
      <c r="A431" s="1">
        <v>45647</v>
      </c>
      <c r="B431" t="s">
        <v>78</v>
      </c>
      <c r="C431" s="2">
        <v>0.84222222222222221</v>
      </c>
      <c r="D431" t="s">
        <v>1096</v>
      </c>
      <c r="E431" t="s">
        <v>41</v>
      </c>
      <c r="F431" t="s">
        <v>1097</v>
      </c>
      <c r="G431" t="s">
        <v>43</v>
      </c>
      <c r="H431" t="s">
        <v>449</v>
      </c>
      <c r="I431" t="s">
        <v>962</v>
      </c>
      <c r="J431">
        <v>6.2</v>
      </c>
      <c r="K431">
        <v>20.6</v>
      </c>
      <c r="L431" t="s">
        <v>29</v>
      </c>
      <c r="M431" t="s">
        <v>29</v>
      </c>
      <c r="N431" t="s">
        <v>29</v>
      </c>
      <c r="O431" t="s">
        <v>29</v>
      </c>
      <c r="P431" t="s">
        <v>29</v>
      </c>
      <c r="Q431" t="s">
        <v>29</v>
      </c>
      <c r="R431">
        <v>1596</v>
      </c>
      <c r="S431">
        <v>38.53</v>
      </c>
      <c r="T431">
        <v>4.5999999999999996</v>
      </c>
      <c r="U431">
        <v>4.5</v>
      </c>
      <c r="V431" t="s">
        <v>46</v>
      </c>
    </row>
    <row r="432" spans="1:22" x14ac:dyDescent="0.35">
      <c r="A432" s="1">
        <v>45476</v>
      </c>
      <c r="B432" t="s">
        <v>108</v>
      </c>
      <c r="C432" s="2">
        <v>0.37436342592592592</v>
      </c>
      <c r="D432" t="s">
        <v>1098</v>
      </c>
      <c r="E432" t="s">
        <v>93</v>
      </c>
      <c r="F432" t="s">
        <v>1099</v>
      </c>
      <c r="G432" t="s">
        <v>67</v>
      </c>
      <c r="H432" t="s">
        <v>186</v>
      </c>
      <c r="I432" t="s">
        <v>52</v>
      </c>
      <c r="J432">
        <v>7.4</v>
      </c>
      <c r="K432" t="s">
        <v>29</v>
      </c>
      <c r="L432" t="s">
        <v>29</v>
      </c>
      <c r="M432" t="s">
        <v>29</v>
      </c>
      <c r="N432">
        <v>1</v>
      </c>
      <c r="O432" t="s">
        <v>337</v>
      </c>
      <c r="P432" t="s">
        <v>29</v>
      </c>
      <c r="Q432" t="s">
        <v>29</v>
      </c>
      <c r="R432" t="s">
        <v>29</v>
      </c>
      <c r="S432" t="s">
        <v>29</v>
      </c>
      <c r="T432" t="s">
        <v>29</v>
      </c>
      <c r="U432" t="s">
        <v>29</v>
      </c>
      <c r="V432" t="s">
        <v>29</v>
      </c>
    </row>
    <row r="433" spans="1:22" x14ac:dyDescent="0.35">
      <c r="A433" s="1">
        <v>45338</v>
      </c>
      <c r="B433" t="s">
        <v>59</v>
      </c>
      <c r="C433" s="2">
        <v>0.75932870370370376</v>
      </c>
      <c r="D433" t="s">
        <v>1100</v>
      </c>
      <c r="E433" t="s">
        <v>24</v>
      </c>
      <c r="F433" t="s">
        <v>1101</v>
      </c>
      <c r="G433" t="s">
        <v>43</v>
      </c>
      <c r="H433" t="s">
        <v>69</v>
      </c>
      <c r="I433" t="s">
        <v>220</v>
      </c>
      <c r="J433" t="s">
        <v>29</v>
      </c>
      <c r="K433" t="s">
        <v>29</v>
      </c>
      <c r="L433" t="s">
        <v>29</v>
      </c>
      <c r="M433" t="s">
        <v>29</v>
      </c>
      <c r="N433" t="s">
        <v>29</v>
      </c>
      <c r="O433" t="s">
        <v>29</v>
      </c>
      <c r="P433" t="s">
        <v>29</v>
      </c>
      <c r="Q433" t="s">
        <v>29</v>
      </c>
      <c r="R433" t="s">
        <v>29</v>
      </c>
      <c r="S433" t="s">
        <v>29</v>
      </c>
      <c r="T433" t="s">
        <v>29</v>
      </c>
      <c r="U433" t="s">
        <v>29</v>
      </c>
      <c r="V433" t="s">
        <v>29</v>
      </c>
    </row>
    <row r="434" spans="1:22" x14ac:dyDescent="0.35">
      <c r="A434" s="1">
        <v>45497</v>
      </c>
      <c r="B434" t="s">
        <v>108</v>
      </c>
      <c r="C434" s="2">
        <v>0.82877314814814818</v>
      </c>
      <c r="D434" t="s">
        <v>1102</v>
      </c>
      <c r="E434" t="s">
        <v>41</v>
      </c>
      <c r="F434" t="s">
        <v>1103</v>
      </c>
      <c r="G434" t="s">
        <v>56</v>
      </c>
      <c r="H434" t="s">
        <v>398</v>
      </c>
      <c r="I434" t="s">
        <v>391</v>
      </c>
      <c r="J434">
        <v>9.9</v>
      </c>
      <c r="K434">
        <v>26.6</v>
      </c>
      <c r="L434" t="s">
        <v>29</v>
      </c>
      <c r="M434" t="s">
        <v>29</v>
      </c>
      <c r="N434" t="s">
        <v>29</v>
      </c>
      <c r="O434" t="s">
        <v>29</v>
      </c>
      <c r="P434" t="s">
        <v>29</v>
      </c>
      <c r="Q434" t="s">
        <v>29</v>
      </c>
      <c r="R434">
        <v>983</v>
      </c>
      <c r="S434">
        <v>33.61</v>
      </c>
      <c r="T434">
        <v>3.7</v>
      </c>
      <c r="U434">
        <v>4.5999999999999996</v>
      </c>
      <c r="V434" t="s">
        <v>84</v>
      </c>
    </row>
    <row r="435" spans="1:22" x14ac:dyDescent="0.35">
      <c r="A435" s="1">
        <v>45435</v>
      </c>
      <c r="B435" t="s">
        <v>122</v>
      </c>
      <c r="C435" s="2">
        <v>1.9293981481481481E-2</v>
      </c>
      <c r="D435" t="s">
        <v>1104</v>
      </c>
      <c r="E435" t="s">
        <v>41</v>
      </c>
      <c r="F435" t="s">
        <v>1105</v>
      </c>
      <c r="G435" t="s">
        <v>67</v>
      </c>
      <c r="H435" t="s">
        <v>935</v>
      </c>
      <c r="I435" t="s">
        <v>220</v>
      </c>
      <c r="J435">
        <v>3</v>
      </c>
      <c r="K435">
        <v>29.4</v>
      </c>
      <c r="L435" t="s">
        <v>29</v>
      </c>
      <c r="M435" t="s">
        <v>29</v>
      </c>
      <c r="N435" t="s">
        <v>29</v>
      </c>
      <c r="O435" t="s">
        <v>29</v>
      </c>
      <c r="P435" t="s">
        <v>29</v>
      </c>
      <c r="Q435" t="s">
        <v>29</v>
      </c>
      <c r="R435">
        <v>68</v>
      </c>
      <c r="S435">
        <v>24.62</v>
      </c>
      <c r="T435">
        <v>5</v>
      </c>
      <c r="U435">
        <v>3.7</v>
      </c>
      <c r="V435" t="s">
        <v>84</v>
      </c>
    </row>
    <row r="436" spans="1:22" x14ac:dyDescent="0.35">
      <c r="A436" s="1">
        <v>45416</v>
      </c>
      <c r="B436" t="s">
        <v>122</v>
      </c>
      <c r="C436" s="2">
        <v>0.916875</v>
      </c>
      <c r="D436" t="s">
        <v>1106</v>
      </c>
      <c r="E436" t="s">
        <v>41</v>
      </c>
      <c r="F436" t="s">
        <v>1107</v>
      </c>
      <c r="G436" t="s">
        <v>50</v>
      </c>
      <c r="H436" t="s">
        <v>386</v>
      </c>
      <c r="I436" t="s">
        <v>616</v>
      </c>
      <c r="J436">
        <v>11.6</v>
      </c>
      <c r="K436">
        <v>32</v>
      </c>
      <c r="L436" t="s">
        <v>29</v>
      </c>
      <c r="M436" t="s">
        <v>29</v>
      </c>
      <c r="N436" t="s">
        <v>29</v>
      </c>
      <c r="O436" t="s">
        <v>29</v>
      </c>
      <c r="P436" t="s">
        <v>29</v>
      </c>
      <c r="Q436" t="s">
        <v>29</v>
      </c>
      <c r="R436">
        <v>493</v>
      </c>
      <c r="S436">
        <v>33.799999999999997</v>
      </c>
      <c r="T436">
        <v>4.9000000000000004</v>
      </c>
      <c r="U436">
        <v>4.2</v>
      </c>
      <c r="V436" t="s">
        <v>38</v>
      </c>
    </row>
    <row r="437" spans="1:22" x14ac:dyDescent="0.35">
      <c r="A437" s="1">
        <v>45567</v>
      </c>
      <c r="B437" t="s">
        <v>47</v>
      </c>
      <c r="C437" s="2">
        <v>0.71603009259259254</v>
      </c>
      <c r="D437" t="s">
        <v>1108</v>
      </c>
      <c r="E437" t="s">
        <v>93</v>
      </c>
      <c r="F437" t="s">
        <v>1109</v>
      </c>
      <c r="G437" t="s">
        <v>34</v>
      </c>
      <c r="H437" t="s">
        <v>486</v>
      </c>
      <c r="I437" t="s">
        <v>549</v>
      </c>
      <c r="J437">
        <v>5.8</v>
      </c>
      <c r="K437" t="s">
        <v>29</v>
      </c>
      <c r="L437" t="s">
        <v>29</v>
      </c>
      <c r="M437" t="s">
        <v>29</v>
      </c>
      <c r="N437">
        <v>1</v>
      </c>
      <c r="O437" t="s">
        <v>97</v>
      </c>
      <c r="P437" t="s">
        <v>29</v>
      </c>
      <c r="Q437" t="s">
        <v>29</v>
      </c>
      <c r="R437" t="s">
        <v>29</v>
      </c>
      <c r="S437" t="s">
        <v>29</v>
      </c>
      <c r="T437" t="s">
        <v>29</v>
      </c>
      <c r="U437" t="s">
        <v>29</v>
      </c>
      <c r="V437" t="s">
        <v>29</v>
      </c>
    </row>
    <row r="438" spans="1:22" x14ac:dyDescent="0.35">
      <c r="A438" s="1">
        <v>45644</v>
      </c>
      <c r="B438" t="s">
        <v>78</v>
      </c>
      <c r="C438" s="2">
        <v>0.80812499999999998</v>
      </c>
      <c r="D438" t="s">
        <v>1110</v>
      </c>
      <c r="E438" t="s">
        <v>41</v>
      </c>
      <c r="F438" t="s">
        <v>1111</v>
      </c>
      <c r="G438" t="s">
        <v>43</v>
      </c>
      <c r="H438" t="s">
        <v>157</v>
      </c>
      <c r="I438" t="s">
        <v>36</v>
      </c>
      <c r="J438">
        <v>3.2</v>
      </c>
      <c r="K438">
        <v>44.4</v>
      </c>
      <c r="L438" t="s">
        <v>29</v>
      </c>
      <c r="M438" t="s">
        <v>29</v>
      </c>
      <c r="N438" t="s">
        <v>29</v>
      </c>
      <c r="O438" t="s">
        <v>29</v>
      </c>
      <c r="P438" t="s">
        <v>29</v>
      </c>
      <c r="Q438" t="s">
        <v>29</v>
      </c>
      <c r="R438">
        <v>745</v>
      </c>
      <c r="S438">
        <v>32.090000000000003</v>
      </c>
      <c r="T438">
        <v>4.5999999999999996</v>
      </c>
      <c r="U438">
        <v>4.3</v>
      </c>
      <c r="V438" t="s">
        <v>149</v>
      </c>
    </row>
    <row r="439" spans="1:22" x14ac:dyDescent="0.35">
      <c r="A439" s="1">
        <v>45294</v>
      </c>
      <c r="B439" t="s">
        <v>150</v>
      </c>
      <c r="C439" s="2">
        <v>0.682037037037037</v>
      </c>
      <c r="D439" t="s">
        <v>1112</v>
      </c>
      <c r="E439" t="s">
        <v>93</v>
      </c>
      <c r="F439" t="s">
        <v>1113</v>
      </c>
      <c r="G439" t="s">
        <v>26</v>
      </c>
      <c r="H439" t="s">
        <v>386</v>
      </c>
      <c r="I439" t="s">
        <v>177</v>
      </c>
      <c r="J439">
        <v>6.9</v>
      </c>
      <c r="K439" t="s">
        <v>29</v>
      </c>
      <c r="L439" t="s">
        <v>29</v>
      </c>
      <c r="M439" t="s">
        <v>29</v>
      </c>
      <c r="N439">
        <v>1</v>
      </c>
      <c r="O439" t="s">
        <v>115</v>
      </c>
      <c r="P439" t="s">
        <v>29</v>
      </c>
      <c r="Q439" t="s">
        <v>29</v>
      </c>
      <c r="R439" t="s">
        <v>29</v>
      </c>
      <c r="S439" t="s">
        <v>29</v>
      </c>
      <c r="T439" t="s">
        <v>29</v>
      </c>
      <c r="U439" t="s">
        <v>29</v>
      </c>
      <c r="V439" t="s">
        <v>29</v>
      </c>
    </row>
    <row r="440" spans="1:22" x14ac:dyDescent="0.35">
      <c r="A440" s="1">
        <v>45475</v>
      </c>
      <c r="B440" t="s">
        <v>108</v>
      </c>
      <c r="C440" s="2">
        <v>0.49190972222222223</v>
      </c>
      <c r="D440" t="s">
        <v>1114</v>
      </c>
      <c r="E440" t="s">
        <v>41</v>
      </c>
      <c r="F440" t="s">
        <v>1115</v>
      </c>
      <c r="G440" t="s">
        <v>50</v>
      </c>
      <c r="H440" t="s">
        <v>52</v>
      </c>
      <c r="I440" t="s">
        <v>35</v>
      </c>
      <c r="J440">
        <v>14.5</v>
      </c>
      <c r="K440">
        <v>40.4</v>
      </c>
      <c r="L440" t="s">
        <v>29</v>
      </c>
      <c r="M440" t="s">
        <v>29</v>
      </c>
      <c r="N440" t="s">
        <v>29</v>
      </c>
      <c r="O440" t="s">
        <v>29</v>
      </c>
      <c r="P440" t="s">
        <v>29</v>
      </c>
      <c r="Q440" t="s">
        <v>29</v>
      </c>
      <c r="R440">
        <v>304</v>
      </c>
      <c r="S440">
        <v>13.99</v>
      </c>
      <c r="T440">
        <v>4.8</v>
      </c>
      <c r="U440">
        <v>4.5</v>
      </c>
      <c r="V440" t="s">
        <v>107</v>
      </c>
    </row>
    <row r="441" spans="1:22" x14ac:dyDescent="0.35">
      <c r="A441" s="1">
        <v>45534</v>
      </c>
      <c r="B441" t="s">
        <v>39</v>
      </c>
      <c r="C441" s="2">
        <v>0.29679398148148151</v>
      </c>
      <c r="D441" t="s">
        <v>1116</v>
      </c>
      <c r="E441" t="s">
        <v>93</v>
      </c>
      <c r="F441" t="s">
        <v>1117</v>
      </c>
      <c r="G441" t="s">
        <v>26</v>
      </c>
      <c r="H441" t="s">
        <v>454</v>
      </c>
      <c r="I441" t="s">
        <v>430</v>
      </c>
      <c r="J441">
        <v>4.7</v>
      </c>
      <c r="K441" t="s">
        <v>29</v>
      </c>
      <c r="L441" t="s">
        <v>29</v>
      </c>
      <c r="M441" t="s">
        <v>29</v>
      </c>
      <c r="N441">
        <v>1</v>
      </c>
      <c r="O441" t="s">
        <v>97</v>
      </c>
      <c r="P441" t="s">
        <v>29</v>
      </c>
      <c r="Q441" t="s">
        <v>29</v>
      </c>
      <c r="R441" t="s">
        <v>29</v>
      </c>
      <c r="S441" t="s">
        <v>29</v>
      </c>
      <c r="T441" t="s">
        <v>29</v>
      </c>
      <c r="U441" t="s">
        <v>29</v>
      </c>
      <c r="V441" t="s">
        <v>29</v>
      </c>
    </row>
    <row r="442" spans="1:22" x14ac:dyDescent="0.35">
      <c r="A442" s="1">
        <v>45625</v>
      </c>
      <c r="B442" t="s">
        <v>30</v>
      </c>
      <c r="C442" s="2">
        <v>0.77670138888888884</v>
      </c>
      <c r="D442" t="s">
        <v>1118</v>
      </c>
      <c r="E442" t="s">
        <v>41</v>
      </c>
      <c r="F442" t="s">
        <v>1119</v>
      </c>
      <c r="G442" t="s">
        <v>43</v>
      </c>
      <c r="H442" t="s">
        <v>552</v>
      </c>
      <c r="I442" t="s">
        <v>1035</v>
      </c>
      <c r="J442">
        <v>9</v>
      </c>
      <c r="K442">
        <v>17.100000000000001</v>
      </c>
      <c r="L442" t="s">
        <v>29</v>
      </c>
      <c r="M442" t="s">
        <v>29</v>
      </c>
      <c r="N442" t="s">
        <v>29</v>
      </c>
      <c r="O442" t="s">
        <v>29</v>
      </c>
      <c r="P442" t="s">
        <v>29</v>
      </c>
      <c r="Q442" t="s">
        <v>29</v>
      </c>
      <c r="R442">
        <v>402</v>
      </c>
      <c r="S442">
        <v>14.13</v>
      </c>
      <c r="T442">
        <v>4.5999999999999996</v>
      </c>
      <c r="U442">
        <v>4.0999999999999996</v>
      </c>
      <c r="V442" t="s">
        <v>38</v>
      </c>
    </row>
    <row r="443" spans="1:22" x14ac:dyDescent="0.35">
      <c r="A443" s="1">
        <v>45562</v>
      </c>
      <c r="B443" t="s">
        <v>53</v>
      </c>
      <c r="C443" s="2">
        <v>0.78207175925925931</v>
      </c>
      <c r="D443" t="s">
        <v>1120</v>
      </c>
      <c r="E443" t="s">
        <v>24</v>
      </c>
      <c r="F443" t="s">
        <v>1121</v>
      </c>
      <c r="G443" t="s">
        <v>43</v>
      </c>
      <c r="H443" t="s">
        <v>186</v>
      </c>
      <c r="I443" t="s">
        <v>132</v>
      </c>
      <c r="J443" t="s">
        <v>29</v>
      </c>
      <c r="K443" t="s">
        <v>29</v>
      </c>
      <c r="L443" t="s">
        <v>29</v>
      </c>
      <c r="M443" t="s">
        <v>29</v>
      </c>
      <c r="N443" t="s">
        <v>29</v>
      </c>
      <c r="O443" t="s">
        <v>29</v>
      </c>
      <c r="P443" t="s">
        <v>29</v>
      </c>
      <c r="Q443" t="s">
        <v>29</v>
      </c>
      <c r="R443" t="s">
        <v>29</v>
      </c>
      <c r="S443" t="s">
        <v>29</v>
      </c>
      <c r="T443" t="s">
        <v>29</v>
      </c>
      <c r="U443" t="s">
        <v>29</v>
      </c>
      <c r="V443" t="s">
        <v>29</v>
      </c>
    </row>
    <row r="444" spans="1:22" x14ac:dyDescent="0.35">
      <c r="A444" s="1">
        <v>45317</v>
      </c>
      <c r="B444" t="s">
        <v>150</v>
      </c>
      <c r="C444" s="2">
        <v>0.68210648148148145</v>
      </c>
      <c r="D444" t="s">
        <v>1122</v>
      </c>
      <c r="E444" t="s">
        <v>41</v>
      </c>
      <c r="F444" t="s">
        <v>1123</v>
      </c>
      <c r="G444" t="s">
        <v>67</v>
      </c>
      <c r="H444" t="s">
        <v>210</v>
      </c>
      <c r="I444" t="s">
        <v>27</v>
      </c>
      <c r="J444">
        <v>12.7</v>
      </c>
      <c r="K444">
        <v>36.5</v>
      </c>
      <c r="L444" t="s">
        <v>29</v>
      </c>
      <c r="M444" t="s">
        <v>29</v>
      </c>
      <c r="N444" t="s">
        <v>29</v>
      </c>
      <c r="O444" t="s">
        <v>29</v>
      </c>
      <c r="P444" t="s">
        <v>29</v>
      </c>
      <c r="Q444" t="s">
        <v>29</v>
      </c>
      <c r="R444">
        <v>320</v>
      </c>
      <c r="S444">
        <v>34.86</v>
      </c>
      <c r="T444">
        <v>5</v>
      </c>
      <c r="U444">
        <v>4.5</v>
      </c>
      <c r="V444" t="s">
        <v>84</v>
      </c>
    </row>
    <row r="445" spans="1:22" x14ac:dyDescent="0.35">
      <c r="A445" s="1">
        <v>45380</v>
      </c>
      <c r="B445" t="s">
        <v>22</v>
      </c>
      <c r="C445" s="2">
        <v>0.19582175925925926</v>
      </c>
      <c r="D445" t="s">
        <v>1124</v>
      </c>
      <c r="E445" t="s">
        <v>41</v>
      </c>
      <c r="F445" t="s">
        <v>1125</v>
      </c>
      <c r="G445" t="s">
        <v>56</v>
      </c>
      <c r="H445" t="s">
        <v>27</v>
      </c>
      <c r="I445" t="s">
        <v>190</v>
      </c>
      <c r="J445">
        <v>9.1999999999999993</v>
      </c>
      <c r="K445">
        <v>34.6</v>
      </c>
      <c r="L445" t="s">
        <v>29</v>
      </c>
      <c r="M445" t="s">
        <v>29</v>
      </c>
      <c r="N445" t="s">
        <v>29</v>
      </c>
      <c r="O445" t="s">
        <v>29</v>
      </c>
      <c r="P445" t="s">
        <v>29</v>
      </c>
      <c r="Q445" t="s">
        <v>29</v>
      </c>
      <c r="R445">
        <v>1247</v>
      </c>
      <c r="S445">
        <v>43.94</v>
      </c>
      <c r="T445">
        <v>4.5</v>
      </c>
      <c r="U445">
        <v>3.1</v>
      </c>
      <c r="V445" t="s">
        <v>107</v>
      </c>
    </row>
    <row r="446" spans="1:22" x14ac:dyDescent="0.35">
      <c r="A446" s="1">
        <v>45550</v>
      </c>
      <c r="B446" t="s">
        <v>53</v>
      </c>
      <c r="C446" s="2">
        <v>0.93989583333333337</v>
      </c>
      <c r="D446" t="s">
        <v>1126</v>
      </c>
      <c r="E446" t="s">
        <v>41</v>
      </c>
      <c r="F446" t="s">
        <v>1127</v>
      </c>
      <c r="G446" t="s">
        <v>50</v>
      </c>
      <c r="H446" t="s">
        <v>211</v>
      </c>
      <c r="I446" t="s">
        <v>249</v>
      </c>
      <c r="J446">
        <v>6.1</v>
      </c>
      <c r="K446">
        <v>29</v>
      </c>
      <c r="L446" t="s">
        <v>29</v>
      </c>
      <c r="M446" t="s">
        <v>29</v>
      </c>
      <c r="N446" t="s">
        <v>29</v>
      </c>
      <c r="O446" t="s">
        <v>29</v>
      </c>
      <c r="P446" t="s">
        <v>29</v>
      </c>
      <c r="Q446" t="s">
        <v>29</v>
      </c>
      <c r="R446">
        <v>358</v>
      </c>
      <c r="S446">
        <v>24.56</v>
      </c>
      <c r="T446">
        <v>3.6</v>
      </c>
      <c r="U446">
        <v>3.8</v>
      </c>
      <c r="V446" t="s">
        <v>38</v>
      </c>
    </row>
    <row r="447" spans="1:22" x14ac:dyDescent="0.35">
      <c r="A447" s="1">
        <v>45619</v>
      </c>
      <c r="B447" t="s">
        <v>30</v>
      </c>
      <c r="C447" s="2">
        <v>0.7958101851851852</v>
      </c>
      <c r="D447" t="s">
        <v>1128</v>
      </c>
      <c r="E447" t="s">
        <v>41</v>
      </c>
      <c r="F447" t="s">
        <v>1129</v>
      </c>
      <c r="G447" t="s">
        <v>43</v>
      </c>
      <c r="H447" t="s">
        <v>892</v>
      </c>
      <c r="I447" t="s">
        <v>245</v>
      </c>
      <c r="J447">
        <v>5.5</v>
      </c>
      <c r="K447">
        <v>31.6</v>
      </c>
      <c r="L447" t="s">
        <v>29</v>
      </c>
      <c r="M447" t="s">
        <v>29</v>
      </c>
      <c r="N447" t="s">
        <v>29</v>
      </c>
      <c r="O447" t="s">
        <v>29</v>
      </c>
      <c r="P447" t="s">
        <v>29</v>
      </c>
      <c r="Q447" t="s">
        <v>29</v>
      </c>
      <c r="R447">
        <v>86</v>
      </c>
      <c r="S447">
        <v>32.14</v>
      </c>
      <c r="T447">
        <v>4.5999999999999996</v>
      </c>
      <c r="U447">
        <v>4.5999999999999996</v>
      </c>
      <c r="V447" t="s">
        <v>38</v>
      </c>
    </row>
    <row r="448" spans="1:22" x14ac:dyDescent="0.35">
      <c r="A448" s="1">
        <v>45609</v>
      </c>
      <c r="B448" t="s">
        <v>30</v>
      </c>
      <c r="C448" s="2">
        <v>0.49274305555555553</v>
      </c>
      <c r="D448" t="s">
        <v>1130</v>
      </c>
      <c r="E448" t="s">
        <v>93</v>
      </c>
      <c r="F448" t="s">
        <v>1131</v>
      </c>
      <c r="G448" t="s">
        <v>34</v>
      </c>
      <c r="H448" t="s">
        <v>119</v>
      </c>
      <c r="I448" t="s">
        <v>1035</v>
      </c>
      <c r="J448">
        <v>10.4</v>
      </c>
      <c r="K448" t="s">
        <v>29</v>
      </c>
      <c r="L448" t="s">
        <v>29</v>
      </c>
      <c r="M448" t="s">
        <v>29</v>
      </c>
      <c r="N448">
        <v>1</v>
      </c>
      <c r="O448" t="s">
        <v>169</v>
      </c>
      <c r="P448" t="s">
        <v>29</v>
      </c>
      <c r="Q448" t="s">
        <v>29</v>
      </c>
      <c r="R448" t="s">
        <v>29</v>
      </c>
      <c r="S448" t="s">
        <v>29</v>
      </c>
      <c r="T448" t="s">
        <v>29</v>
      </c>
      <c r="U448" t="s">
        <v>29</v>
      </c>
      <c r="V448" t="s">
        <v>29</v>
      </c>
    </row>
    <row r="449" spans="1:22" x14ac:dyDescent="0.35">
      <c r="A449" s="1">
        <v>45327</v>
      </c>
      <c r="B449" t="s">
        <v>59</v>
      </c>
      <c r="C449" s="2">
        <v>0.82532407407407404</v>
      </c>
      <c r="D449" t="s">
        <v>1132</v>
      </c>
      <c r="E449" t="s">
        <v>117</v>
      </c>
      <c r="F449" t="s">
        <v>1133</v>
      </c>
      <c r="G449" t="s">
        <v>50</v>
      </c>
      <c r="H449" t="s">
        <v>129</v>
      </c>
      <c r="I449" t="s">
        <v>51</v>
      </c>
      <c r="J449">
        <v>6.3</v>
      </c>
      <c r="K449" t="s">
        <v>29</v>
      </c>
      <c r="L449">
        <v>1</v>
      </c>
      <c r="M449" t="s">
        <v>490</v>
      </c>
      <c r="N449" t="s">
        <v>29</v>
      </c>
      <c r="O449" t="s">
        <v>29</v>
      </c>
      <c r="P449" t="s">
        <v>29</v>
      </c>
      <c r="Q449" t="s">
        <v>29</v>
      </c>
      <c r="R449" t="s">
        <v>29</v>
      </c>
      <c r="S449" t="s">
        <v>29</v>
      </c>
      <c r="T449" t="s">
        <v>29</v>
      </c>
      <c r="U449" t="s">
        <v>29</v>
      </c>
      <c r="V449" t="s">
        <v>29</v>
      </c>
    </row>
    <row r="450" spans="1:22" x14ac:dyDescent="0.35">
      <c r="A450" s="1">
        <v>45359</v>
      </c>
      <c r="B450" t="s">
        <v>22</v>
      </c>
      <c r="C450" s="2">
        <v>0.5836689814814815</v>
      </c>
      <c r="D450" t="s">
        <v>1134</v>
      </c>
      <c r="E450" t="s">
        <v>41</v>
      </c>
      <c r="F450" t="s">
        <v>1135</v>
      </c>
      <c r="G450" t="s">
        <v>67</v>
      </c>
      <c r="H450" t="s">
        <v>125</v>
      </c>
      <c r="I450" t="s">
        <v>157</v>
      </c>
      <c r="J450">
        <v>2.8</v>
      </c>
      <c r="K450">
        <v>16.8</v>
      </c>
      <c r="L450" t="s">
        <v>29</v>
      </c>
      <c r="M450" t="s">
        <v>29</v>
      </c>
      <c r="N450" t="s">
        <v>29</v>
      </c>
      <c r="O450" t="s">
        <v>29</v>
      </c>
      <c r="P450" t="s">
        <v>29</v>
      </c>
      <c r="Q450" t="s">
        <v>29</v>
      </c>
      <c r="R450">
        <v>85</v>
      </c>
      <c r="S450">
        <v>43.31</v>
      </c>
      <c r="T450">
        <v>4.5999999999999996</v>
      </c>
      <c r="U450">
        <v>4.9000000000000004</v>
      </c>
      <c r="V450" t="s">
        <v>107</v>
      </c>
    </row>
    <row r="451" spans="1:22" x14ac:dyDescent="0.35">
      <c r="A451" s="1">
        <v>45525</v>
      </c>
      <c r="B451" t="s">
        <v>39</v>
      </c>
      <c r="C451" s="2">
        <v>0.54392361111111109</v>
      </c>
      <c r="D451" t="s">
        <v>1136</v>
      </c>
      <c r="E451" t="s">
        <v>41</v>
      </c>
      <c r="F451" t="s">
        <v>1137</v>
      </c>
      <c r="G451" t="s">
        <v>34</v>
      </c>
      <c r="H451" t="s">
        <v>214</v>
      </c>
      <c r="I451" t="s">
        <v>153</v>
      </c>
      <c r="J451">
        <v>4.2</v>
      </c>
      <c r="K451">
        <v>41.7</v>
      </c>
      <c r="L451" t="s">
        <v>29</v>
      </c>
      <c r="M451" t="s">
        <v>29</v>
      </c>
      <c r="N451" t="s">
        <v>29</v>
      </c>
      <c r="O451" t="s">
        <v>29</v>
      </c>
      <c r="P451" t="s">
        <v>29</v>
      </c>
      <c r="Q451" t="s">
        <v>29</v>
      </c>
      <c r="R451">
        <v>311</v>
      </c>
      <c r="S451">
        <v>30.94</v>
      </c>
      <c r="T451">
        <v>4.3</v>
      </c>
      <c r="U451">
        <v>4.5999999999999996</v>
      </c>
      <c r="V451" t="s">
        <v>38</v>
      </c>
    </row>
    <row r="452" spans="1:22" x14ac:dyDescent="0.35">
      <c r="A452" s="1">
        <v>45425</v>
      </c>
      <c r="B452" t="s">
        <v>122</v>
      </c>
      <c r="C452" s="2">
        <v>0.81918981481481479</v>
      </c>
      <c r="D452" t="s">
        <v>1138</v>
      </c>
      <c r="E452" t="s">
        <v>93</v>
      </c>
      <c r="F452" t="s">
        <v>1139</v>
      </c>
      <c r="G452" t="s">
        <v>50</v>
      </c>
      <c r="H452" t="s">
        <v>242</v>
      </c>
      <c r="I452" t="s">
        <v>892</v>
      </c>
      <c r="J452">
        <v>7.6</v>
      </c>
      <c r="K452" t="s">
        <v>29</v>
      </c>
      <c r="L452" t="s">
        <v>29</v>
      </c>
      <c r="M452" t="s">
        <v>29</v>
      </c>
      <c r="N452">
        <v>1</v>
      </c>
      <c r="O452" t="s">
        <v>115</v>
      </c>
      <c r="P452" t="s">
        <v>29</v>
      </c>
      <c r="Q452" t="s">
        <v>29</v>
      </c>
      <c r="R452" t="s">
        <v>29</v>
      </c>
      <c r="S452" t="s">
        <v>29</v>
      </c>
      <c r="T452" t="s">
        <v>29</v>
      </c>
      <c r="U452" t="s">
        <v>29</v>
      </c>
      <c r="V452" t="s">
        <v>29</v>
      </c>
    </row>
    <row r="453" spans="1:22" x14ac:dyDescent="0.35">
      <c r="A453" s="1">
        <v>45567</v>
      </c>
      <c r="B453" t="s">
        <v>47</v>
      </c>
      <c r="C453" s="2">
        <v>0.38377314814814817</v>
      </c>
      <c r="D453" t="s">
        <v>1140</v>
      </c>
      <c r="E453" t="s">
        <v>32</v>
      </c>
      <c r="F453" t="s">
        <v>1141</v>
      </c>
      <c r="G453" t="s">
        <v>43</v>
      </c>
      <c r="H453" t="s">
        <v>76</v>
      </c>
      <c r="I453" t="s">
        <v>290</v>
      </c>
      <c r="J453">
        <v>5.3</v>
      </c>
      <c r="K453">
        <v>24.9</v>
      </c>
      <c r="L453" t="s">
        <v>29</v>
      </c>
      <c r="M453" t="s">
        <v>29</v>
      </c>
      <c r="N453" t="s">
        <v>29</v>
      </c>
      <c r="O453" t="s">
        <v>29</v>
      </c>
      <c r="P453">
        <v>1</v>
      </c>
      <c r="Q453" t="s">
        <v>302</v>
      </c>
      <c r="R453">
        <v>98</v>
      </c>
      <c r="S453">
        <v>7.87</v>
      </c>
      <c r="T453" t="s">
        <v>29</v>
      </c>
      <c r="U453" t="s">
        <v>29</v>
      </c>
      <c r="V453" t="s">
        <v>84</v>
      </c>
    </row>
    <row r="454" spans="1:22" x14ac:dyDescent="0.35">
      <c r="A454" s="1">
        <v>45439</v>
      </c>
      <c r="B454" t="s">
        <v>122</v>
      </c>
      <c r="C454" s="2">
        <v>0.71949074074074071</v>
      </c>
      <c r="D454" t="s">
        <v>1142</v>
      </c>
      <c r="E454" t="s">
        <v>41</v>
      </c>
      <c r="F454" t="s">
        <v>1143</v>
      </c>
      <c r="G454" t="s">
        <v>67</v>
      </c>
      <c r="H454" t="s">
        <v>35</v>
      </c>
      <c r="I454" t="s">
        <v>202</v>
      </c>
      <c r="J454">
        <v>11.4</v>
      </c>
      <c r="K454">
        <v>26.3</v>
      </c>
      <c r="L454" t="s">
        <v>29</v>
      </c>
      <c r="M454" t="s">
        <v>29</v>
      </c>
      <c r="N454" t="s">
        <v>29</v>
      </c>
      <c r="O454" t="s">
        <v>29</v>
      </c>
      <c r="P454" t="s">
        <v>29</v>
      </c>
      <c r="Q454" t="s">
        <v>29</v>
      </c>
      <c r="R454">
        <v>130</v>
      </c>
      <c r="S454">
        <v>15.24</v>
      </c>
      <c r="T454">
        <v>4.3</v>
      </c>
      <c r="U454">
        <v>4.5999999999999996</v>
      </c>
      <c r="V454" t="s">
        <v>107</v>
      </c>
    </row>
    <row r="455" spans="1:22" x14ac:dyDescent="0.35">
      <c r="A455" s="1">
        <v>45619</v>
      </c>
      <c r="B455" t="s">
        <v>30</v>
      </c>
      <c r="C455" s="2">
        <v>0.37093749999999998</v>
      </c>
      <c r="D455" t="s">
        <v>1144</v>
      </c>
      <c r="E455" t="s">
        <v>41</v>
      </c>
      <c r="F455" t="s">
        <v>1145</v>
      </c>
      <c r="G455" t="s">
        <v>67</v>
      </c>
      <c r="H455" t="s">
        <v>81</v>
      </c>
      <c r="I455" t="s">
        <v>262</v>
      </c>
      <c r="J455">
        <v>10.199999999999999</v>
      </c>
      <c r="K455">
        <v>20.5</v>
      </c>
      <c r="L455" t="s">
        <v>29</v>
      </c>
      <c r="M455" t="s">
        <v>29</v>
      </c>
      <c r="N455" t="s">
        <v>29</v>
      </c>
      <c r="O455" t="s">
        <v>29</v>
      </c>
      <c r="P455" t="s">
        <v>29</v>
      </c>
      <c r="Q455" t="s">
        <v>29</v>
      </c>
      <c r="R455">
        <v>367</v>
      </c>
      <c r="S455">
        <v>27.38</v>
      </c>
      <c r="T455">
        <v>4.2</v>
      </c>
      <c r="U455">
        <v>4.2</v>
      </c>
      <c r="V455" t="s">
        <v>107</v>
      </c>
    </row>
    <row r="456" spans="1:22" x14ac:dyDescent="0.35">
      <c r="A456" s="1">
        <v>45381</v>
      </c>
      <c r="B456" t="s">
        <v>22</v>
      </c>
      <c r="C456" s="2">
        <v>0.57217592592592592</v>
      </c>
      <c r="D456" t="s">
        <v>1146</v>
      </c>
      <c r="E456" t="s">
        <v>41</v>
      </c>
      <c r="F456" t="s">
        <v>1147</v>
      </c>
      <c r="G456" t="s">
        <v>50</v>
      </c>
      <c r="H456" t="s">
        <v>45</v>
      </c>
      <c r="I456" t="s">
        <v>157</v>
      </c>
      <c r="J456">
        <v>7.4</v>
      </c>
      <c r="K456">
        <v>28.7</v>
      </c>
      <c r="L456" t="s">
        <v>29</v>
      </c>
      <c r="M456" t="s">
        <v>29</v>
      </c>
      <c r="N456" t="s">
        <v>29</v>
      </c>
      <c r="O456" t="s">
        <v>29</v>
      </c>
      <c r="P456" t="s">
        <v>29</v>
      </c>
      <c r="Q456" t="s">
        <v>29</v>
      </c>
      <c r="R456">
        <v>420</v>
      </c>
      <c r="S456">
        <v>4.5</v>
      </c>
      <c r="T456">
        <v>4.5999999999999996</v>
      </c>
      <c r="U456">
        <v>4.2</v>
      </c>
      <c r="V456" t="s">
        <v>38</v>
      </c>
    </row>
    <row r="457" spans="1:22" x14ac:dyDescent="0.35">
      <c r="A457" s="1">
        <v>45478</v>
      </c>
      <c r="B457" t="s">
        <v>108</v>
      </c>
      <c r="C457" s="2">
        <v>0.44054398148148149</v>
      </c>
      <c r="D457" t="s">
        <v>1148</v>
      </c>
      <c r="E457" t="s">
        <v>41</v>
      </c>
      <c r="F457" t="s">
        <v>1149</v>
      </c>
      <c r="G457" t="s">
        <v>146</v>
      </c>
      <c r="H457" t="s">
        <v>822</v>
      </c>
      <c r="I457" t="s">
        <v>412</v>
      </c>
      <c r="J457">
        <v>8.6999999999999993</v>
      </c>
      <c r="K457">
        <v>19.399999999999999</v>
      </c>
      <c r="L457" t="s">
        <v>29</v>
      </c>
      <c r="M457" t="s">
        <v>29</v>
      </c>
      <c r="N457" t="s">
        <v>29</v>
      </c>
      <c r="O457" t="s">
        <v>29</v>
      </c>
      <c r="P457" t="s">
        <v>29</v>
      </c>
      <c r="Q457" t="s">
        <v>29</v>
      </c>
      <c r="R457">
        <v>510</v>
      </c>
      <c r="S457">
        <v>9.8699999999999992</v>
      </c>
      <c r="T457">
        <v>4.9000000000000004</v>
      </c>
      <c r="U457">
        <v>4.9000000000000004</v>
      </c>
      <c r="V457" t="s">
        <v>38</v>
      </c>
    </row>
    <row r="458" spans="1:22" x14ac:dyDescent="0.35">
      <c r="A458" s="1">
        <v>45338</v>
      </c>
      <c r="B458" t="s">
        <v>59</v>
      </c>
      <c r="C458" s="2">
        <v>0.88501157407407405</v>
      </c>
      <c r="D458" t="s">
        <v>1150</v>
      </c>
      <c r="E458" t="s">
        <v>41</v>
      </c>
      <c r="F458" t="s">
        <v>1151</v>
      </c>
      <c r="G458" t="s">
        <v>43</v>
      </c>
      <c r="H458" t="s">
        <v>45</v>
      </c>
      <c r="I458" t="s">
        <v>819</v>
      </c>
      <c r="J458">
        <v>10</v>
      </c>
      <c r="K458">
        <v>25.4</v>
      </c>
      <c r="L458" t="s">
        <v>29</v>
      </c>
      <c r="M458" t="s">
        <v>29</v>
      </c>
      <c r="N458" t="s">
        <v>29</v>
      </c>
      <c r="O458" t="s">
        <v>29</v>
      </c>
      <c r="P458" t="s">
        <v>29</v>
      </c>
      <c r="Q458" t="s">
        <v>29</v>
      </c>
      <c r="R458">
        <v>83</v>
      </c>
      <c r="S458">
        <v>16.5</v>
      </c>
      <c r="T458">
        <v>4.4000000000000004</v>
      </c>
      <c r="U458">
        <v>4.3</v>
      </c>
      <c r="V458" t="s">
        <v>38</v>
      </c>
    </row>
    <row r="459" spans="1:22" x14ac:dyDescent="0.35">
      <c r="A459" s="1">
        <v>45530</v>
      </c>
      <c r="B459" t="s">
        <v>39</v>
      </c>
      <c r="C459" s="2">
        <v>0.14886574074074074</v>
      </c>
      <c r="D459" t="s">
        <v>1152</v>
      </c>
      <c r="E459" t="s">
        <v>41</v>
      </c>
      <c r="F459" t="s">
        <v>1153</v>
      </c>
      <c r="G459" t="s">
        <v>50</v>
      </c>
      <c r="H459" t="s">
        <v>201</v>
      </c>
      <c r="I459" t="s">
        <v>714</v>
      </c>
      <c r="J459">
        <v>4.5</v>
      </c>
      <c r="K459">
        <v>15.1</v>
      </c>
      <c r="L459" t="s">
        <v>29</v>
      </c>
      <c r="M459" t="s">
        <v>29</v>
      </c>
      <c r="N459" t="s">
        <v>29</v>
      </c>
      <c r="O459" t="s">
        <v>29</v>
      </c>
      <c r="P459" t="s">
        <v>29</v>
      </c>
      <c r="Q459" t="s">
        <v>29</v>
      </c>
      <c r="R459">
        <v>158</v>
      </c>
      <c r="S459">
        <v>41.88</v>
      </c>
      <c r="T459">
        <v>3</v>
      </c>
      <c r="U459">
        <v>4.8</v>
      </c>
      <c r="V459" t="s">
        <v>38</v>
      </c>
    </row>
    <row r="460" spans="1:22" x14ac:dyDescent="0.35">
      <c r="A460" s="1">
        <v>45591</v>
      </c>
      <c r="B460" t="s">
        <v>47</v>
      </c>
      <c r="C460" s="2">
        <v>0.84939814814814818</v>
      </c>
      <c r="D460" t="s">
        <v>1154</v>
      </c>
      <c r="E460" t="s">
        <v>41</v>
      </c>
      <c r="F460" t="s">
        <v>1155</v>
      </c>
      <c r="G460" t="s">
        <v>34</v>
      </c>
      <c r="H460" t="s">
        <v>474</v>
      </c>
      <c r="I460" t="s">
        <v>369</v>
      </c>
      <c r="J460">
        <v>11.3</v>
      </c>
      <c r="K460">
        <v>33</v>
      </c>
      <c r="L460" t="s">
        <v>29</v>
      </c>
      <c r="M460" t="s">
        <v>29</v>
      </c>
      <c r="N460" t="s">
        <v>29</v>
      </c>
      <c r="O460" t="s">
        <v>29</v>
      </c>
      <c r="P460" t="s">
        <v>29</v>
      </c>
      <c r="Q460" t="s">
        <v>29</v>
      </c>
      <c r="R460">
        <v>1211</v>
      </c>
      <c r="S460">
        <v>32.9</v>
      </c>
      <c r="T460">
        <v>4.2</v>
      </c>
      <c r="U460">
        <v>4.5999999999999996</v>
      </c>
      <c r="V460" t="s">
        <v>107</v>
      </c>
    </row>
    <row r="461" spans="1:22" x14ac:dyDescent="0.35">
      <c r="A461" s="1">
        <v>45514</v>
      </c>
      <c r="B461" t="s">
        <v>39</v>
      </c>
      <c r="C461" s="2">
        <v>0.38394675925925925</v>
      </c>
      <c r="D461" t="s">
        <v>1156</v>
      </c>
      <c r="E461" t="s">
        <v>41</v>
      </c>
      <c r="F461" t="s">
        <v>1157</v>
      </c>
      <c r="G461" t="s">
        <v>56</v>
      </c>
      <c r="H461" t="s">
        <v>103</v>
      </c>
      <c r="I461" t="s">
        <v>346</v>
      </c>
      <c r="J461">
        <v>13.7</v>
      </c>
      <c r="K461">
        <v>35.9</v>
      </c>
      <c r="L461" t="s">
        <v>29</v>
      </c>
      <c r="M461" t="s">
        <v>29</v>
      </c>
      <c r="N461" t="s">
        <v>29</v>
      </c>
      <c r="O461" t="s">
        <v>29</v>
      </c>
      <c r="P461" t="s">
        <v>29</v>
      </c>
      <c r="Q461" t="s">
        <v>29</v>
      </c>
      <c r="R461">
        <v>313</v>
      </c>
      <c r="S461">
        <v>36.68</v>
      </c>
      <c r="T461">
        <v>4.2</v>
      </c>
      <c r="U461">
        <v>4.5</v>
      </c>
      <c r="V461" t="s">
        <v>149</v>
      </c>
    </row>
    <row r="462" spans="1:22" x14ac:dyDescent="0.35">
      <c r="A462" s="1">
        <v>45403</v>
      </c>
      <c r="B462" t="s">
        <v>154</v>
      </c>
      <c r="C462" s="2">
        <v>0.79870370370370369</v>
      </c>
      <c r="D462" t="s">
        <v>1158</v>
      </c>
      <c r="E462" t="s">
        <v>41</v>
      </c>
      <c r="F462" t="s">
        <v>1159</v>
      </c>
      <c r="G462" t="s">
        <v>56</v>
      </c>
      <c r="H462" t="s">
        <v>477</v>
      </c>
      <c r="I462" t="s">
        <v>636</v>
      </c>
      <c r="J462">
        <v>8.1</v>
      </c>
      <c r="K462">
        <v>42.2</v>
      </c>
      <c r="L462" t="s">
        <v>29</v>
      </c>
      <c r="M462" t="s">
        <v>29</v>
      </c>
      <c r="N462" t="s">
        <v>29</v>
      </c>
      <c r="O462" t="s">
        <v>29</v>
      </c>
      <c r="P462" t="s">
        <v>29</v>
      </c>
      <c r="Q462" t="s">
        <v>29</v>
      </c>
      <c r="R462">
        <v>97</v>
      </c>
      <c r="S462">
        <v>20.38</v>
      </c>
      <c r="T462">
        <v>4.2</v>
      </c>
      <c r="U462">
        <v>4.5</v>
      </c>
      <c r="V462" t="s">
        <v>149</v>
      </c>
    </row>
    <row r="463" spans="1:22" x14ac:dyDescent="0.35">
      <c r="A463" s="1">
        <v>45321</v>
      </c>
      <c r="B463" t="s">
        <v>150</v>
      </c>
      <c r="C463" s="2">
        <v>0.74937500000000001</v>
      </c>
      <c r="D463" t="s">
        <v>1160</v>
      </c>
      <c r="E463" t="s">
        <v>41</v>
      </c>
      <c r="F463" t="s">
        <v>1161</v>
      </c>
      <c r="G463" t="s">
        <v>43</v>
      </c>
      <c r="H463" t="s">
        <v>68</v>
      </c>
      <c r="I463" t="s">
        <v>158</v>
      </c>
      <c r="J463">
        <v>10.3</v>
      </c>
      <c r="K463">
        <v>26.4</v>
      </c>
      <c r="L463" t="s">
        <v>29</v>
      </c>
      <c r="M463" t="s">
        <v>29</v>
      </c>
      <c r="N463" t="s">
        <v>29</v>
      </c>
      <c r="O463" t="s">
        <v>29</v>
      </c>
      <c r="P463" t="s">
        <v>29</v>
      </c>
      <c r="Q463" t="s">
        <v>29</v>
      </c>
      <c r="R463">
        <v>142</v>
      </c>
      <c r="S463">
        <v>47.2</v>
      </c>
      <c r="T463">
        <v>4.5999999999999996</v>
      </c>
      <c r="U463">
        <v>4.5999999999999996</v>
      </c>
      <c r="V463" t="s">
        <v>38</v>
      </c>
    </row>
    <row r="464" spans="1:22" x14ac:dyDescent="0.35">
      <c r="A464" s="1">
        <v>45423</v>
      </c>
      <c r="B464" t="s">
        <v>122</v>
      </c>
      <c r="C464" s="2">
        <v>0.91284722222222225</v>
      </c>
      <c r="D464" t="s">
        <v>1162</v>
      </c>
      <c r="E464" t="s">
        <v>41</v>
      </c>
      <c r="F464" t="s">
        <v>1163</v>
      </c>
      <c r="G464" t="s">
        <v>34</v>
      </c>
      <c r="H464" t="s">
        <v>158</v>
      </c>
      <c r="I464" t="s">
        <v>340</v>
      </c>
      <c r="J464">
        <v>4.8</v>
      </c>
      <c r="K464">
        <v>15.5</v>
      </c>
      <c r="L464" t="s">
        <v>29</v>
      </c>
      <c r="M464" t="s">
        <v>29</v>
      </c>
      <c r="N464" t="s">
        <v>29</v>
      </c>
      <c r="O464" t="s">
        <v>29</v>
      </c>
      <c r="P464" t="s">
        <v>29</v>
      </c>
      <c r="Q464" t="s">
        <v>29</v>
      </c>
      <c r="R464">
        <v>257</v>
      </c>
      <c r="S464">
        <v>10.02</v>
      </c>
      <c r="T464">
        <v>4</v>
      </c>
      <c r="U464">
        <v>4.7</v>
      </c>
      <c r="V464" t="s">
        <v>149</v>
      </c>
    </row>
    <row r="465" spans="1:22" x14ac:dyDescent="0.35">
      <c r="A465" s="1">
        <v>45437</v>
      </c>
      <c r="B465" t="s">
        <v>122</v>
      </c>
      <c r="C465" s="2">
        <v>0.63910879629629624</v>
      </c>
      <c r="D465" t="s">
        <v>1164</v>
      </c>
      <c r="E465" t="s">
        <v>41</v>
      </c>
      <c r="F465" t="s">
        <v>1165</v>
      </c>
      <c r="G465" t="s">
        <v>43</v>
      </c>
      <c r="H465" t="s">
        <v>511</v>
      </c>
      <c r="I465" t="s">
        <v>72</v>
      </c>
      <c r="J465">
        <v>9.4</v>
      </c>
      <c r="K465">
        <v>34.1</v>
      </c>
      <c r="L465" t="s">
        <v>29</v>
      </c>
      <c r="M465" t="s">
        <v>29</v>
      </c>
      <c r="N465" t="s">
        <v>29</v>
      </c>
      <c r="O465" t="s">
        <v>29</v>
      </c>
      <c r="P465" t="s">
        <v>29</v>
      </c>
      <c r="Q465" t="s">
        <v>29</v>
      </c>
      <c r="R465">
        <v>110</v>
      </c>
      <c r="S465">
        <v>2.99</v>
      </c>
      <c r="T465">
        <v>4.5</v>
      </c>
      <c r="U465">
        <v>4.8</v>
      </c>
      <c r="V465" t="s">
        <v>38</v>
      </c>
    </row>
    <row r="466" spans="1:22" x14ac:dyDescent="0.35">
      <c r="A466" s="1">
        <v>45314</v>
      </c>
      <c r="B466" t="s">
        <v>150</v>
      </c>
      <c r="C466" s="2">
        <v>0.78657407407407409</v>
      </c>
      <c r="D466" t="s">
        <v>1166</v>
      </c>
      <c r="E466" t="s">
        <v>93</v>
      </c>
      <c r="F466" t="s">
        <v>1167</v>
      </c>
      <c r="G466" t="s">
        <v>67</v>
      </c>
      <c r="H466" t="s">
        <v>255</v>
      </c>
      <c r="I466" t="s">
        <v>323</v>
      </c>
      <c r="J466">
        <v>4.3</v>
      </c>
      <c r="K466" t="s">
        <v>29</v>
      </c>
      <c r="L466" t="s">
        <v>29</v>
      </c>
      <c r="M466" t="s">
        <v>29</v>
      </c>
      <c r="N466">
        <v>1</v>
      </c>
      <c r="O466" t="s">
        <v>115</v>
      </c>
      <c r="P466" t="s">
        <v>29</v>
      </c>
      <c r="Q466" t="s">
        <v>29</v>
      </c>
      <c r="R466" t="s">
        <v>29</v>
      </c>
      <c r="S466" t="s">
        <v>29</v>
      </c>
      <c r="T466" t="s">
        <v>29</v>
      </c>
      <c r="U466" t="s">
        <v>29</v>
      </c>
      <c r="V466" t="s">
        <v>29</v>
      </c>
    </row>
    <row r="467" spans="1:22" x14ac:dyDescent="0.35">
      <c r="A467" s="1">
        <v>45421</v>
      </c>
      <c r="B467" t="s">
        <v>122</v>
      </c>
      <c r="C467" s="2">
        <v>0.41650462962962964</v>
      </c>
      <c r="D467" t="s">
        <v>1168</v>
      </c>
      <c r="E467" t="s">
        <v>41</v>
      </c>
      <c r="F467" t="s">
        <v>1169</v>
      </c>
      <c r="G467" t="s">
        <v>34</v>
      </c>
      <c r="H467" t="s">
        <v>324</v>
      </c>
      <c r="I467" t="s">
        <v>173</v>
      </c>
      <c r="J467">
        <v>2.9</v>
      </c>
      <c r="K467">
        <v>40.200000000000003</v>
      </c>
      <c r="L467" t="s">
        <v>29</v>
      </c>
      <c r="M467" t="s">
        <v>29</v>
      </c>
      <c r="N467" t="s">
        <v>29</v>
      </c>
      <c r="O467" t="s">
        <v>29</v>
      </c>
      <c r="P467" t="s">
        <v>29</v>
      </c>
      <c r="Q467" t="s">
        <v>29</v>
      </c>
      <c r="R467">
        <v>585</v>
      </c>
      <c r="S467">
        <v>31.32</v>
      </c>
      <c r="T467">
        <v>4.5</v>
      </c>
      <c r="U467">
        <v>3.9</v>
      </c>
      <c r="V467" t="s">
        <v>38</v>
      </c>
    </row>
    <row r="468" spans="1:22" x14ac:dyDescent="0.35">
      <c r="A468" s="1">
        <v>45403</v>
      </c>
      <c r="B468" t="s">
        <v>154</v>
      </c>
      <c r="C468" s="2">
        <v>0.70395833333333335</v>
      </c>
      <c r="D468" t="s">
        <v>1170</v>
      </c>
      <c r="E468" t="s">
        <v>41</v>
      </c>
      <c r="F468" t="s">
        <v>1171</v>
      </c>
      <c r="G468" t="s">
        <v>67</v>
      </c>
      <c r="H468" t="s">
        <v>137</v>
      </c>
      <c r="I468" t="s">
        <v>474</v>
      </c>
      <c r="J468">
        <v>7.4</v>
      </c>
      <c r="K468">
        <v>31.3</v>
      </c>
      <c r="L468" t="s">
        <v>29</v>
      </c>
      <c r="M468" t="s">
        <v>29</v>
      </c>
      <c r="N468" t="s">
        <v>29</v>
      </c>
      <c r="O468" t="s">
        <v>29</v>
      </c>
      <c r="P468" t="s">
        <v>29</v>
      </c>
      <c r="Q468" t="s">
        <v>29</v>
      </c>
      <c r="R468">
        <v>697</v>
      </c>
      <c r="S468">
        <v>36.64</v>
      </c>
      <c r="T468">
        <v>3.9</v>
      </c>
      <c r="U468">
        <v>4.7</v>
      </c>
      <c r="V468" t="s">
        <v>149</v>
      </c>
    </row>
    <row r="469" spans="1:22" x14ac:dyDescent="0.35">
      <c r="A469" s="1">
        <v>45311</v>
      </c>
      <c r="B469" t="s">
        <v>150</v>
      </c>
      <c r="C469" s="2">
        <v>0.47306712962962966</v>
      </c>
      <c r="D469" t="s">
        <v>1172</v>
      </c>
      <c r="E469" t="s">
        <v>41</v>
      </c>
      <c r="F469" t="s">
        <v>1173</v>
      </c>
      <c r="G469" t="s">
        <v>34</v>
      </c>
      <c r="H469" t="s">
        <v>299</v>
      </c>
      <c r="I469" t="s">
        <v>498</v>
      </c>
      <c r="J469">
        <v>7.8</v>
      </c>
      <c r="K469">
        <v>32.6</v>
      </c>
      <c r="L469" t="s">
        <v>29</v>
      </c>
      <c r="M469" t="s">
        <v>29</v>
      </c>
      <c r="N469" t="s">
        <v>29</v>
      </c>
      <c r="O469" t="s">
        <v>29</v>
      </c>
      <c r="P469" t="s">
        <v>29</v>
      </c>
      <c r="Q469" t="s">
        <v>29</v>
      </c>
      <c r="R469">
        <v>1240</v>
      </c>
      <c r="S469">
        <v>47.01</v>
      </c>
      <c r="T469">
        <v>4.4000000000000004</v>
      </c>
      <c r="U469">
        <v>4.4000000000000004</v>
      </c>
      <c r="V469" t="s">
        <v>38</v>
      </c>
    </row>
    <row r="470" spans="1:22" x14ac:dyDescent="0.35">
      <c r="A470" s="1">
        <v>45648</v>
      </c>
      <c r="B470" t="s">
        <v>78</v>
      </c>
      <c r="C470" s="2">
        <v>0.28667824074074072</v>
      </c>
      <c r="D470" t="s">
        <v>1174</v>
      </c>
      <c r="E470" t="s">
        <v>93</v>
      </c>
      <c r="F470" t="s">
        <v>1175</v>
      </c>
      <c r="G470" t="s">
        <v>67</v>
      </c>
      <c r="H470" t="s">
        <v>106</v>
      </c>
      <c r="I470" t="s">
        <v>360</v>
      </c>
      <c r="J470">
        <v>5.0999999999999996</v>
      </c>
      <c r="K470" t="s">
        <v>29</v>
      </c>
      <c r="L470" t="s">
        <v>29</v>
      </c>
      <c r="M470" t="s">
        <v>29</v>
      </c>
      <c r="N470">
        <v>1</v>
      </c>
      <c r="O470" t="s">
        <v>115</v>
      </c>
      <c r="P470" t="s">
        <v>29</v>
      </c>
      <c r="Q470" t="s">
        <v>29</v>
      </c>
      <c r="R470" t="s">
        <v>29</v>
      </c>
      <c r="S470" t="s">
        <v>29</v>
      </c>
      <c r="T470" t="s">
        <v>29</v>
      </c>
      <c r="U470" t="s">
        <v>29</v>
      </c>
      <c r="V470" t="s">
        <v>29</v>
      </c>
    </row>
    <row r="471" spans="1:22" x14ac:dyDescent="0.35">
      <c r="A471" s="1">
        <v>45581</v>
      </c>
      <c r="B471" t="s">
        <v>47</v>
      </c>
      <c r="C471" s="2">
        <v>0.64869212962962963</v>
      </c>
      <c r="D471" t="s">
        <v>1176</v>
      </c>
      <c r="E471" t="s">
        <v>117</v>
      </c>
      <c r="F471" t="s">
        <v>1177</v>
      </c>
      <c r="G471" t="s">
        <v>34</v>
      </c>
      <c r="H471" t="s">
        <v>296</v>
      </c>
      <c r="I471" t="s">
        <v>346</v>
      </c>
      <c r="J471">
        <v>5.0999999999999996</v>
      </c>
      <c r="K471" t="s">
        <v>29</v>
      </c>
      <c r="L471">
        <v>1</v>
      </c>
      <c r="M471" t="s">
        <v>490</v>
      </c>
      <c r="N471" t="s">
        <v>29</v>
      </c>
      <c r="O471" t="s">
        <v>29</v>
      </c>
      <c r="P471" t="s">
        <v>29</v>
      </c>
      <c r="Q471" t="s">
        <v>29</v>
      </c>
      <c r="R471" t="s">
        <v>29</v>
      </c>
      <c r="S471" t="s">
        <v>29</v>
      </c>
      <c r="T471" t="s">
        <v>29</v>
      </c>
      <c r="U471" t="s">
        <v>29</v>
      </c>
      <c r="V471" t="s">
        <v>29</v>
      </c>
    </row>
    <row r="472" spans="1:22" x14ac:dyDescent="0.35">
      <c r="A472" s="1">
        <v>45527</v>
      </c>
      <c r="B472" t="s">
        <v>39</v>
      </c>
      <c r="C472" s="2">
        <v>0.42993055555555554</v>
      </c>
      <c r="D472" t="s">
        <v>1178</v>
      </c>
      <c r="E472" t="s">
        <v>41</v>
      </c>
      <c r="F472" t="s">
        <v>1179</v>
      </c>
      <c r="G472" t="s">
        <v>50</v>
      </c>
      <c r="H472" t="s">
        <v>36</v>
      </c>
      <c r="I472" t="s">
        <v>808</v>
      </c>
      <c r="J472">
        <v>9.4</v>
      </c>
      <c r="K472">
        <v>20.6</v>
      </c>
      <c r="L472" t="s">
        <v>29</v>
      </c>
      <c r="M472" t="s">
        <v>29</v>
      </c>
      <c r="N472" t="s">
        <v>29</v>
      </c>
      <c r="O472" t="s">
        <v>29</v>
      </c>
      <c r="P472" t="s">
        <v>29</v>
      </c>
      <c r="Q472" t="s">
        <v>29</v>
      </c>
      <c r="R472">
        <v>777</v>
      </c>
      <c r="S472">
        <v>15.11</v>
      </c>
      <c r="T472">
        <v>4.0999999999999996</v>
      </c>
      <c r="U472">
        <v>4.4000000000000004</v>
      </c>
      <c r="V472" t="s">
        <v>46</v>
      </c>
    </row>
    <row r="473" spans="1:22" x14ac:dyDescent="0.35">
      <c r="A473" s="1">
        <v>45441</v>
      </c>
      <c r="B473" t="s">
        <v>122</v>
      </c>
      <c r="C473" s="2">
        <v>0.81315972222222221</v>
      </c>
      <c r="D473" t="s">
        <v>1180</v>
      </c>
      <c r="E473" t="s">
        <v>41</v>
      </c>
      <c r="F473" t="s">
        <v>1181</v>
      </c>
      <c r="G473" t="s">
        <v>43</v>
      </c>
      <c r="H473" t="s">
        <v>28</v>
      </c>
      <c r="I473" t="s">
        <v>739</v>
      </c>
      <c r="J473">
        <v>11</v>
      </c>
      <c r="K473">
        <v>31.1</v>
      </c>
      <c r="L473" t="s">
        <v>29</v>
      </c>
      <c r="M473" t="s">
        <v>29</v>
      </c>
      <c r="N473" t="s">
        <v>29</v>
      </c>
      <c r="O473" t="s">
        <v>29</v>
      </c>
      <c r="P473" t="s">
        <v>29</v>
      </c>
      <c r="Q473" t="s">
        <v>29</v>
      </c>
      <c r="R473">
        <v>95</v>
      </c>
      <c r="S473">
        <v>38.26</v>
      </c>
      <c r="T473">
        <v>4.2</v>
      </c>
      <c r="U473">
        <v>4.7</v>
      </c>
      <c r="V473" t="s">
        <v>84</v>
      </c>
    </row>
    <row r="474" spans="1:22" x14ac:dyDescent="0.35">
      <c r="A474" s="1">
        <v>45573</v>
      </c>
      <c r="B474" t="s">
        <v>47</v>
      </c>
      <c r="C474" s="2">
        <v>0.31947916666666665</v>
      </c>
      <c r="D474" t="s">
        <v>1182</v>
      </c>
      <c r="E474" t="s">
        <v>41</v>
      </c>
      <c r="F474" t="s">
        <v>1183</v>
      </c>
      <c r="G474" t="s">
        <v>43</v>
      </c>
      <c r="H474" t="s">
        <v>489</v>
      </c>
      <c r="I474" t="s">
        <v>254</v>
      </c>
      <c r="J474">
        <v>11.6</v>
      </c>
      <c r="K474">
        <v>39.9</v>
      </c>
      <c r="L474" t="s">
        <v>29</v>
      </c>
      <c r="M474" t="s">
        <v>29</v>
      </c>
      <c r="N474" t="s">
        <v>29</v>
      </c>
      <c r="O474" t="s">
        <v>29</v>
      </c>
      <c r="P474" t="s">
        <v>29</v>
      </c>
      <c r="Q474" t="s">
        <v>29</v>
      </c>
      <c r="R474">
        <v>484</v>
      </c>
      <c r="S474">
        <v>47.12</v>
      </c>
      <c r="T474">
        <v>4.3</v>
      </c>
      <c r="U474">
        <v>4.9000000000000004</v>
      </c>
      <c r="V474" t="s">
        <v>107</v>
      </c>
    </row>
    <row r="475" spans="1:22" x14ac:dyDescent="0.35">
      <c r="A475" s="1">
        <v>45348</v>
      </c>
      <c r="B475" t="s">
        <v>59</v>
      </c>
      <c r="C475" s="2">
        <v>0.34606481481481483</v>
      </c>
      <c r="D475" t="s">
        <v>1184</v>
      </c>
      <c r="E475" t="s">
        <v>32</v>
      </c>
      <c r="F475" t="s">
        <v>1185</v>
      </c>
      <c r="G475" t="s">
        <v>34</v>
      </c>
      <c r="H475" t="s">
        <v>383</v>
      </c>
      <c r="I475" t="s">
        <v>198</v>
      </c>
      <c r="J475">
        <v>8</v>
      </c>
      <c r="K475">
        <v>11</v>
      </c>
      <c r="L475" t="s">
        <v>29</v>
      </c>
      <c r="M475" t="s">
        <v>29</v>
      </c>
      <c r="N475" t="s">
        <v>29</v>
      </c>
      <c r="O475" t="s">
        <v>29</v>
      </c>
      <c r="P475">
        <v>1</v>
      </c>
      <c r="Q475" t="s">
        <v>83</v>
      </c>
      <c r="R475">
        <v>301</v>
      </c>
      <c r="S475">
        <v>9.59</v>
      </c>
      <c r="T475" t="s">
        <v>29</v>
      </c>
      <c r="U475" t="s">
        <v>29</v>
      </c>
      <c r="V475" t="s">
        <v>84</v>
      </c>
    </row>
    <row r="476" spans="1:22" x14ac:dyDescent="0.35">
      <c r="A476" s="1">
        <v>45312</v>
      </c>
      <c r="B476" t="s">
        <v>150</v>
      </c>
      <c r="C476" s="2">
        <v>0.75737268518518519</v>
      </c>
      <c r="D476" t="s">
        <v>1186</v>
      </c>
      <c r="E476" t="s">
        <v>41</v>
      </c>
      <c r="F476" t="s">
        <v>1187</v>
      </c>
      <c r="G476" t="s">
        <v>34</v>
      </c>
      <c r="H476" t="s">
        <v>270</v>
      </c>
      <c r="I476" t="s">
        <v>474</v>
      </c>
      <c r="J476">
        <v>2.1</v>
      </c>
      <c r="K476">
        <v>21.2</v>
      </c>
      <c r="L476" t="s">
        <v>29</v>
      </c>
      <c r="M476" t="s">
        <v>29</v>
      </c>
      <c r="N476" t="s">
        <v>29</v>
      </c>
      <c r="O476" t="s">
        <v>29</v>
      </c>
      <c r="P476" t="s">
        <v>29</v>
      </c>
      <c r="Q476" t="s">
        <v>29</v>
      </c>
      <c r="R476">
        <v>485</v>
      </c>
      <c r="S476">
        <v>2.17</v>
      </c>
      <c r="T476">
        <v>3.2</v>
      </c>
      <c r="U476">
        <v>4.0999999999999996</v>
      </c>
      <c r="V476" t="s">
        <v>38</v>
      </c>
    </row>
    <row r="477" spans="1:22" x14ac:dyDescent="0.35">
      <c r="A477" s="1">
        <v>45371</v>
      </c>
      <c r="B477" t="s">
        <v>22</v>
      </c>
      <c r="C477" s="2">
        <v>0.49482638888888891</v>
      </c>
      <c r="D477" t="s">
        <v>1188</v>
      </c>
      <c r="E477" t="s">
        <v>41</v>
      </c>
      <c r="F477" t="s">
        <v>1189</v>
      </c>
      <c r="G477" t="s">
        <v>34</v>
      </c>
      <c r="H477" t="s">
        <v>136</v>
      </c>
      <c r="I477" t="s">
        <v>365</v>
      </c>
      <c r="J477">
        <v>2.9</v>
      </c>
      <c r="K477">
        <v>19.2</v>
      </c>
      <c r="L477" t="s">
        <v>29</v>
      </c>
      <c r="M477" t="s">
        <v>29</v>
      </c>
      <c r="N477" t="s">
        <v>29</v>
      </c>
      <c r="O477" t="s">
        <v>29</v>
      </c>
      <c r="P477" t="s">
        <v>29</v>
      </c>
      <c r="Q477" t="s">
        <v>29</v>
      </c>
      <c r="R477">
        <v>76</v>
      </c>
      <c r="S477">
        <v>42.9</v>
      </c>
      <c r="T477">
        <v>4.7</v>
      </c>
      <c r="U477">
        <v>4.5</v>
      </c>
      <c r="V477" t="s">
        <v>38</v>
      </c>
    </row>
    <row r="478" spans="1:22" x14ac:dyDescent="0.35">
      <c r="A478" s="1">
        <v>45432</v>
      </c>
      <c r="B478" t="s">
        <v>122</v>
      </c>
      <c r="C478" s="2">
        <v>0.53715277777777781</v>
      </c>
      <c r="D478" t="s">
        <v>1190</v>
      </c>
      <c r="E478" t="s">
        <v>41</v>
      </c>
      <c r="F478" t="s">
        <v>1191</v>
      </c>
      <c r="G478" t="s">
        <v>43</v>
      </c>
      <c r="H478" t="s">
        <v>486</v>
      </c>
      <c r="I478" t="s">
        <v>386</v>
      </c>
      <c r="J478">
        <v>8.3000000000000007</v>
      </c>
      <c r="K478">
        <v>38.6</v>
      </c>
      <c r="L478" t="s">
        <v>29</v>
      </c>
      <c r="M478" t="s">
        <v>29</v>
      </c>
      <c r="N478" t="s">
        <v>29</v>
      </c>
      <c r="O478" t="s">
        <v>29</v>
      </c>
      <c r="P478" t="s">
        <v>29</v>
      </c>
      <c r="Q478" t="s">
        <v>29</v>
      </c>
      <c r="R478">
        <v>188</v>
      </c>
      <c r="S478">
        <v>35.090000000000003</v>
      </c>
      <c r="T478">
        <v>4.5999999999999996</v>
      </c>
      <c r="U478">
        <v>4.0999999999999996</v>
      </c>
      <c r="V478" t="s">
        <v>38</v>
      </c>
    </row>
    <row r="479" spans="1:22" x14ac:dyDescent="0.35">
      <c r="A479" s="1">
        <v>45542</v>
      </c>
      <c r="B479" t="s">
        <v>53</v>
      </c>
      <c r="C479" s="2">
        <v>0.57939814814814816</v>
      </c>
      <c r="D479" t="s">
        <v>1192</v>
      </c>
      <c r="E479" t="s">
        <v>93</v>
      </c>
      <c r="F479" t="s">
        <v>1193</v>
      </c>
      <c r="G479" t="s">
        <v>43</v>
      </c>
      <c r="H479" t="s">
        <v>653</v>
      </c>
      <c r="I479" t="s">
        <v>111</v>
      </c>
      <c r="J479">
        <v>5.2</v>
      </c>
      <c r="K479" t="s">
        <v>29</v>
      </c>
      <c r="L479" t="s">
        <v>29</v>
      </c>
      <c r="M479" t="s">
        <v>29</v>
      </c>
      <c r="N479">
        <v>1</v>
      </c>
      <c r="O479" t="s">
        <v>97</v>
      </c>
      <c r="P479" t="s">
        <v>29</v>
      </c>
      <c r="Q479" t="s">
        <v>29</v>
      </c>
      <c r="R479" t="s">
        <v>29</v>
      </c>
      <c r="S479" t="s">
        <v>29</v>
      </c>
      <c r="T479" t="s">
        <v>29</v>
      </c>
      <c r="U479" t="s">
        <v>29</v>
      </c>
      <c r="V479" t="s">
        <v>29</v>
      </c>
    </row>
    <row r="480" spans="1:22" x14ac:dyDescent="0.35">
      <c r="A480" s="1">
        <v>45554</v>
      </c>
      <c r="B480" t="s">
        <v>53</v>
      </c>
      <c r="C480" s="2">
        <v>0.70680555555555558</v>
      </c>
      <c r="D480" t="s">
        <v>1194</v>
      </c>
      <c r="E480" t="s">
        <v>41</v>
      </c>
      <c r="F480" t="s">
        <v>1195</v>
      </c>
      <c r="G480" t="s">
        <v>50</v>
      </c>
      <c r="H480" t="s">
        <v>186</v>
      </c>
      <c r="I480" t="s">
        <v>336</v>
      </c>
      <c r="J480">
        <v>12</v>
      </c>
      <c r="K480">
        <v>38</v>
      </c>
      <c r="L480" t="s">
        <v>29</v>
      </c>
      <c r="M480" t="s">
        <v>29</v>
      </c>
      <c r="N480" t="s">
        <v>29</v>
      </c>
      <c r="O480" t="s">
        <v>29</v>
      </c>
      <c r="P480" t="s">
        <v>29</v>
      </c>
      <c r="Q480" t="s">
        <v>29</v>
      </c>
      <c r="R480">
        <v>443</v>
      </c>
      <c r="S480">
        <v>45.58</v>
      </c>
      <c r="T480">
        <v>4.5999999999999996</v>
      </c>
      <c r="U480">
        <v>4.5999999999999996</v>
      </c>
      <c r="V480" t="s">
        <v>46</v>
      </c>
    </row>
    <row r="481" spans="1:22" x14ac:dyDescent="0.35">
      <c r="A481" s="1">
        <v>45424</v>
      </c>
      <c r="B481" t="s">
        <v>122</v>
      </c>
      <c r="C481" s="2">
        <v>0.4105787037037037</v>
      </c>
      <c r="D481" t="s">
        <v>1196</v>
      </c>
      <c r="E481" t="s">
        <v>93</v>
      </c>
      <c r="F481" t="s">
        <v>1197</v>
      </c>
      <c r="G481" t="s">
        <v>43</v>
      </c>
      <c r="H481" t="s">
        <v>819</v>
      </c>
      <c r="I481" t="s">
        <v>350</v>
      </c>
      <c r="J481">
        <v>9.1999999999999993</v>
      </c>
      <c r="K481" t="s">
        <v>29</v>
      </c>
      <c r="L481" t="s">
        <v>29</v>
      </c>
      <c r="M481" t="s">
        <v>29</v>
      </c>
      <c r="N481">
        <v>1</v>
      </c>
      <c r="O481" t="s">
        <v>337</v>
      </c>
      <c r="P481" t="s">
        <v>29</v>
      </c>
      <c r="Q481" t="s">
        <v>29</v>
      </c>
      <c r="R481" t="s">
        <v>29</v>
      </c>
      <c r="S481" t="s">
        <v>29</v>
      </c>
      <c r="T481" t="s">
        <v>29</v>
      </c>
      <c r="U481" t="s">
        <v>29</v>
      </c>
      <c r="V481" t="s">
        <v>29</v>
      </c>
    </row>
    <row r="482" spans="1:22" x14ac:dyDescent="0.35">
      <c r="A482" s="1">
        <v>45338</v>
      </c>
      <c r="B482" t="s">
        <v>59</v>
      </c>
      <c r="C482" s="2">
        <v>0.32386574074074076</v>
      </c>
      <c r="D482" t="s">
        <v>1198</v>
      </c>
      <c r="E482" t="s">
        <v>93</v>
      </c>
      <c r="F482" t="s">
        <v>1199</v>
      </c>
      <c r="G482" t="s">
        <v>50</v>
      </c>
      <c r="H482" t="s">
        <v>365</v>
      </c>
      <c r="I482" t="s">
        <v>245</v>
      </c>
      <c r="J482">
        <v>5.6</v>
      </c>
      <c r="K482" t="s">
        <v>29</v>
      </c>
      <c r="L482" t="s">
        <v>29</v>
      </c>
      <c r="M482" t="s">
        <v>29</v>
      </c>
      <c r="N482">
        <v>1</v>
      </c>
      <c r="O482" t="s">
        <v>337</v>
      </c>
      <c r="P482" t="s">
        <v>29</v>
      </c>
      <c r="Q482" t="s">
        <v>29</v>
      </c>
      <c r="R482" t="s">
        <v>29</v>
      </c>
      <c r="S482" t="s">
        <v>29</v>
      </c>
      <c r="T482" t="s">
        <v>29</v>
      </c>
      <c r="U482" t="s">
        <v>29</v>
      </c>
      <c r="V482" t="s">
        <v>29</v>
      </c>
    </row>
    <row r="483" spans="1:22" x14ac:dyDescent="0.35">
      <c r="A483" s="1">
        <v>45524</v>
      </c>
      <c r="B483" t="s">
        <v>39</v>
      </c>
      <c r="C483" s="2">
        <v>0.77143518518518517</v>
      </c>
      <c r="D483" t="s">
        <v>1200</v>
      </c>
      <c r="E483" t="s">
        <v>41</v>
      </c>
      <c r="F483" t="s">
        <v>1201</v>
      </c>
      <c r="G483" t="s">
        <v>43</v>
      </c>
      <c r="H483" t="s">
        <v>498</v>
      </c>
      <c r="I483" t="s">
        <v>454</v>
      </c>
      <c r="J483">
        <v>5</v>
      </c>
      <c r="K483">
        <v>19.2</v>
      </c>
      <c r="L483" t="s">
        <v>29</v>
      </c>
      <c r="M483" t="s">
        <v>29</v>
      </c>
      <c r="N483" t="s">
        <v>29</v>
      </c>
      <c r="O483" t="s">
        <v>29</v>
      </c>
      <c r="P483" t="s">
        <v>29</v>
      </c>
      <c r="Q483" t="s">
        <v>29</v>
      </c>
      <c r="R483">
        <v>144</v>
      </c>
      <c r="S483">
        <v>34.44</v>
      </c>
      <c r="T483">
        <v>4.7</v>
      </c>
      <c r="U483">
        <v>4.5999999999999996</v>
      </c>
      <c r="V483" t="s">
        <v>107</v>
      </c>
    </row>
    <row r="484" spans="1:22" x14ac:dyDescent="0.35">
      <c r="A484" s="1">
        <v>45431</v>
      </c>
      <c r="B484" t="s">
        <v>122</v>
      </c>
      <c r="C484" s="2">
        <v>0.22753472222222224</v>
      </c>
      <c r="D484" t="s">
        <v>1202</v>
      </c>
      <c r="E484" t="s">
        <v>93</v>
      </c>
      <c r="F484" t="s">
        <v>1203</v>
      </c>
      <c r="G484" t="s">
        <v>34</v>
      </c>
      <c r="H484" t="s">
        <v>202</v>
      </c>
      <c r="I484" t="s">
        <v>430</v>
      </c>
      <c r="J484">
        <v>9.1999999999999993</v>
      </c>
      <c r="K484" t="s">
        <v>29</v>
      </c>
      <c r="L484" t="s">
        <v>29</v>
      </c>
      <c r="M484" t="s">
        <v>29</v>
      </c>
      <c r="N484">
        <v>1</v>
      </c>
      <c r="O484" t="s">
        <v>169</v>
      </c>
      <c r="P484" t="s">
        <v>29</v>
      </c>
      <c r="Q484" t="s">
        <v>29</v>
      </c>
      <c r="R484" t="s">
        <v>29</v>
      </c>
      <c r="S484" t="s">
        <v>29</v>
      </c>
      <c r="T484" t="s">
        <v>29</v>
      </c>
      <c r="U484" t="s">
        <v>29</v>
      </c>
      <c r="V484" t="s">
        <v>29</v>
      </c>
    </row>
    <row r="485" spans="1:22" x14ac:dyDescent="0.35">
      <c r="A485" s="1">
        <v>45644</v>
      </c>
      <c r="B485" t="s">
        <v>78</v>
      </c>
      <c r="C485" s="2">
        <v>0.7558449074074074</v>
      </c>
      <c r="D485" t="s">
        <v>1204</v>
      </c>
      <c r="E485" t="s">
        <v>24</v>
      </c>
      <c r="F485" t="s">
        <v>1205</v>
      </c>
      <c r="G485" t="s">
        <v>56</v>
      </c>
      <c r="H485" t="s">
        <v>336</v>
      </c>
      <c r="I485" t="s">
        <v>186</v>
      </c>
      <c r="J485" t="s">
        <v>29</v>
      </c>
      <c r="K485" t="s">
        <v>29</v>
      </c>
      <c r="L485" t="s">
        <v>29</v>
      </c>
      <c r="M485" t="s">
        <v>29</v>
      </c>
      <c r="N485" t="s">
        <v>29</v>
      </c>
      <c r="O485" t="s">
        <v>29</v>
      </c>
      <c r="P485" t="s">
        <v>29</v>
      </c>
      <c r="Q485" t="s">
        <v>29</v>
      </c>
      <c r="R485" t="s">
        <v>29</v>
      </c>
      <c r="S485" t="s">
        <v>29</v>
      </c>
      <c r="T485" t="s">
        <v>29</v>
      </c>
      <c r="U485" t="s">
        <v>29</v>
      </c>
      <c r="V485" t="s">
        <v>29</v>
      </c>
    </row>
    <row r="486" spans="1:22" x14ac:dyDescent="0.35">
      <c r="A486" s="1">
        <v>45653</v>
      </c>
      <c r="B486" t="s">
        <v>78</v>
      </c>
      <c r="C486" s="2">
        <v>0.75559027777777776</v>
      </c>
      <c r="D486" t="s">
        <v>1206</v>
      </c>
      <c r="E486" t="s">
        <v>32</v>
      </c>
      <c r="F486" t="s">
        <v>1207</v>
      </c>
      <c r="G486" t="s">
        <v>56</v>
      </c>
      <c r="H486" t="s">
        <v>277</v>
      </c>
      <c r="I486" t="s">
        <v>147</v>
      </c>
      <c r="J486">
        <v>3.5</v>
      </c>
      <c r="K486">
        <v>14.8</v>
      </c>
      <c r="L486" t="s">
        <v>29</v>
      </c>
      <c r="M486" t="s">
        <v>29</v>
      </c>
      <c r="N486" t="s">
        <v>29</v>
      </c>
      <c r="O486" t="s">
        <v>29</v>
      </c>
      <c r="P486">
        <v>1</v>
      </c>
      <c r="Q486" t="s">
        <v>37</v>
      </c>
      <c r="R486">
        <v>268</v>
      </c>
      <c r="S486">
        <v>7.21</v>
      </c>
      <c r="T486" t="s">
        <v>29</v>
      </c>
      <c r="U486" t="s">
        <v>29</v>
      </c>
      <c r="V486" t="s">
        <v>38</v>
      </c>
    </row>
    <row r="487" spans="1:22" x14ac:dyDescent="0.35">
      <c r="A487" s="1">
        <v>45356</v>
      </c>
      <c r="B487" t="s">
        <v>22</v>
      </c>
      <c r="C487" s="2">
        <v>0.81502314814814814</v>
      </c>
      <c r="D487" t="s">
        <v>1208</v>
      </c>
      <c r="E487" t="s">
        <v>41</v>
      </c>
      <c r="F487" t="s">
        <v>1209</v>
      </c>
      <c r="G487" t="s">
        <v>43</v>
      </c>
      <c r="H487" t="s">
        <v>343</v>
      </c>
      <c r="I487" t="s">
        <v>477</v>
      </c>
      <c r="J487">
        <v>5.2</v>
      </c>
      <c r="K487">
        <v>32.1</v>
      </c>
      <c r="L487" t="s">
        <v>29</v>
      </c>
      <c r="M487" t="s">
        <v>29</v>
      </c>
      <c r="N487" t="s">
        <v>29</v>
      </c>
      <c r="O487" t="s">
        <v>29</v>
      </c>
      <c r="P487" t="s">
        <v>29</v>
      </c>
      <c r="Q487" t="s">
        <v>29</v>
      </c>
      <c r="R487">
        <v>118</v>
      </c>
      <c r="S487">
        <v>14.3</v>
      </c>
      <c r="T487">
        <v>4.2</v>
      </c>
      <c r="U487">
        <v>3</v>
      </c>
      <c r="V487" t="s">
        <v>107</v>
      </c>
    </row>
    <row r="488" spans="1:22" x14ac:dyDescent="0.35">
      <c r="A488" s="1">
        <v>45470</v>
      </c>
      <c r="B488" t="s">
        <v>64</v>
      </c>
      <c r="C488" s="2">
        <v>0.70731481481481484</v>
      </c>
      <c r="D488" t="s">
        <v>1210</v>
      </c>
      <c r="E488" t="s">
        <v>41</v>
      </c>
      <c r="F488" t="s">
        <v>1211</v>
      </c>
      <c r="G488" t="s">
        <v>56</v>
      </c>
      <c r="H488" t="s">
        <v>520</v>
      </c>
      <c r="I488" t="s">
        <v>190</v>
      </c>
      <c r="J488">
        <v>9.9</v>
      </c>
      <c r="K488">
        <v>17.600000000000001</v>
      </c>
      <c r="L488" t="s">
        <v>29</v>
      </c>
      <c r="M488" t="s">
        <v>29</v>
      </c>
      <c r="N488" t="s">
        <v>29</v>
      </c>
      <c r="O488" t="s">
        <v>29</v>
      </c>
      <c r="P488" t="s">
        <v>29</v>
      </c>
      <c r="Q488" t="s">
        <v>29</v>
      </c>
      <c r="R488">
        <v>516</v>
      </c>
      <c r="S488">
        <v>13.3</v>
      </c>
      <c r="T488">
        <v>4.0999999999999996</v>
      </c>
      <c r="U488">
        <v>4.7</v>
      </c>
      <c r="V488" t="s">
        <v>84</v>
      </c>
    </row>
    <row r="489" spans="1:22" x14ac:dyDescent="0.35">
      <c r="A489" s="1">
        <v>45309</v>
      </c>
      <c r="B489" t="s">
        <v>150</v>
      </c>
      <c r="C489" s="2">
        <v>0.74354166666666666</v>
      </c>
      <c r="D489" t="s">
        <v>1212</v>
      </c>
      <c r="E489" t="s">
        <v>93</v>
      </c>
      <c r="F489" t="s">
        <v>1213</v>
      </c>
      <c r="G489" t="s">
        <v>34</v>
      </c>
      <c r="H489" t="s">
        <v>120</v>
      </c>
      <c r="I489" t="s">
        <v>220</v>
      </c>
      <c r="J489">
        <v>3.7</v>
      </c>
      <c r="K489" t="s">
        <v>29</v>
      </c>
      <c r="L489" t="s">
        <v>29</v>
      </c>
      <c r="M489" t="s">
        <v>29</v>
      </c>
      <c r="N489">
        <v>1</v>
      </c>
      <c r="O489" t="s">
        <v>97</v>
      </c>
      <c r="P489" t="s">
        <v>29</v>
      </c>
      <c r="Q489" t="s">
        <v>29</v>
      </c>
      <c r="R489" t="s">
        <v>29</v>
      </c>
      <c r="S489" t="s">
        <v>29</v>
      </c>
      <c r="T489" t="s">
        <v>29</v>
      </c>
      <c r="U489" t="s">
        <v>29</v>
      </c>
      <c r="V489" t="s">
        <v>29</v>
      </c>
    </row>
    <row r="490" spans="1:22" x14ac:dyDescent="0.35">
      <c r="A490" s="1">
        <v>45478</v>
      </c>
      <c r="B490" t="s">
        <v>108</v>
      </c>
      <c r="C490" s="2">
        <v>0.78607638888888887</v>
      </c>
      <c r="D490" t="s">
        <v>1214</v>
      </c>
      <c r="E490" t="s">
        <v>93</v>
      </c>
      <c r="F490" t="s">
        <v>1215</v>
      </c>
      <c r="G490" t="s">
        <v>43</v>
      </c>
      <c r="H490" t="s">
        <v>336</v>
      </c>
      <c r="I490" t="s">
        <v>238</v>
      </c>
      <c r="J490">
        <v>7.3</v>
      </c>
      <c r="K490" t="s">
        <v>29</v>
      </c>
      <c r="L490" t="s">
        <v>29</v>
      </c>
      <c r="M490" t="s">
        <v>29</v>
      </c>
      <c r="N490">
        <v>1</v>
      </c>
      <c r="O490" t="s">
        <v>97</v>
      </c>
      <c r="P490" t="s">
        <v>29</v>
      </c>
      <c r="Q490" t="s">
        <v>29</v>
      </c>
      <c r="R490" t="s">
        <v>29</v>
      </c>
      <c r="S490" t="s">
        <v>29</v>
      </c>
      <c r="T490" t="s">
        <v>29</v>
      </c>
      <c r="U490" t="s">
        <v>29</v>
      </c>
      <c r="V490" t="s">
        <v>29</v>
      </c>
    </row>
    <row r="491" spans="1:22" x14ac:dyDescent="0.35">
      <c r="A491" s="1">
        <v>45440</v>
      </c>
      <c r="B491" t="s">
        <v>122</v>
      </c>
      <c r="C491" s="2">
        <v>0.24732638888888889</v>
      </c>
      <c r="D491" t="s">
        <v>1216</v>
      </c>
      <c r="E491" t="s">
        <v>41</v>
      </c>
      <c r="F491" t="s">
        <v>1217</v>
      </c>
      <c r="G491" t="s">
        <v>43</v>
      </c>
      <c r="H491" t="s">
        <v>585</v>
      </c>
      <c r="I491" t="s">
        <v>69</v>
      </c>
      <c r="J491">
        <v>5.3</v>
      </c>
      <c r="K491">
        <v>36.700000000000003</v>
      </c>
      <c r="L491" t="s">
        <v>29</v>
      </c>
      <c r="M491" t="s">
        <v>29</v>
      </c>
      <c r="N491" t="s">
        <v>29</v>
      </c>
      <c r="O491" t="s">
        <v>29</v>
      </c>
      <c r="P491" t="s">
        <v>29</v>
      </c>
      <c r="Q491" t="s">
        <v>29</v>
      </c>
      <c r="R491">
        <v>600</v>
      </c>
      <c r="S491">
        <v>22.68</v>
      </c>
      <c r="T491">
        <v>4</v>
      </c>
      <c r="U491">
        <v>4.3</v>
      </c>
      <c r="V491" t="s">
        <v>38</v>
      </c>
    </row>
    <row r="492" spans="1:22" x14ac:dyDescent="0.35">
      <c r="A492" s="1">
        <v>45638</v>
      </c>
      <c r="B492" t="s">
        <v>78</v>
      </c>
      <c r="C492" s="2">
        <v>0.85575231481481484</v>
      </c>
      <c r="D492" t="s">
        <v>1218</v>
      </c>
      <c r="E492" t="s">
        <v>24</v>
      </c>
      <c r="F492" t="s">
        <v>1219</v>
      </c>
      <c r="G492" t="s">
        <v>43</v>
      </c>
      <c r="H492" t="s">
        <v>412</v>
      </c>
      <c r="I492" t="s">
        <v>299</v>
      </c>
      <c r="J492" t="s">
        <v>29</v>
      </c>
      <c r="K492" t="s">
        <v>29</v>
      </c>
      <c r="L492" t="s">
        <v>29</v>
      </c>
      <c r="M492" t="s">
        <v>29</v>
      </c>
      <c r="N492" t="s">
        <v>29</v>
      </c>
      <c r="O492" t="s">
        <v>29</v>
      </c>
      <c r="P492" t="s">
        <v>29</v>
      </c>
      <c r="Q492" t="s">
        <v>29</v>
      </c>
      <c r="R492" t="s">
        <v>29</v>
      </c>
      <c r="S492" t="s">
        <v>29</v>
      </c>
      <c r="T492" t="s">
        <v>29</v>
      </c>
      <c r="U492" t="s">
        <v>29</v>
      </c>
      <c r="V492" t="s">
        <v>29</v>
      </c>
    </row>
    <row r="493" spans="1:22" x14ac:dyDescent="0.35">
      <c r="A493" s="1">
        <v>45295</v>
      </c>
      <c r="B493" t="s">
        <v>150</v>
      </c>
      <c r="C493" s="2">
        <v>0.95696759259259256</v>
      </c>
      <c r="D493" t="s">
        <v>1220</v>
      </c>
      <c r="E493" t="s">
        <v>93</v>
      </c>
      <c r="F493" t="s">
        <v>1221</v>
      </c>
      <c r="G493" t="s">
        <v>67</v>
      </c>
      <c r="H493" t="s">
        <v>232</v>
      </c>
      <c r="I493" t="s">
        <v>111</v>
      </c>
      <c r="J493">
        <v>7.6</v>
      </c>
      <c r="K493" t="s">
        <v>29</v>
      </c>
      <c r="L493" t="s">
        <v>29</v>
      </c>
      <c r="M493" t="s">
        <v>29</v>
      </c>
      <c r="N493">
        <v>1</v>
      </c>
      <c r="O493" t="s">
        <v>169</v>
      </c>
      <c r="P493" t="s">
        <v>29</v>
      </c>
      <c r="Q493" t="s">
        <v>29</v>
      </c>
      <c r="R493" t="s">
        <v>29</v>
      </c>
      <c r="S493" t="s">
        <v>29</v>
      </c>
      <c r="T493" t="s">
        <v>29</v>
      </c>
      <c r="U493" t="s">
        <v>29</v>
      </c>
      <c r="V493" t="s">
        <v>29</v>
      </c>
    </row>
    <row r="494" spans="1:22" x14ac:dyDescent="0.35">
      <c r="A494" s="1">
        <v>45306</v>
      </c>
      <c r="B494" t="s">
        <v>150</v>
      </c>
      <c r="C494" s="2">
        <v>0.3893402777777778</v>
      </c>
      <c r="D494" t="s">
        <v>1222</v>
      </c>
      <c r="E494" t="s">
        <v>117</v>
      </c>
      <c r="F494" t="s">
        <v>1223</v>
      </c>
      <c r="G494" t="s">
        <v>56</v>
      </c>
      <c r="H494" t="s">
        <v>45</v>
      </c>
      <c r="I494" t="s">
        <v>280</v>
      </c>
      <c r="J494">
        <v>19.2</v>
      </c>
      <c r="K494" t="s">
        <v>29</v>
      </c>
      <c r="L494">
        <v>1</v>
      </c>
      <c r="M494" t="s">
        <v>224</v>
      </c>
      <c r="N494" t="s">
        <v>29</v>
      </c>
      <c r="O494" t="s">
        <v>29</v>
      </c>
      <c r="P494" t="s">
        <v>29</v>
      </c>
      <c r="Q494" t="s">
        <v>29</v>
      </c>
      <c r="R494" t="s">
        <v>29</v>
      </c>
      <c r="S494" t="s">
        <v>29</v>
      </c>
      <c r="T494" t="s">
        <v>29</v>
      </c>
      <c r="U494" t="s">
        <v>29</v>
      </c>
      <c r="V494" t="s">
        <v>29</v>
      </c>
    </row>
    <row r="495" spans="1:22" x14ac:dyDescent="0.35">
      <c r="A495" s="1">
        <v>45333</v>
      </c>
      <c r="B495" t="s">
        <v>59</v>
      </c>
      <c r="C495" s="2">
        <v>0.71212962962962967</v>
      </c>
      <c r="D495" t="s">
        <v>1224</v>
      </c>
      <c r="E495" t="s">
        <v>41</v>
      </c>
      <c r="F495" t="s">
        <v>1225</v>
      </c>
      <c r="G495" t="s">
        <v>34</v>
      </c>
      <c r="H495" t="s">
        <v>119</v>
      </c>
      <c r="I495" t="s">
        <v>106</v>
      </c>
      <c r="J495">
        <v>8.1</v>
      </c>
      <c r="K495">
        <v>24.1</v>
      </c>
      <c r="L495" t="s">
        <v>29</v>
      </c>
      <c r="M495" t="s">
        <v>29</v>
      </c>
      <c r="N495" t="s">
        <v>29</v>
      </c>
      <c r="O495" t="s">
        <v>29</v>
      </c>
      <c r="P495" t="s">
        <v>29</v>
      </c>
      <c r="Q495" t="s">
        <v>29</v>
      </c>
      <c r="R495">
        <v>339</v>
      </c>
      <c r="S495">
        <v>20.88</v>
      </c>
      <c r="T495">
        <v>4.7</v>
      </c>
      <c r="U495">
        <v>3</v>
      </c>
      <c r="V495" t="s">
        <v>84</v>
      </c>
    </row>
    <row r="496" spans="1:22" x14ac:dyDescent="0.35">
      <c r="A496" s="1">
        <v>45327</v>
      </c>
      <c r="B496" t="s">
        <v>59</v>
      </c>
      <c r="C496" s="2">
        <v>0.76890046296296299</v>
      </c>
      <c r="D496" t="s">
        <v>1226</v>
      </c>
      <c r="E496" t="s">
        <v>93</v>
      </c>
      <c r="F496" t="s">
        <v>1227</v>
      </c>
      <c r="G496" t="s">
        <v>43</v>
      </c>
      <c r="H496" t="s">
        <v>435</v>
      </c>
      <c r="I496" t="s">
        <v>590</v>
      </c>
      <c r="J496">
        <v>5.3</v>
      </c>
      <c r="K496" t="s">
        <v>29</v>
      </c>
      <c r="L496" t="s">
        <v>29</v>
      </c>
      <c r="M496" t="s">
        <v>29</v>
      </c>
      <c r="N496">
        <v>1</v>
      </c>
      <c r="O496" t="s">
        <v>115</v>
      </c>
      <c r="P496" t="s">
        <v>29</v>
      </c>
      <c r="Q496" t="s">
        <v>29</v>
      </c>
      <c r="R496" t="s">
        <v>29</v>
      </c>
      <c r="S496" t="s">
        <v>29</v>
      </c>
      <c r="T496" t="s">
        <v>29</v>
      </c>
      <c r="U496" t="s">
        <v>29</v>
      </c>
      <c r="V496" t="s">
        <v>29</v>
      </c>
    </row>
    <row r="497" spans="1:22" x14ac:dyDescent="0.35">
      <c r="A497" s="1">
        <v>45325</v>
      </c>
      <c r="B497" t="s">
        <v>59</v>
      </c>
      <c r="C497" s="2">
        <v>0.98836805555555551</v>
      </c>
      <c r="D497" t="s">
        <v>1228</v>
      </c>
      <c r="E497" t="s">
        <v>41</v>
      </c>
      <c r="F497" t="s">
        <v>1229</v>
      </c>
      <c r="G497" t="s">
        <v>146</v>
      </c>
      <c r="H497" t="s">
        <v>296</v>
      </c>
      <c r="I497" t="s">
        <v>111</v>
      </c>
      <c r="J497">
        <v>14.9</v>
      </c>
      <c r="K497">
        <v>15</v>
      </c>
      <c r="L497" t="s">
        <v>29</v>
      </c>
      <c r="M497" t="s">
        <v>29</v>
      </c>
      <c r="N497" t="s">
        <v>29</v>
      </c>
      <c r="O497" t="s">
        <v>29</v>
      </c>
      <c r="P497" t="s">
        <v>29</v>
      </c>
      <c r="Q497" t="s">
        <v>29</v>
      </c>
      <c r="R497">
        <v>533</v>
      </c>
      <c r="S497">
        <v>28.23</v>
      </c>
      <c r="T497">
        <v>3.4</v>
      </c>
      <c r="U497">
        <v>4.5999999999999996</v>
      </c>
      <c r="V497" t="s">
        <v>84</v>
      </c>
    </row>
    <row r="498" spans="1:22" x14ac:dyDescent="0.35">
      <c r="A498" s="1">
        <v>45348</v>
      </c>
      <c r="B498" t="s">
        <v>59</v>
      </c>
      <c r="C498" s="2">
        <v>0.37765046296296295</v>
      </c>
      <c r="D498" t="s">
        <v>1230</v>
      </c>
      <c r="E498" t="s">
        <v>41</v>
      </c>
      <c r="F498" t="s">
        <v>1231</v>
      </c>
      <c r="G498" t="s">
        <v>50</v>
      </c>
      <c r="H498" t="s">
        <v>435</v>
      </c>
      <c r="I498" t="s">
        <v>167</v>
      </c>
      <c r="J498">
        <v>13.3</v>
      </c>
      <c r="K498">
        <v>30.8</v>
      </c>
      <c r="L498" t="s">
        <v>29</v>
      </c>
      <c r="M498" t="s">
        <v>29</v>
      </c>
      <c r="N498" t="s">
        <v>29</v>
      </c>
      <c r="O498" t="s">
        <v>29</v>
      </c>
      <c r="P498" t="s">
        <v>29</v>
      </c>
      <c r="Q498" t="s">
        <v>29</v>
      </c>
      <c r="R498">
        <v>884</v>
      </c>
      <c r="S498">
        <v>14.57</v>
      </c>
      <c r="T498">
        <v>4.3</v>
      </c>
      <c r="U498">
        <v>4.7</v>
      </c>
      <c r="V498" t="s">
        <v>38</v>
      </c>
    </row>
    <row r="499" spans="1:22" x14ac:dyDescent="0.35">
      <c r="A499" s="1">
        <v>45509</v>
      </c>
      <c r="B499" t="s">
        <v>39</v>
      </c>
      <c r="C499" s="2">
        <v>0.12923611111111111</v>
      </c>
      <c r="D499" t="s">
        <v>1232</v>
      </c>
      <c r="E499" t="s">
        <v>41</v>
      </c>
      <c r="F499" t="s">
        <v>1233</v>
      </c>
      <c r="G499" t="s">
        <v>67</v>
      </c>
      <c r="H499" t="s">
        <v>333</v>
      </c>
      <c r="I499" t="s">
        <v>320</v>
      </c>
      <c r="J499">
        <v>8.8000000000000007</v>
      </c>
      <c r="K499">
        <v>15.6</v>
      </c>
      <c r="L499" t="s">
        <v>29</v>
      </c>
      <c r="M499" t="s">
        <v>29</v>
      </c>
      <c r="N499" t="s">
        <v>29</v>
      </c>
      <c r="O499" t="s">
        <v>29</v>
      </c>
      <c r="P499" t="s">
        <v>29</v>
      </c>
      <c r="Q499" t="s">
        <v>29</v>
      </c>
      <c r="R499">
        <v>446</v>
      </c>
      <c r="S499">
        <v>6.69</v>
      </c>
      <c r="T499">
        <v>4.4000000000000004</v>
      </c>
      <c r="U499">
        <v>4.3</v>
      </c>
      <c r="V499" t="s">
        <v>84</v>
      </c>
    </row>
    <row r="500" spans="1:22" x14ac:dyDescent="0.35">
      <c r="A500" s="1">
        <v>45559</v>
      </c>
      <c r="B500" t="s">
        <v>53</v>
      </c>
      <c r="C500" s="2">
        <v>0.87026620370370367</v>
      </c>
      <c r="D500" t="s">
        <v>1234</v>
      </c>
      <c r="E500" t="s">
        <v>41</v>
      </c>
      <c r="F500" t="s">
        <v>1235</v>
      </c>
      <c r="G500" t="s">
        <v>50</v>
      </c>
      <c r="H500" t="s">
        <v>365</v>
      </c>
      <c r="I500" t="s">
        <v>549</v>
      </c>
      <c r="J500">
        <v>11.7</v>
      </c>
      <c r="K500">
        <v>30.7</v>
      </c>
      <c r="L500" t="s">
        <v>29</v>
      </c>
      <c r="M500" t="s">
        <v>29</v>
      </c>
      <c r="N500" t="s">
        <v>29</v>
      </c>
      <c r="O500" t="s">
        <v>29</v>
      </c>
      <c r="P500" t="s">
        <v>29</v>
      </c>
      <c r="Q500" t="s">
        <v>29</v>
      </c>
      <c r="R500">
        <v>675</v>
      </c>
      <c r="S500">
        <v>10.62</v>
      </c>
      <c r="T500">
        <v>4.2</v>
      </c>
      <c r="U500">
        <v>4.0999999999999996</v>
      </c>
      <c r="V500" t="s">
        <v>149</v>
      </c>
    </row>
    <row r="501" spans="1:22" x14ac:dyDescent="0.35">
      <c r="A501" s="1">
        <v>45475</v>
      </c>
      <c r="B501" t="s">
        <v>108</v>
      </c>
      <c r="C501" s="2">
        <v>0.56146990740740743</v>
      </c>
      <c r="D501" t="s">
        <v>1236</v>
      </c>
      <c r="E501" t="s">
        <v>24</v>
      </c>
      <c r="F501" t="s">
        <v>1237</v>
      </c>
      <c r="G501" t="s">
        <v>67</v>
      </c>
      <c r="H501" t="s">
        <v>262</v>
      </c>
      <c r="I501" t="s">
        <v>95</v>
      </c>
      <c r="J501" t="s">
        <v>29</v>
      </c>
      <c r="K501" t="s">
        <v>29</v>
      </c>
      <c r="L501" t="s">
        <v>29</v>
      </c>
      <c r="M501" t="s">
        <v>29</v>
      </c>
      <c r="N501" t="s">
        <v>29</v>
      </c>
      <c r="O501" t="s">
        <v>29</v>
      </c>
      <c r="P501" t="s">
        <v>29</v>
      </c>
      <c r="Q501" t="s">
        <v>29</v>
      </c>
      <c r="R501" t="s">
        <v>29</v>
      </c>
      <c r="S501" t="s">
        <v>29</v>
      </c>
      <c r="T501" t="s">
        <v>29</v>
      </c>
      <c r="U501" t="s">
        <v>29</v>
      </c>
      <c r="V501" t="s">
        <v>29</v>
      </c>
    </row>
    <row r="502" spans="1:22" x14ac:dyDescent="0.35">
      <c r="A502" s="1">
        <v>45598</v>
      </c>
      <c r="B502" t="s">
        <v>30</v>
      </c>
      <c r="C502" s="2">
        <v>0.50980324074074079</v>
      </c>
      <c r="D502" t="s">
        <v>1238</v>
      </c>
      <c r="E502" t="s">
        <v>41</v>
      </c>
      <c r="F502" t="s">
        <v>1239</v>
      </c>
      <c r="G502" t="s">
        <v>146</v>
      </c>
      <c r="H502" t="s">
        <v>653</v>
      </c>
      <c r="I502" t="s">
        <v>194</v>
      </c>
      <c r="J502">
        <v>3.9</v>
      </c>
      <c r="K502">
        <v>25.2</v>
      </c>
      <c r="L502" t="s">
        <v>29</v>
      </c>
      <c r="M502" t="s">
        <v>29</v>
      </c>
      <c r="N502" t="s">
        <v>29</v>
      </c>
      <c r="O502" t="s">
        <v>29</v>
      </c>
      <c r="P502" t="s">
        <v>29</v>
      </c>
      <c r="Q502" t="s">
        <v>29</v>
      </c>
      <c r="R502">
        <v>407</v>
      </c>
      <c r="S502">
        <v>19.989999999999998</v>
      </c>
      <c r="T502">
        <v>3.7</v>
      </c>
      <c r="U502">
        <v>4.9000000000000004</v>
      </c>
      <c r="V502" t="s">
        <v>38</v>
      </c>
    </row>
    <row r="503" spans="1:22" x14ac:dyDescent="0.35">
      <c r="A503" s="1">
        <v>45504</v>
      </c>
      <c r="B503" t="s">
        <v>108</v>
      </c>
      <c r="C503" s="2">
        <v>0.86537037037037035</v>
      </c>
      <c r="D503" t="s">
        <v>1240</v>
      </c>
      <c r="E503" t="s">
        <v>117</v>
      </c>
      <c r="F503" t="s">
        <v>1241</v>
      </c>
      <c r="G503" t="s">
        <v>34</v>
      </c>
      <c r="H503" t="s">
        <v>172</v>
      </c>
      <c r="I503" t="s">
        <v>441</v>
      </c>
      <c r="J503">
        <v>18</v>
      </c>
      <c r="K503" t="s">
        <v>29</v>
      </c>
      <c r="L503">
        <v>1</v>
      </c>
      <c r="M503" t="s">
        <v>420</v>
      </c>
      <c r="N503" t="s">
        <v>29</v>
      </c>
      <c r="O503" t="s">
        <v>29</v>
      </c>
      <c r="P503" t="s">
        <v>29</v>
      </c>
      <c r="Q503" t="s">
        <v>29</v>
      </c>
      <c r="R503" t="s">
        <v>29</v>
      </c>
      <c r="S503" t="s">
        <v>29</v>
      </c>
      <c r="T503" t="s">
        <v>29</v>
      </c>
      <c r="U503" t="s">
        <v>29</v>
      </c>
      <c r="V503" t="s">
        <v>29</v>
      </c>
    </row>
    <row r="504" spans="1:22" x14ac:dyDescent="0.35">
      <c r="A504" s="1">
        <v>45523</v>
      </c>
      <c r="B504" t="s">
        <v>39</v>
      </c>
      <c r="C504" s="2">
        <v>0.62006944444444445</v>
      </c>
      <c r="D504" t="s">
        <v>1242</v>
      </c>
      <c r="E504" t="s">
        <v>41</v>
      </c>
      <c r="F504" t="s">
        <v>1243</v>
      </c>
      <c r="G504" t="s">
        <v>50</v>
      </c>
      <c r="H504" t="s">
        <v>255</v>
      </c>
      <c r="I504" t="s">
        <v>167</v>
      </c>
      <c r="J504">
        <v>14.9</v>
      </c>
      <c r="K504">
        <v>25.8</v>
      </c>
      <c r="L504" t="s">
        <v>29</v>
      </c>
      <c r="M504" t="s">
        <v>29</v>
      </c>
      <c r="N504" t="s">
        <v>29</v>
      </c>
      <c r="O504" t="s">
        <v>29</v>
      </c>
      <c r="P504" t="s">
        <v>29</v>
      </c>
      <c r="Q504" t="s">
        <v>29</v>
      </c>
      <c r="R504">
        <v>219</v>
      </c>
      <c r="S504">
        <v>12.04</v>
      </c>
      <c r="T504">
        <v>3.7</v>
      </c>
      <c r="U504">
        <v>4.3</v>
      </c>
      <c r="V504" t="s">
        <v>84</v>
      </c>
    </row>
    <row r="505" spans="1:22" x14ac:dyDescent="0.35">
      <c r="A505" s="1">
        <v>45334</v>
      </c>
      <c r="B505" t="s">
        <v>59</v>
      </c>
      <c r="C505" s="2">
        <v>0.84543981481481478</v>
      </c>
      <c r="D505" t="s">
        <v>1244</v>
      </c>
      <c r="E505" t="s">
        <v>41</v>
      </c>
      <c r="F505" t="s">
        <v>1245</v>
      </c>
      <c r="G505" t="s">
        <v>26</v>
      </c>
      <c r="H505" t="s">
        <v>327</v>
      </c>
      <c r="I505" t="s">
        <v>360</v>
      </c>
      <c r="J505">
        <v>3.8</v>
      </c>
      <c r="K505">
        <v>15.5</v>
      </c>
      <c r="L505" t="s">
        <v>29</v>
      </c>
      <c r="M505" t="s">
        <v>29</v>
      </c>
      <c r="N505" t="s">
        <v>29</v>
      </c>
      <c r="O505" t="s">
        <v>29</v>
      </c>
      <c r="P505" t="s">
        <v>29</v>
      </c>
      <c r="Q505" t="s">
        <v>29</v>
      </c>
      <c r="R505">
        <v>811</v>
      </c>
      <c r="S505">
        <v>43.29</v>
      </c>
      <c r="T505">
        <v>4.2</v>
      </c>
      <c r="U505">
        <v>5</v>
      </c>
      <c r="V505" t="s">
        <v>38</v>
      </c>
    </row>
    <row r="506" spans="1:22" x14ac:dyDescent="0.35">
      <c r="A506" s="1">
        <v>45429</v>
      </c>
      <c r="B506" t="s">
        <v>122</v>
      </c>
      <c r="C506" s="2">
        <v>0.41825231481481484</v>
      </c>
      <c r="D506" t="s">
        <v>1246</v>
      </c>
      <c r="E506" t="s">
        <v>41</v>
      </c>
      <c r="F506" t="s">
        <v>1247</v>
      </c>
      <c r="G506" t="s">
        <v>34</v>
      </c>
      <c r="H506" t="s">
        <v>935</v>
      </c>
      <c r="I506" t="s">
        <v>803</v>
      </c>
      <c r="J506">
        <v>13.3</v>
      </c>
      <c r="K506">
        <v>43</v>
      </c>
      <c r="L506" t="s">
        <v>29</v>
      </c>
      <c r="M506" t="s">
        <v>29</v>
      </c>
      <c r="N506" t="s">
        <v>29</v>
      </c>
      <c r="O506" t="s">
        <v>29</v>
      </c>
      <c r="P506" t="s">
        <v>29</v>
      </c>
      <c r="Q506" t="s">
        <v>29</v>
      </c>
      <c r="R506">
        <v>169</v>
      </c>
      <c r="S506">
        <v>3</v>
      </c>
      <c r="T506">
        <v>3.9</v>
      </c>
      <c r="U506">
        <v>4.9000000000000004</v>
      </c>
      <c r="V506" t="s">
        <v>107</v>
      </c>
    </row>
    <row r="507" spans="1:22" x14ac:dyDescent="0.35">
      <c r="A507" s="1">
        <v>45480</v>
      </c>
      <c r="B507" t="s">
        <v>108</v>
      </c>
      <c r="C507" s="2">
        <v>0.40105324074074072</v>
      </c>
      <c r="D507" t="s">
        <v>1248</v>
      </c>
      <c r="E507" t="s">
        <v>41</v>
      </c>
      <c r="F507" t="s">
        <v>1249</v>
      </c>
      <c r="G507" t="s">
        <v>34</v>
      </c>
      <c r="H507" t="s">
        <v>744</v>
      </c>
      <c r="I507" t="s">
        <v>290</v>
      </c>
      <c r="J507">
        <v>4.9000000000000004</v>
      </c>
      <c r="K507">
        <v>41.4</v>
      </c>
      <c r="L507" t="s">
        <v>29</v>
      </c>
      <c r="M507" t="s">
        <v>29</v>
      </c>
      <c r="N507" t="s">
        <v>29</v>
      </c>
      <c r="O507" t="s">
        <v>29</v>
      </c>
      <c r="P507" t="s">
        <v>29</v>
      </c>
      <c r="Q507" t="s">
        <v>29</v>
      </c>
      <c r="R507">
        <v>379</v>
      </c>
      <c r="S507">
        <v>28.36</v>
      </c>
      <c r="T507">
        <v>3.5</v>
      </c>
      <c r="U507">
        <v>4.2</v>
      </c>
      <c r="V507" t="s">
        <v>84</v>
      </c>
    </row>
    <row r="508" spans="1:22" x14ac:dyDescent="0.35">
      <c r="A508" s="1">
        <v>45438</v>
      </c>
      <c r="B508" t="s">
        <v>122</v>
      </c>
      <c r="C508" s="2">
        <v>0.76354166666666667</v>
      </c>
      <c r="D508" t="s">
        <v>1250</v>
      </c>
      <c r="E508" t="s">
        <v>32</v>
      </c>
      <c r="F508" t="s">
        <v>1251</v>
      </c>
      <c r="G508" t="s">
        <v>43</v>
      </c>
      <c r="H508" t="s">
        <v>221</v>
      </c>
      <c r="I508" t="s">
        <v>486</v>
      </c>
      <c r="J508">
        <v>7.3</v>
      </c>
      <c r="K508">
        <v>29.7</v>
      </c>
      <c r="L508" t="s">
        <v>29</v>
      </c>
      <c r="M508" t="s">
        <v>29</v>
      </c>
      <c r="N508" t="s">
        <v>29</v>
      </c>
      <c r="O508" t="s">
        <v>29</v>
      </c>
      <c r="P508">
        <v>1</v>
      </c>
      <c r="Q508" t="s">
        <v>302</v>
      </c>
      <c r="R508">
        <v>465</v>
      </c>
      <c r="S508">
        <v>13.04</v>
      </c>
      <c r="T508" t="s">
        <v>29</v>
      </c>
      <c r="U508" t="s">
        <v>29</v>
      </c>
      <c r="V508" t="s">
        <v>149</v>
      </c>
    </row>
    <row r="509" spans="1:22" x14ac:dyDescent="0.35">
      <c r="A509" s="1">
        <v>45446</v>
      </c>
      <c r="B509" t="s">
        <v>64</v>
      </c>
      <c r="C509" s="2">
        <v>0.885162037037037</v>
      </c>
      <c r="D509" t="s">
        <v>1252</v>
      </c>
      <c r="E509" t="s">
        <v>93</v>
      </c>
      <c r="F509" t="s">
        <v>1253</v>
      </c>
      <c r="G509" t="s">
        <v>43</v>
      </c>
      <c r="H509" t="s">
        <v>168</v>
      </c>
      <c r="I509" t="s">
        <v>114</v>
      </c>
      <c r="J509">
        <v>7.9</v>
      </c>
      <c r="K509" t="s">
        <v>29</v>
      </c>
      <c r="L509" t="s">
        <v>29</v>
      </c>
      <c r="M509" t="s">
        <v>29</v>
      </c>
      <c r="N509">
        <v>1</v>
      </c>
      <c r="O509" t="s">
        <v>97</v>
      </c>
      <c r="P509" t="s">
        <v>29</v>
      </c>
      <c r="Q509" t="s">
        <v>29</v>
      </c>
      <c r="R509" t="s">
        <v>29</v>
      </c>
      <c r="S509" t="s">
        <v>29</v>
      </c>
      <c r="T509" t="s">
        <v>29</v>
      </c>
      <c r="U509" t="s">
        <v>29</v>
      </c>
      <c r="V509" t="s">
        <v>29</v>
      </c>
    </row>
    <row r="510" spans="1:22" x14ac:dyDescent="0.35">
      <c r="A510" s="1">
        <v>45442</v>
      </c>
      <c r="B510" t="s">
        <v>122</v>
      </c>
      <c r="C510" s="2">
        <v>0.4215740740740741</v>
      </c>
      <c r="D510" t="s">
        <v>1254</v>
      </c>
      <c r="E510" t="s">
        <v>41</v>
      </c>
      <c r="F510" t="s">
        <v>1255</v>
      </c>
      <c r="G510" t="s">
        <v>146</v>
      </c>
      <c r="H510" t="s">
        <v>1035</v>
      </c>
      <c r="I510" t="s">
        <v>201</v>
      </c>
      <c r="J510">
        <v>5.9</v>
      </c>
      <c r="K510">
        <v>26.5</v>
      </c>
      <c r="L510" t="s">
        <v>29</v>
      </c>
      <c r="M510" t="s">
        <v>29</v>
      </c>
      <c r="N510" t="s">
        <v>29</v>
      </c>
      <c r="O510" t="s">
        <v>29</v>
      </c>
      <c r="P510" t="s">
        <v>29</v>
      </c>
      <c r="Q510" t="s">
        <v>29</v>
      </c>
      <c r="R510">
        <v>160</v>
      </c>
      <c r="S510">
        <v>5.52</v>
      </c>
      <c r="T510">
        <v>4.4000000000000004</v>
      </c>
      <c r="U510">
        <v>4.0999999999999996</v>
      </c>
      <c r="V510" t="s">
        <v>38</v>
      </c>
    </row>
    <row r="511" spans="1:22" x14ac:dyDescent="0.35">
      <c r="A511" s="1">
        <v>45383</v>
      </c>
      <c r="B511" t="s">
        <v>154</v>
      </c>
      <c r="C511" s="2">
        <v>0.83762731481481478</v>
      </c>
      <c r="D511" t="s">
        <v>1256</v>
      </c>
      <c r="E511" t="s">
        <v>41</v>
      </c>
      <c r="F511" t="s">
        <v>1257</v>
      </c>
      <c r="G511" t="s">
        <v>34</v>
      </c>
      <c r="H511" t="s">
        <v>374</v>
      </c>
      <c r="I511" t="s">
        <v>220</v>
      </c>
      <c r="J511">
        <v>5.9</v>
      </c>
      <c r="K511">
        <v>27.9</v>
      </c>
      <c r="L511" t="s">
        <v>29</v>
      </c>
      <c r="M511" t="s">
        <v>29</v>
      </c>
      <c r="N511" t="s">
        <v>29</v>
      </c>
      <c r="O511" t="s">
        <v>29</v>
      </c>
      <c r="P511" t="s">
        <v>29</v>
      </c>
      <c r="Q511" t="s">
        <v>29</v>
      </c>
      <c r="R511">
        <v>153</v>
      </c>
      <c r="S511">
        <v>11.93</v>
      </c>
      <c r="T511">
        <v>4.4000000000000004</v>
      </c>
      <c r="U511">
        <v>4.9000000000000004</v>
      </c>
      <c r="V511" t="s">
        <v>38</v>
      </c>
    </row>
    <row r="512" spans="1:22" x14ac:dyDescent="0.35">
      <c r="A512" s="1">
        <v>45631</v>
      </c>
      <c r="B512" t="s">
        <v>78</v>
      </c>
      <c r="C512" s="2">
        <v>0.84805555555555556</v>
      </c>
      <c r="D512" t="s">
        <v>1258</v>
      </c>
      <c r="E512" t="s">
        <v>93</v>
      </c>
      <c r="F512" t="s">
        <v>1259</v>
      </c>
      <c r="G512" t="s">
        <v>67</v>
      </c>
      <c r="H512" t="s">
        <v>132</v>
      </c>
      <c r="I512" t="s">
        <v>312</v>
      </c>
      <c r="J512">
        <v>9.6</v>
      </c>
      <c r="K512" t="s">
        <v>29</v>
      </c>
      <c r="L512" t="s">
        <v>29</v>
      </c>
      <c r="M512" t="s">
        <v>29</v>
      </c>
      <c r="N512">
        <v>1</v>
      </c>
      <c r="O512" t="s">
        <v>97</v>
      </c>
      <c r="P512" t="s">
        <v>29</v>
      </c>
      <c r="Q512" t="s">
        <v>29</v>
      </c>
      <c r="R512" t="s">
        <v>29</v>
      </c>
      <c r="S512" t="s">
        <v>29</v>
      </c>
      <c r="T512" t="s">
        <v>29</v>
      </c>
      <c r="U512" t="s">
        <v>29</v>
      </c>
      <c r="V512" t="s">
        <v>29</v>
      </c>
    </row>
    <row r="513" spans="1:22" x14ac:dyDescent="0.35">
      <c r="A513" s="1">
        <v>45624</v>
      </c>
      <c r="B513" t="s">
        <v>30</v>
      </c>
      <c r="C513" s="2">
        <v>0.63109953703703703</v>
      </c>
      <c r="D513" t="s">
        <v>1260</v>
      </c>
      <c r="E513" t="s">
        <v>93</v>
      </c>
      <c r="F513" t="s">
        <v>1261</v>
      </c>
      <c r="G513" t="s">
        <v>67</v>
      </c>
      <c r="H513" t="s">
        <v>126</v>
      </c>
      <c r="I513" t="s">
        <v>474</v>
      </c>
      <c r="J513">
        <v>9.6999999999999993</v>
      </c>
      <c r="K513" t="s">
        <v>29</v>
      </c>
      <c r="L513" t="s">
        <v>29</v>
      </c>
      <c r="M513" t="s">
        <v>29</v>
      </c>
      <c r="N513">
        <v>1</v>
      </c>
      <c r="O513" t="s">
        <v>97</v>
      </c>
      <c r="P513" t="s">
        <v>29</v>
      </c>
      <c r="Q513" t="s">
        <v>29</v>
      </c>
      <c r="R513" t="s">
        <v>29</v>
      </c>
      <c r="S513" t="s">
        <v>29</v>
      </c>
      <c r="T513" t="s">
        <v>29</v>
      </c>
      <c r="U513" t="s">
        <v>29</v>
      </c>
      <c r="V513" t="s">
        <v>29</v>
      </c>
    </row>
    <row r="514" spans="1:22" x14ac:dyDescent="0.35">
      <c r="A514" s="1">
        <v>45489</v>
      </c>
      <c r="B514" t="s">
        <v>108</v>
      </c>
      <c r="C514" s="2">
        <v>0.68292824074074077</v>
      </c>
      <c r="D514" t="s">
        <v>1262</v>
      </c>
      <c r="E514" t="s">
        <v>93</v>
      </c>
      <c r="F514" t="s">
        <v>1263</v>
      </c>
      <c r="G514" t="s">
        <v>43</v>
      </c>
      <c r="H514" t="s">
        <v>430</v>
      </c>
      <c r="I514" t="s">
        <v>653</v>
      </c>
      <c r="J514">
        <v>9.1</v>
      </c>
      <c r="K514" t="s">
        <v>29</v>
      </c>
      <c r="L514" t="s">
        <v>29</v>
      </c>
      <c r="M514" t="s">
        <v>29</v>
      </c>
      <c r="N514">
        <v>1</v>
      </c>
      <c r="O514" t="s">
        <v>337</v>
      </c>
      <c r="P514" t="s">
        <v>29</v>
      </c>
      <c r="Q514" t="s">
        <v>29</v>
      </c>
      <c r="R514" t="s">
        <v>29</v>
      </c>
      <c r="S514" t="s">
        <v>29</v>
      </c>
      <c r="T514" t="s">
        <v>29</v>
      </c>
      <c r="U514" t="s">
        <v>29</v>
      </c>
      <c r="V514" t="s">
        <v>29</v>
      </c>
    </row>
    <row r="515" spans="1:22" x14ac:dyDescent="0.35">
      <c r="A515" s="1">
        <v>45506</v>
      </c>
      <c r="B515" t="s">
        <v>39</v>
      </c>
      <c r="C515" s="2">
        <v>0.53342592592592597</v>
      </c>
      <c r="D515" t="s">
        <v>1264</v>
      </c>
      <c r="E515" t="s">
        <v>93</v>
      </c>
      <c r="F515" t="s">
        <v>1265</v>
      </c>
      <c r="G515" t="s">
        <v>26</v>
      </c>
      <c r="H515" t="s">
        <v>493</v>
      </c>
      <c r="I515" t="s">
        <v>489</v>
      </c>
      <c r="J515">
        <v>10</v>
      </c>
      <c r="K515" t="s">
        <v>29</v>
      </c>
      <c r="L515" t="s">
        <v>29</v>
      </c>
      <c r="M515" t="s">
        <v>29</v>
      </c>
      <c r="N515">
        <v>1</v>
      </c>
      <c r="O515" t="s">
        <v>337</v>
      </c>
      <c r="P515" t="s">
        <v>29</v>
      </c>
      <c r="Q515" t="s">
        <v>29</v>
      </c>
      <c r="R515" t="s">
        <v>29</v>
      </c>
      <c r="S515" t="s">
        <v>29</v>
      </c>
      <c r="T515" t="s">
        <v>29</v>
      </c>
      <c r="U515" t="s">
        <v>29</v>
      </c>
      <c r="V515" t="s">
        <v>29</v>
      </c>
    </row>
    <row r="516" spans="1:22" x14ac:dyDescent="0.35">
      <c r="A516" s="1">
        <v>45364</v>
      </c>
      <c r="B516" t="s">
        <v>22</v>
      </c>
      <c r="C516" s="2">
        <v>0.41702546296296295</v>
      </c>
      <c r="D516" t="s">
        <v>1266</v>
      </c>
      <c r="E516" t="s">
        <v>41</v>
      </c>
      <c r="F516" t="s">
        <v>1267</v>
      </c>
      <c r="G516" t="s">
        <v>50</v>
      </c>
      <c r="H516" t="s">
        <v>186</v>
      </c>
      <c r="I516" t="s">
        <v>95</v>
      </c>
      <c r="J516">
        <v>4.5999999999999996</v>
      </c>
      <c r="K516">
        <v>24.7</v>
      </c>
      <c r="L516" t="s">
        <v>29</v>
      </c>
      <c r="M516" t="s">
        <v>29</v>
      </c>
      <c r="N516" t="s">
        <v>29</v>
      </c>
      <c r="O516" t="s">
        <v>29</v>
      </c>
      <c r="P516" t="s">
        <v>29</v>
      </c>
      <c r="Q516" t="s">
        <v>29</v>
      </c>
      <c r="R516">
        <v>369</v>
      </c>
      <c r="S516">
        <v>8.8000000000000007</v>
      </c>
      <c r="T516">
        <v>4.3</v>
      </c>
      <c r="U516">
        <v>3.7</v>
      </c>
      <c r="V516" t="s">
        <v>38</v>
      </c>
    </row>
    <row r="517" spans="1:22" x14ac:dyDescent="0.35">
      <c r="A517" s="1">
        <v>45461</v>
      </c>
      <c r="B517" t="s">
        <v>64</v>
      </c>
      <c r="C517" s="2">
        <v>0.82622685185185185</v>
      </c>
      <c r="D517" t="s">
        <v>1268</v>
      </c>
      <c r="E517" t="s">
        <v>41</v>
      </c>
      <c r="F517" t="s">
        <v>1269</v>
      </c>
      <c r="G517" t="s">
        <v>43</v>
      </c>
      <c r="H517" t="s">
        <v>797</v>
      </c>
      <c r="I517" t="s">
        <v>249</v>
      </c>
      <c r="J517">
        <v>14</v>
      </c>
      <c r="K517">
        <v>17.899999999999999</v>
      </c>
      <c r="L517" t="s">
        <v>29</v>
      </c>
      <c r="M517" t="s">
        <v>29</v>
      </c>
      <c r="N517" t="s">
        <v>29</v>
      </c>
      <c r="O517" t="s">
        <v>29</v>
      </c>
      <c r="P517" t="s">
        <v>29</v>
      </c>
      <c r="Q517" t="s">
        <v>29</v>
      </c>
      <c r="R517">
        <v>360</v>
      </c>
      <c r="S517">
        <v>19.2</v>
      </c>
      <c r="T517">
        <v>4.4000000000000004</v>
      </c>
      <c r="U517">
        <v>3.8</v>
      </c>
      <c r="V517" t="s">
        <v>107</v>
      </c>
    </row>
    <row r="518" spans="1:22" x14ac:dyDescent="0.35">
      <c r="A518" s="1">
        <v>45654</v>
      </c>
      <c r="B518" t="s">
        <v>78</v>
      </c>
      <c r="C518" s="2">
        <v>0.58473379629629629</v>
      </c>
      <c r="D518" t="s">
        <v>1270</v>
      </c>
      <c r="E518" t="s">
        <v>41</v>
      </c>
      <c r="F518" t="s">
        <v>1271</v>
      </c>
      <c r="G518" t="s">
        <v>43</v>
      </c>
      <c r="H518" t="s">
        <v>536</v>
      </c>
      <c r="I518" t="s">
        <v>186</v>
      </c>
      <c r="J518">
        <v>2.1</v>
      </c>
      <c r="K518">
        <v>31.7</v>
      </c>
      <c r="L518" t="s">
        <v>29</v>
      </c>
      <c r="M518" t="s">
        <v>29</v>
      </c>
      <c r="N518" t="s">
        <v>29</v>
      </c>
      <c r="O518" t="s">
        <v>29</v>
      </c>
      <c r="P518" t="s">
        <v>29</v>
      </c>
      <c r="Q518" t="s">
        <v>29</v>
      </c>
      <c r="R518">
        <v>828</v>
      </c>
      <c r="S518">
        <v>28.84</v>
      </c>
      <c r="T518">
        <v>5</v>
      </c>
      <c r="U518">
        <v>4.0999999999999996</v>
      </c>
      <c r="V518" t="s">
        <v>38</v>
      </c>
    </row>
    <row r="519" spans="1:22" x14ac:dyDescent="0.35">
      <c r="A519" s="1">
        <v>45396</v>
      </c>
      <c r="B519" t="s">
        <v>154</v>
      </c>
      <c r="C519" s="2">
        <v>0.33968749999999998</v>
      </c>
      <c r="D519" t="s">
        <v>1272</v>
      </c>
      <c r="E519" t="s">
        <v>41</v>
      </c>
      <c r="F519" t="s">
        <v>1273</v>
      </c>
      <c r="G519" t="s">
        <v>34</v>
      </c>
      <c r="H519" t="s">
        <v>58</v>
      </c>
      <c r="I519" t="s">
        <v>477</v>
      </c>
      <c r="J519">
        <v>12.1</v>
      </c>
      <c r="K519">
        <v>19.7</v>
      </c>
      <c r="L519" t="s">
        <v>29</v>
      </c>
      <c r="M519" t="s">
        <v>29</v>
      </c>
      <c r="N519" t="s">
        <v>29</v>
      </c>
      <c r="O519" t="s">
        <v>29</v>
      </c>
      <c r="P519" t="s">
        <v>29</v>
      </c>
      <c r="Q519" t="s">
        <v>29</v>
      </c>
      <c r="R519">
        <v>791</v>
      </c>
      <c r="S519">
        <v>33.08</v>
      </c>
      <c r="T519">
        <v>4.9000000000000004</v>
      </c>
      <c r="U519">
        <v>4.9000000000000004</v>
      </c>
      <c r="V519" t="s">
        <v>38</v>
      </c>
    </row>
    <row r="520" spans="1:22" x14ac:dyDescent="0.35">
      <c r="A520" s="1">
        <v>45453</v>
      </c>
      <c r="B520" t="s">
        <v>64</v>
      </c>
      <c r="C520" s="2">
        <v>0.84719907407407402</v>
      </c>
      <c r="D520" t="s">
        <v>1274</v>
      </c>
      <c r="E520" t="s">
        <v>41</v>
      </c>
      <c r="F520" t="s">
        <v>1275</v>
      </c>
      <c r="G520" t="s">
        <v>67</v>
      </c>
      <c r="H520" t="s">
        <v>207</v>
      </c>
      <c r="I520" t="s">
        <v>693</v>
      </c>
      <c r="J520">
        <v>10.5</v>
      </c>
      <c r="K520">
        <v>18</v>
      </c>
      <c r="L520" t="s">
        <v>29</v>
      </c>
      <c r="M520" t="s">
        <v>29</v>
      </c>
      <c r="N520" t="s">
        <v>29</v>
      </c>
      <c r="O520" t="s">
        <v>29</v>
      </c>
      <c r="P520" t="s">
        <v>29</v>
      </c>
      <c r="Q520" t="s">
        <v>29</v>
      </c>
      <c r="R520">
        <v>529</v>
      </c>
      <c r="S520">
        <v>10.88</v>
      </c>
      <c r="T520">
        <v>5</v>
      </c>
      <c r="U520">
        <v>4.9000000000000004</v>
      </c>
      <c r="V520" t="s">
        <v>38</v>
      </c>
    </row>
    <row r="521" spans="1:22" x14ac:dyDescent="0.35">
      <c r="A521" s="1">
        <v>45604</v>
      </c>
      <c r="B521" t="s">
        <v>30</v>
      </c>
      <c r="C521" s="2">
        <v>0.70871527777777776</v>
      </c>
      <c r="D521" t="s">
        <v>1276</v>
      </c>
      <c r="E521" t="s">
        <v>41</v>
      </c>
      <c r="F521" t="s">
        <v>1277</v>
      </c>
      <c r="G521" t="s">
        <v>50</v>
      </c>
      <c r="H521" t="s">
        <v>613</v>
      </c>
      <c r="I521" t="s">
        <v>173</v>
      </c>
      <c r="J521">
        <v>9.6999999999999993</v>
      </c>
      <c r="K521">
        <v>36.4</v>
      </c>
      <c r="L521" t="s">
        <v>29</v>
      </c>
      <c r="M521" t="s">
        <v>29</v>
      </c>
      <c r="N521" t="s">
        <v>29</v>
      </c>
      <c r="O521" t="s">
        <v>29</v>
      </c>
      <c r="P521" t="s">
        <v>29</v>
      </c>
      <c r="Q521" t="s">
        <v>29</v>
      </c>
      <c r="R521">
        <v>306</v>
      </c>
      <c r="S521">
        <v>43.4</v>
      </c>
      <c r="T521">
        <v>4.4000000000000004</v>
      </c>
      <c r="U521">
        <v>4.9000000000000004</v>
      </c>
      <c r="V521" t="s">
        <v>38</v>
      </c>
    </row>
    <row r="522" spans="1:22" x14ac:dyDescent="0.35">
      <c r="A522" s="1">
        <v>45332</v>
      </c>
      <c r="B522" t="s">
        <v>59</v>
      </c>
      <c r="C522" s="2">
        <v>0.35091435185185182</v>
      </c>
      <c r="D522" t="s">
        <v>1278</v>
      </c>
      <c r="E522" t="s">
        <v>41</v>
      </c>
      <c r="F522" t="s">
        <v>1279</v>
      </c>
      <c r="G522" t="s">
        <v>43</v>
      </c>
      <c r="H522" t="s">
        <v>653</v>
      </c>
      <c r="I522" t="s">
        <v>220</v>
      </c>
      <c r="J522">
        <v>3.3</v>
      </c>
      <c r="K522">
        <v>25.8</v>
      </c>
      <c r="L522" t="s">
        <v>29</v>
      </c>
      <c r="M522" t="s">
        <v>29</v>
      </c>
      <c r="N522" t="s">
        <v>29</v>
      </c>
      <c r="O522" t="s">
        <v>29</v>
      </c>
      <c r="P522" t="s">
        <v>29</v>
      </c>
      <c r="Q522" t="s">
        <v>29</v>
      </c>
      <c r="R522">
        <v>131</v>
      </c>
      <c r="S522">
        <v>15.83</v>
      </c>
      <c r="T522">
        <v>3.1</v>
      </c>
      <c r="U522">
        <v>4.3</v>
      </c>
      <c r="V522" t="s">
        <v>149</v>
      </c>
    </row>
    <row r="523" spans="1:22" x14ac:dyDescent="0.35">
      <c r="A523" s="1">
        <v>45425</v>
      </c>
      <c r="B523" t="s">
        <v>122</v>
      </c>
      <c r="C523" s="2">
        <v>0.74873842592592588</v>
      </c>
      <c r="D523" t="s">
        <v>1280</v>
      </c>
      <c r="E523" t="s">
        <v>41</v>
      </c>
      <c r="F523" t="s">
        <v>1281</v>
      </c>
      <c r="G523" t="s">
        <v>34</v>
      </c>
      <c r="H523" t="s">
        <v>161</v>
      </c>
      <c r="I523" t="s">
        <v>63</v>
      </c>
      <c r="J523">
        <v>5.0999999999999996</v>
      </c>
      <c r="K523">
        <v>23.2</v>
      </c>
      <c r="L523" t="s">
        <v>29</v>
      </c>
      <c r="M523" t="s">
        <v>29</v>
      </c>
      <c r="N523" t="s">
        <v>29</v>
      </c>
      <c r="O523" t="s">
        <v>29</v>
      </c>
      <c r="P523" t="s">
        <v>29</v>
      </c>
      <c r="Q523" t="s">
        <v>29</v>
      </c>
      <c r="R523">
        <v>651</v>
      </c>
      <c r="S523">
        <v>9.61</v>
      </c>
      <c r="T523">
        <v>4.7</v>
      </c>
      <c r="U523">
        <v>4.5999999999999996</v>
      </c>
      <c r="V523" t="s">
        <v>46</v>
      </c>
    </row>
    <row r="524" spans="1:22" x14ac:dyDescent="0.35">
      <c r="A524" s="1">
        <v>45500</v>
      </c>
      <c r="B524" t="s">
        <v>108</v>
      </c>
      <c r="C524" s="2">
        <v>0.79545138888888889</v>
      </c>
      <c r="D524" t="s">
        <v>1282</v>
      </c>
      <c r="E524" t="s">
        <v>41</v>
      </c>
      <c r="F524" t="s">
        <v>1283</v>
      </c>
      <c r="G524" t="s">
        <v>34</v>
      </c>
      <c r="H524" t="s">
        <v>690</v>
      </c>
      <c r="I524" t="s">
        <v>616</v>
      </c>
      <c r="J524">
        <v>2.9</v>
      </c>
      <c r="K524">
        <v>30.1</v>
      </c>
      <c r="L524" t="s">
        <v>29</v>
      </c>
      <c r="M524" t="s">
        <v>29</v>
      </c>
      <c r="N524" t="s">
        <v>29</v>
      </c>
      <c r="O524" t="s">
        <v>29</v>
      </c>
      <c r="P524" t="s">
        <v>29</v>
      </c>
      <c r="Q524" t="s">
        <v>29</v>
      </c>
      <c r="R524">
        <v>412</v>
      </c>
      <c r="S524">
        <v>2.69</v>
      </c>
      <c r="T524">
        <v>4.8</v>
      </c>
      <c r="U524">
        <v>3.7</v>
      </c>
      <c r="V524" t="s">
        <v>46</v>
      </c>
    </row>
    <row r="525" spans="1:22" x14ac:dyDescent="0.35">
      <c r="A525" s="1">
        <v>45322</v>
      </c>
      <c r="B525" t="s">
        <v>150</v>
      </c>
      <c r="C525" s="2">
        <v>0.41487268518518516</v>
      </c>
      <c r="D525" t="s">
        <v>1284</v>
      </c>
      <c r="E525" t="s">
        <v>93</v>
      </c>
      <c r="F525" t="s">
        <v>1285</v>
      </c>
      <c r="G525" t="s">
        <v>43</v>
      </c>
      <c r="H525" t="s">
        <v>133</v>
      </c>
      <c r="I525" t="s">
        <v>210</v>
      </c>
      <c r="J525">
        <v>6.9</v>
      </c>
      <c r="K525" t="s">
        <v>29</v>
      </c>
      <c r="L525" t="s">
        <v>29</v>
      </c>
      <c r="M525" t="s">
        <v>29</v>
      </c>
      <c r="N525">
        <v>1</v>
      </c>
      <c r="O525" t="s">
        <v>337</v>
      </c>
      <c r="P525" t="s">
        <v>29</v>
      </c>
      <c r="Q525" t="s">
        <v>29</v>
      </c>
      <c r="R525" t="s">
        <v>29</v>
      </c>
      <c r="S525" t="s">
        <v>29</v>
      </c>
      <c r="T525" t="s">
        <v>29</v>
      </c>
      <c r="U525" t="s">
        <v>29</v>
      </c>
      <c r="V525" t="s">
        <v>29</v>
      </c>
    </row>
    <row r="526" spans="1:22" x14ac:dyDescent="0.35">
      <c r="A526" s="1">
        <v>45438</v>
      </c>
      <c r="B526" t="s">
        <v>122</v>
      </c>
      <c r="C526" s="2">
        <v>0.4367361111111111</v>
      </c>
      <c r="D526" t="s">
        <v>1286</v>
      </c>
      <c r="E526" t="s">
        <v>41</v>
      </c>
      <c r="F526" t="s">
        <v>1287</v>
      </c>
      <c r="G526" t="s">
        <v>43</v>
      </c>
      <c r="H526" t="s">
        <v>555</v>
      </c>
      <c r="I526" t="s">
        <v>636</v>
      </c>
      <c r="J526">
        <v>6.6</v>
      </c>
      <c r="K526">
        <v>33.9</v>
      </c>
      <c r="L526" t="s">
        <v>29</v>
      </c>
      <c r="M526" t="s">
        <v>29</v>
      </c>
      <c r="N526" t="s">
        <v>29</v>
      </c>
      <c r="O526" t="s">
        <v>29</v>
      </c>
      <c r="P526" t="s">
        <v>29</v>
      </c>
      <c r="Q526" t="s">
        <v>29</v>
      </c>
      <c r="R526">
        <v>984</v>
      </c>
      <c r="S526">
        <v>12.52</v>
      </c>
      <c r="T526">
        <v>3.9</v>
      </c>
      <c r="U526">
        <v>4.5999999999999996</v>
      </c>
      <c r="V526" t="s">
        <v>84</v>
      </c>
    </row>
    <row r="527" spans="1:22" x14ac:dyDescent="0.35">
      <c r="A527" s="1">
        <v>45382</v>
      </c>
      <c r="B527" t="s">
        <v>22</v>
      </c>
      <c r="C527" s="2">
        <v>0.87983796296296302</v>
      </c>
      <c r="D527" t="s">
        <v>1288</v>
      </c>
      <c r="E527" t="s">
        <v>41</v>
      </c>
      <c r="F527" t="s">
        <v>1289</v>
      </c>
      <c r="G527" t="s">
        <v>43</v>
      </c>
      <c r="H527" t="s">
        <v>383</v>
      </c>
      <c r="I527" t="s">
        <v>147</v>
      </c>
      <c r="J527">
        <v>12.4</v>
      </c>
      <c r="K527">
        <v>31.7</v>
      </c>
      <c r="L527" t="s">
        <v>29</v>
      </c>
      <c r="M527" t="s">
        <v>29</v>
      </c>
      <c r="N527" t="s">
        <v>29</v>
      </c>
      <c r="O527" t="s">
        <v>29</v>
      </c>
      <c r="P527" t="s">
        <v>29</v>
      </c>
      <c r="Q527" t="s">
        <v>29</v>
      </c>
      <c r="R527">
        <v>375</v>
      </c>
      <c r="S527">
        <v>27.76</v>
      </c>
      <c r="T527">
        <v>4</v>
      </c>
      <c r="U527">
        <v>3.6</v>
      </c>
      <c r="V527" t="s">
        <v>38</v>
      </c>
    </row>
    <row r="528" spans="1:22" x14ac:dyDescent="0.35">
      <c r="A528" s="1">
        <v>45554</v>
      </c>
      <c r="B528" t="s">
        <v>53</v>
      </c>
      <c r="C528" s="2">
        <v>0.58960648148148154</v>
      </c>
      <c r="D528" t="s">
        <v>1290</v>
      </c>
      <c r="E528" t="s">
        <v>93</v>
      </c>
      <c r="F528" t="s">
        <v>1291</v>
      </c>
      <c r="G528" t="s">
        <v>26</v>
      </c>
      <c r="H528" t="s">
        <v>360</v>
      </c>
      <c r="I528" t="s">
        <v>217</v>
      </c>
      <c r="J528">
        <v>7</v>
      </c>
      <c r="K528" t="s">
        <v>29</v>
      </c>
      <c r="L528" t="s">
        <v>29</v>
      </c>
      <c r="M528" t="s">
        <v>29</v>
      </c>
      <c r="N528">
        <v>1</v>
      </c>
      <c r="O528" t="s">
        <v>169</v>
      </c>
      <c r="P528" t="s">
        <v>29</v>
      </c>
      <c r="Q528" t="s">
        <v>29</v>
      </c>
      <c r="R528" t="s">
        <v>29</v>
      </c>
      <c r="S528" t="s">
        <v>29</v>
      </c>
      <c r="T528" t="s">
        <v>29</v>
      </c>
      <c r="U528" t="s">
        <v>29</v>
      </c>
      <c r="V528" t="s">
        <v>29</v>
      </c>
    </row>
    <row r="529" spans="1:22" x14ac:dyDescent="0.35">
      <c r="A529" s="1">
        <v>45296</v>
      </c>
      <c r="B529" t="s">
        <v>150</v>
      </c>
      <c r="C529" s="2">
        <v>0.46530092592592592</v>
      </c>
      <c r="D529" t="s">
        <v>1292</v>
      </c>
      <c r="E529" t="s">
        <v>93</v>
      </c>
      <c r="F529" t="s">
        <v>1293</v>
      </c>
      <c r="G529" t="s">
        <v>34</v>
      </c>
      <c r="H529" t="s">
        <v>1035</v>
      </c>
      <c r="I529" t="s">
        <v>377</v>
      </c>
      <c r="J529">
        <v>5.0999999999999996</v>
      </c>
      <c r="K529" t="s">
        <v>29</v>
      </c>
      <c r="L529" t="s">
        <v>29</v>
      </c>
      <c r="M529" t="s">
        <v>29</v>
      </c>
      <c r="N529">
        <v>1</v>
      </c>
      <c r="O529" t="s">
        <v>169</v>
      </c>
      <c r="P529" t="s">
        <v>29</v>
      </c>
      <c r="Q529" t="s">
        <v>29</v>
      </c>
      <c r="R529" t="s">
        <v>29</v>
      </c>
      <c r="S529" t="s">
        <v>29</v>
      </c>
      <c r="T529" t="s">
        <v>29</v>
      </c>
      <c r="U529" t="s">
        <v>29</v>
      </c>
      <c r="V529" t="s">
        <v>29</v>
      </c>
    </row>
    <row r="530" spans="1:22" x14ac:dyDescent="0.35">
      <c r="A530" s="1">
        <v>45648</v>
      </c>
      <c r="B530" t="s">
        <v>78</v>
      </c>
      <c r="C530" s="2">
        <v>0.19502314814814814</v>
      </c>
      <c r="D530" t="s">
        <v>1294</v>
      </c>
      <c r="E530" t="s">
        <v>41</v>
      </c>
      <c r="F530" t="s">
        <v>1295</v>
      </c>
      <c r="G530" t="s">
        <v>43</v>
      </c>
      <c r="H530" t="s">
        <v>474</v>
      </c>
      <c r="I530" t="s">
        <v>81</v>
      </c>
      <c r="J530">
        <v>9.6999999999999993</v>
      </c>
      <c r="K530">
        <v>31.7</v>
      </c>
      <c r="L530" t="s">
        <v>29</v>
      </c>
      <c r="M530" t="s">
        <v>29</v>
      </c>
      <c r="N530" t="s">
        <v>29</v>
      </c>
      <c r="O530" t="s">
        <v>29</v>
      </c>
      <c r="P530" t="s">
        <v>29</v>
      </c>
      <c r="Q530" t="s">
        <v>29</v>
      </c>
      <c r="R530">
        <v>651</v>
      </c>
      <c r="S530">
        <v>7.7</v>
      </c>
      <c r="T530">
        <v>4.3</v>
      </c>
      <c r="U530">
        <v>3.9</v>
      </c>
      <c r="V530" t="s">
        <v>107</v>
      </c>
    </row>
    <row r="531" spans="1:22" x14ac:dyDescent="0.35">
      <c r="A531" s="1">
        <v>45420</v>
      </c>
      <c r="B531" t="s">
        <v>122</v>
      </c>
      <c r="C531" s="2">
        <v>0.95725694444444442</v>
      </c>
      <c r="D531" t="s">
        <v>1296</v>
      </c>
      <c r="E531" t="s">
        <v>41</v>
      </c>
      <c r="F531" t="s">
        <v>1297</v>
      </c>
      <c r="G531" t="s">
        <v>43</v>
      </c>
      <c r="H531" t="s">
        <v>616</v>
      </c>
      <c r="I531" t="s">
        <v>267</v>
      </c>
      <c r="J531">
        <v>8.1999999999999993</v>
      </c>
      <c r="K531">
        <v>37.299999999999997</v>
      </c>
      <c r="L531" t="s">
        <v>29</v>
      </c>
      <c r="M531" t="s">
        <v>29</v>
      </c>
      <c r="N531" t="s">
        <v>29</v>
      </c>
      <c r="O531" t="s">
        <v>29</v>
      </c>
      <c r="P531" t="s">
        <v>29</v>
      </c>
      <c r="Q531" t="s">
        <v>29</v>
      </c>
      <c r="R531">
        <v>415</v>
      </c>
      <c r="S531">
        <v>23.21</v>
      </c>
      <c r="T531">
        <v>4.5999999999999996</v>
      </c>
      <c r="U531">
        <v>4.5999999999999996</v>
      </c>
      <c r="V531" t="s">
        <v>107</v>
      </c>
    </row>
    <row r="532" spans="1:22" x14ac:dyDescent="0.35">
      <c r="A532" s="1">
        <v>45488</v>
      </c>
      <c r="B532" t="s">
        <v>108</v>
      </c>
      <c r="C532" s="2">
        <v>0.71832175925925923</v>
      </c>
      <c r="D532" t="s">
        <v>1298</v>
      </c>
      <c r="E532" t="s">
        <v>93</v>
      </c>
      <c r="F532" t="s">
        <v>1299</v>
      </c>
      <c r="G532" t="s">
        <v>56</v>
      </c>
      <c r="H532" t="s">
        <v>27</v>
      </c>
      <c r="I532" t="s">
        <v>346</v>
      </c>
      <c r="J532">
        <v>8.5</v>
      </c>
      <c r="K532" t="s">
        <v>29</v>
      </c>
      <c r="L532" t="s">
        <v>29</v>
      </c>
      <c r="M532" t="s">
        <v>29</v>
      </c>
      <c r="N532">
        <v>1</v>
      </c>
      <c r="O532" t="s">
        <v>97</v>
      </c>
      <c r="P532" t="s">
        <v>29</v>
      </c>
      <c r="Q532" t="s">
        <v>29</v>
      </c>
      <c r="R532" t="s">
        <v>29</v>
      </c>
      <c r="S532" t="s">
        <v>29</v>
      </c>
      <c r="T532" t="s">
        <v>29</v>
      </c>
      <c r="U532" t="s">
        <v>29</v>
      </c>
      <c r="V532" t="s">
        <v>29</v>
      </c>
    </row>
    <row r="533" spans="1:22" x14ac:dyDescent="0.35">
      <c r="A533" s="1">
        <v>45408</v>
      </c>
      <c r="B533" t="s">
        <v>154</v>
      </c>
      <c r="C533" s="2">
        <v>0.60987268518518523</v>
      </c>
      <c r="D533" t="s">
        <v>1300</v>
      </c>
      <c r="E533" t="s">
        <v>117</v>
      </c>
      <c r="F533" t="s">
        <v>1301</v>
      </c>
      <c r="G533" t="s">
        <v>34</v>
      </c>
      <c r="H533" t="s">
        <v>493</v>
      </c>
      <c r="I533" t="s">
        <v>613</v>
      </c>
      <c r="J533">
        <v>11.4</v>
      </c>
      <c r="K533" t="s">
        <v>29</v>
      </c>
      <c r="L533">
        <v>1</v>
      </c>
      <c r="M533" t="s">
        <v>224</v>
      </c>
      <c r="N533" t="s">
        <v>29</v>
      </c>
      <c r="O533" t="s">
        <v>29</v>
      </c>
      <c r="P533" t="s">
        <v>29</v>
      </c>
      <c r="Q533" t="s">
        <v>29</v>
      </c>
      <c r="R533" t="s">
        <v>29</v>
      </c>
      <c r="S533" t="s">
        <v>29</v>
      </c>
      <c r="T533" t="s">
        <v>29</v>
      </c>
      <c r="U533" t="s">
        <v>29</v>
      </c>
      <c r="V533" t="s">
        <v>29</v>
      </c>
    </row>
    <row r="534" spans="1:22" x14ac:dyDescent="0.35">
      <c r="A534" s="1">
        <v>45497</v>
      </c>
      <c r="B534" t="s">
        <v>108</v>
      </c>
      <c r="C534" s="2">
        <v>0.63982638888888888</v>
      </c>
      <c r="D534" t="s">
        <v>1302</v>
      </c>
      <c r="E534" t="s">
        <v>93</v>
      </c>
      <c r="F534" t="s">
        <v>1303</v>
      </c>
      <c r="G534" t="s">
        <v>50</v>
      </c>
      <c r="H534" t="s">
        <v>153</v>
      </c>
      <c r="I534" t="s">
        <v>962</v>
      </c>
      <c r="J534">
        <v>7.2</v>
      </c>
      <c r="K534" t="s">
        <v>29</v>
      </c>
      <c r="L534" t="s">
        <v>29</v>
      </c>
      <c r="M534" t="s">
        <v>29</v>
      </c>
      <c r="N534">
        <v>1</v>
      </c>
      <c r="O534" t="s">
        <v>169</v>
      </c>
      <c r="P534" t="s">
        <v>29</v>
      </c>
      <c r="Q534" t="s">
        <v>29</v>
      </c>
      <c r="R534" t="s">
        <v>29</v>
      </c>
      <c r="S534" t="s">
        <v>29</v>
      </c>
      <c r="T534" t="s">
        <v>29</v>
      </c>
      <c r="U534" t="s">
        <v>29</v>
      </c>
      <c r="V534" t="s">
        <v>29</v>
      </c>
    </row>
    <row r="535" spans="1:22" x14ac:dyDescent="0.35">
      <c r="A535" s="1">
        <v>45304</v>
      </c>
      <c r="B535" t="s">
        <v>150</v>
      </c>
      <c r="C535" s="2">
        <v>0.33667824074074076</v>
      </c>
      <c r="D535" t="s">
        <v>1304</v>
      </c>
      <c r="E535" t="s">
        <v>93</v>
      </c>
      <c r="F535" t="s">
        <v>1305</v>
      </c>
      <c r="G535" t="s">
        <v>43</v>
      </c>
      <c r="H535" t="s">
        <v>35</v>
      </c>
      <c r="I535" t="s">
        <v>242</v>
      </c>
      <c r="J535">
        <v>4.7</v>
      </c>
      <c r="K535" t="s">
        <v>29</v>
      </c>
      <c r="L535" t="s">
        <v>29</v>
      </c>
      <c r="M535" t="s">
        <v>29</v>
      </c>
      <c r="N535">
        <v>1</v>
      </c>
      <c r="O535" t="s">
        <v>337</v>
      </c>
      <c r="P535" t="s">
        <v>29</v>
      </c>
      <c r="Q535" t="s">
        <v>29</v>
      </c>
      <c r="R535" t="s">
        <v>29</v>
      </c>
      <c r="S535" t="s">
        <v>29</v>
      </c>
      <c r="T535" t="s">
        <v>29</v>
      </c>
      <c r="U535" t="s">
        <v>29</v>
      </c>
      <c r="V535" t="s">
        <v>29</v>
      </c>
    </row>
    <row r="536" spans="1:22" x14ac:dyDescent="0.35">
      <c r="A536" s="1">
        <v>45473</v>
      </c>
      <c r="B536" t="s">
        <v>64</v>
      </c>
      <c r="C536" s="2">
        <v>0.47744212962962962</v>
      </c>
      <c r="D536" t="s">
        <v>1306</v>
      </c>
      <c r="E536" t="s">
        <v>41</v>
      </c>
      <c r="F536" t="s">
        <v>1307</v>
      </c>
      <c r="G536" t="s">
        <v>50</v>
      </c>
      <c r="H536" t="s">
        <v>44</v>
      </c>
      <c r="I536" t="s">
        <v>73</v>
      </c>
      <c r="J536">
        <v>3.4</v>
      </c>
      <c r="K536">
        <v>43.3</v>
      </c>
      <c r="L536" t="s">
        <v>29</v>
      </c>
      <c r="M536" t="s">
        <v>29</v>
      </c>
      <c r="N536" t="s">
        <v>29</v>
      </c>
      <c r="O536" t="s">
        <v>29</v>
      </c>
      <c r="P536" t="s">
        <v>29</v>
      </c>
      <c r="Q536" t="s">
        <v>29</v>
      </c>
      <c r="R536">
        <v>727</v>
      </c>
      <c r="S536">
        <v>29.21</v>
      </c>
      <c r="T536">
        <v>4.5999999999999996</v>
      </c>
      <c r="U536">
        <v>4.7</v>
      </c>
      <c r="V536" t="s">
        <v>38</v>
      </c>
    </row>
    <row r="537" spans="1:22" x14ac:dyDescent="0.35">
      <c r="A537" s="1">
        <v>45534</v>
      </c>
      <c r="B537" t="s">
        <v>39</v>
      </c>
      <c r="C537" s="2">
        <v>0.78013888888888894</v>
      </c>
      <c r="D537" t="s">
        <v>1308</v>
      </c>
      <c r="E537" t="s">
        <v>93</v>
      </c>
      <c r="F537" t="s">
        <v>1309</v>
      </c>
      <c r="G537" t="s">
        <v>26</v>
      </c>
      <c r="H537" t="s">
        <v>430</v>
      </c>
      <c r="I537" t="s">
        <v>176</v>
      </c>
      <c r="J537">
        <v>3.4</v>
      </c>
      <c r="K537" t="s">
        <v>29</v>
      </c>
      <c r="L537" t="s">
        <v>29</v>
      </c>
      <c r="M537" t="s">
        <v>29</v>
      </c>
      <c r="N537">
        <v>1</v>
      </c>
      <c r="O537" t="s">
        <v>115</v>
      </c>
      <c r="P537" t="s">
        <v>29</v>
      </c>
      <c r="Q537" t="s">
        <v>29</v>
      </c>
      <c r="R537" t="s">
        <v>29</v>
      </c>
      <c r="S537" t="s">
        <v>29</v>
      </c>
      <c r="T537" t="s">
        <v>29</v>
      </c>
      <c r="U537" t="s">
        <v>29</v>
      </c>
      <c r="V537" t="s">
        <v>29</v>
      </c>
    </row>
    <row r="538" spans="1:22" x14ac:dyDescent="0.35">
      <c r="A538" s="1">
        <v>45337</v>
      </c>
      <c r="B538" t="s">
        <v>59</v>
      </c>
      <c r="C538" s="2">
        <v>0.33026620370370369</v>
      </c>
      <c r="D538" t="s">
        <v>1310</v>
      </c>
      <c r="E538" t="s">
        <v>41</v>
      </c>
      <c r="F538" t="s">
        <v>1311</v>
      </c>
      <c r="G538" t="s">
        <v>50</v>
      </c>
      <c r="H538" t="s">
        <v>498</v>
      </c>
      <c r="I538" t="s">
        <v>129</v>
      </c>
      <c r="J538">
        <v>13.1</v>
      </c>
      <c r="K538">
        <v>15.2</v>
      </c>
      <c r="L538" t="s">
        <v>29</v>
      </c>
      <c r="M538" t="s">
        <v>29</v>
      </c>
      <c r="N538" t="s">
        <v>29</v>
      </c>
      <c r="O538" t="s">
        <v>29</v>
      </c>
      <c r="P538" t="s">
        <v>29</v>
      </c>
      <c r="Q538" t="s">
        <v>29</v>
      </c>
      <c r="R538">
        <v>302</v>
      </c>
      <c r="S538">
        <v>30.45</v>
      </c>
      <c r="T538">
        <v>4.2</v>
      </c>
      <c r="U538">
        <v>4.2</v>
      </c>
      <c r="V538" t="s">
        <v>38</v>
      </c>
    </row>
    <row r="539" spans="1:22" x14ac:dyDescent="0.35">
      <c r="A539" s="1">
        <v>45585</v>
      </c>
      <c r="B539" t="s">
        <v>47</v>
      </c>
      <c r="C539" s="2">
        <v>0.86111111111111116</v>
      </c>
      <c r="D539" t="s">
        <v>1312</v>
      </c>
      <c r="E539" t="s">
        <v>117</v>
      </c>
      <c r="F539" t="s">
        <v>1313</v>
      </c>
      <c r="G539" t="s">
        <v>43</v>
      </c>
      <c r="H539" t="s">
        <v>425</v>
      </c>
      <c r="I539" t="s">
        <v>511</v>
      </c>
      <c r="J539">
        <v>7.6</v>
      </c>
      <c r="K539" t="s">
        <v>29</v>
      </c>
      <c r="L539">
        <v>1</v>
      </c>
      <c r="M539" t="s">
        <v>121</v>
      </c>
      <c r="N539" t="s">
        <v>29</v>
      </c>
      <c r="O539" t="s">
        <v>29</v>
      </c>
      <c r="P539" t="s">
        <v>29</v>
      </c>
      <c r="Q539" t="s">
        <v>29</v>
      </c>
      <c r="R539" t="s">
        <v>29</v>
      </c>
      <c r="S539" t="s">
        <v>29</v>
      </c>
      <c r="T539" t="s">
        <v>29</v>
      </c>
      <c r="U539" t="s">
        <v>29</v>
      </c>
      <c r="V539" t="s">
        <v>29</v>
      </c>
    </row>
    <row r="540" spans="1:22" x14ac:dyDescent="0.35">
      <c r="A540" s="1">
        <v>45408</v>
      </c>
      <c r="B540" t="s">
        <v>154</v>
      </c>
      <c r="C540" s="2">
        <v>0.7592592592592593</v>
      </c>
      <c r="D540" t="s">
        <v>1314</v>
      </c>
      <c r="E540" t="s">
        <v>93</v>
      </c>
      <c r="F540" t="s">
        <v>1315</v>
      </c>
      <c r="G540" t="s">
        <v>56</v>
      </c>
      <c r="H540" t="s">
        <v>327</v>
      </c>
      <c r="I540" t="s">
        <v>430</v>
      </c>
      <c r="J540">
        <v>8.6999999999999993</v>
      </c>
      <c r="K540" t="s">
        <v>29</v>
      </c>
      <c r="L540" t="s">
        <v>29</v>
      </c>
      <c r="M540" t="s">
        <v>29</v>
      </c>
      <c r="N540">
        <v>1</v>
      </c>
      <c r="O540" t="s">
        <v>337</v>
      </c>
      <c r="P540" t="s">
        <v>29</v>
      </c>
      <c r="Q540" t="s">
        <v>29</v>
      </c>
      <c r="R540" t="s">
        <v>29</v>
      </c>
      <c r="S540" t="s">
        <v>29</v>
      </c>
      <c r="T540" t="s">
        <v>29</v>
      </c>
      <c r="U540" t="s">
        <v>29</v>
      </c>
      <c r="V540" t="s">
        <v>29</v>
      </c>
    </row>
    <row r="541" spans="1:22" x14ac:dyDescent="0.35">
      <c r="A541" s="1">
        <v>45430</v>
      </c>
      <c r="B541" t="s">
        <v>122</v>
      </c>
      <c r="C541" s="2">
        <v>0.91094907407407411</v>
      </c>
      <c r="D541" t="s">
        <v>1316</v>
      </c>
      <c r="E541" t="s">
        <v>93</v>
      </c>
      <c r="F541" t="s">
        <v>1317</v>
      </c>
      <c r="G541" t="s">
        <v>50</v>
      </c>
      <c r="H541" t="s">
        <v>137</v>
      </c>
      <c r="I541" t="s">
        <v>536</v>
      </c>
      <c r="J541">
        <v>6.3</v>
      </c>
      <c r="K541" t="s">
        <v>29</v>
      </c>
      <c r="L541" t="s">
        <v>29</v>
      </c>
      <c r="M541" t="s">
        <v>29</v>
      </c>
      <c r="N541">
        <v>1</v>
      </c>
      <c r="O541" t="s">
        <v>337</v>
      </c>
      <c r="P541" t="s">
        <v>29</v>
      </c>
      <c r="Q541" t="s">
        <v>29</v>
      </c>
      <c r="R541" t="s">
        <v>29</v>
      </c>
      <c r="S541" t="s">
        <v>29</v>
      </c>
      <c r="T541" t="s">
        <v>29</v>
      </c>
      <c r="U541" t="s">
        <v>29</v>
      </c>
      <c r="V541" t="s">
        <v>29</v>
      </c>
    </row>
    <row r="542" spans="1:22" x14ac:dyDescent="0.35">
      <c r="A542" s="1">
        <v>45350</v>
      </c>
      <c r="B542" t="s">
        <v>59</v>
      </c>
      <c r="C542" s="2">
        <v>0.633275462962963</v>
      </c>
      <c r="D542" t="s">
        <v>1318</v>
      </c>
      <c r="E542" t="s">
        <v>117</v>
      </c>
      <c r="F542" t="s">
        <v>1319</v>
      </c>
      <c r="G542" t="s">
        <v>34</v>
      </c>
      <c r="H542" t="s">
        <v>369</v>
      </c>
      <c r="I542" t="s">
        <v>183</v>
      </c>
      <c r="J542">
        <v>6.5</v>
      </c>
      <c r="K542" t="s">
        <v>29</v>
      </c>
      <c r="L542">
        <v>1</v>
      </c>
      <c r="M542" t="s">
        <v>420</v>
      </c>
      <c r="N542" t="s">
        <v>29</v>
      </c>
      <c r="O542" t="s">
        <v>29</v>
      </c>
      <c r="P542" t="s">
        <v>29</v>
      </c>
      <c r="Q542" t="s">
        <v>29</v>
      </c>
      <c r="R542" t="s">
        <v>29</v>
      </c>
      <c r="S542" t="s">
        <v>29</v>
      </c>
      <c r="T542" t="s">
        <v>29</v>
      </c>
      <c r="U542" t="s">
        <v>29</v>
      </c>
      <c r="V542" t="s">
        <v>29</v>
      </c>
    </row>
    <row r="543" spans="1:22" x14ac:dyDescent="0.35">
      <c r="A543" s="1">
        <v>45607</v>
      </c>
      <c r="B543" t="s">
        <v>30</v>
      </c>
      <c r="C543" s="2">
        <v>0.83781249999999996</v>
      </c>
      <c r="D543" t="s">
        <v>1320</v>
      </c>
      <c r="E543" t="s">
        <v>41</v>
      </c>
      <c r="F543" t="s">
        <v>1321</v>
      </c>
      <c r="G543" t="s">
        <v>34</v>
      </c>
      <c r="H543" t="s">
        <v>102</v>
      </c>
      <c r="I543" t="s">
        <v>211</v>
      </c>
      <c r="J543">
        <v>5.4</v>
      </c>
      <c r="K543">
        <v>16.8</v>
      </c>
      <c r="L543" t="s">
        <v>29</v>
      </c>
      <c r="M543" t="s">
        <v>29</v>
      </c>
      <c r="N543" t="s">
        <v>29</v>
      </c>
      <c r="O543" t="s">
        <v>29</v>
      </c>
      <c r="P543" t="s">
        <v>29</v>
      </c>
      <c r="Q543" t="s">
        <v>29</v>
      </c>
      <c r="R543">
        <v>392</v>
      </c>
      <c r="S543">
        <v>2.09</v>
      </c>
      <c r="T543">
        <v>3.4</v>
      </c>
      <c r="U543">
        <v>4.9000000000000004</v>
      </c>
      <c r="V543" t="s">
        <v>38</v>
      </c>
    </row>
    <row r="544" spans="1:22" x14ac:dyDescent="0.35">
      <c r="A544" s="1">
        <v>45615</v>
      </c>
      <c r="B544" t="s">
        <v>30</v>
      </c>
      <c r="C544" s="2">
        <v>0.88758101851851856</v>
      </c>
      <c r="D544" t="s">
        <v>1322</v>
      </c>
      <c r="E544" t="s">
        <v>93</v>
      </c>
      <c r="F544" t="s">
        <v>1323</v>
      </c>
      <c r="G544" t="s">
        <v>50</v>
      </c>
      <c r="H544" t="s">
        <v>449</v>
      </c>
      <c r="I544" t="s">
        <v>320</v>
      </c>
      <c r="J544">
        <v>7.9</v>
      </c>
      <c r="K544" t="s">
        <v>29</v>
      </c>
      <c r="L544" t="s">
        <v>29</v>
      </c>
      <c r="M544" t="s">
        <v>29</v>
      </c>
      <c r="N544">
        <v>1</v>
      </c>
      <c r="O544" t="s">
        <v>97</v>
      </c>
      <c r="P544" t="s">
        <v>29</v>
      </c>
      <c r="Q544" t="s">
        <v>29</v>
      </c>
      <c r="R544" t="s">
        <v>29</v>
      </c>
      <c r="S544" t="s">
        <v>29</v>
      </c>
      <c r="T544" t="s">
        <v>29</v>
      </c>
      <c r="U544" t="s">
        <v>29</v>
      </c>
      <c r="V544" t="s">
        <v>29</v>
      </c>
    </row>
    <row r="545" spans="1:22" x14ac:dyDescent="0.35">
      <c r="A545" s="1">
        <v>45649</v>
      </c>
      <c r="B545" t="s">
        <v>78</v>
      </c>
      <c r="C545" s="2">
        <v>0.76375000000000004</v>
      </c>
      <c r="D545" t="s">
        <v>1324</v>
      </c>
      <c r="E545" t="s">
        <v>117</v>
      </c>
      <c r="F545" t="s">
        <v>1325</v>
      </c>
      <c r="G545" t="s">
        <v>43</v>
      </c>
      <c r="H545" t="s">
        <v>82</v>
      </c>
      <c r="I545" t="s">
        <v>133</v>
      </c>
      <c r="J545">
        <v>10.9</v>
      </c>
      <c r="K545" t="s">
        <v>29</v>
      </c>
      <c r="L545">
        <v>1</v>
      </c>
      <c r="M545" t="s">
        <v>490</v>
      </c>
      <c r="N545" t="s">
        <v>29</v>
      </c>
      <c r="O545" t="s">
        <v>29</v>
      </c>
      <c r="P545" t="s">
        <v>29</v>
      </c>
      <c r="Q545" t="s">
        <v>29</v>
      </c>
      <c r="R545" t="s">
        <v>29</v>
      </c>
      <c r="S545" t="s">
        <v>29</v>
      </c>
      <c r="T545" t="s">
        <v>29</v>
      </c>
      <c r="U545" t="s">
        <v>29</v>
      </c>
      <c r="V545" t="s">
        <v>29</v>
      </c>
    </row>
    <row r="546" spans="1:22" x14ac:dyDescent="0.35">
      <c r="A546" s="1">
        <v>45605</v>
      </c>
      <c r="B546" t="s">
        <v>30</v>
      </c>
      <c r="C546" s="2">
        <v>0.74847222222222221</v>
      </c>
      <c r="D546" t="s">
        <v>1326</v>
      </c>
      <c r="E546" t="s">
        <v>41</v>
      </c>
      <c r="F546" t="s">
        <v>1327</v>
      </c>
      <c r="G546" t="s">
        <v>67</v>
      </c>
      <c r="H546" t="s">
        <v>374</v>
      </c>
      <c r="I546" t="s">
        <v>207</v>
      </c>
      <c r="J546">
        <v>2.7</v>
      </c>
      <c r="K546">
        <v>42.8</v>
      </c>
      <c r="L546" t="s">
        <v>29</v>
      </c>
      <c r="M546" t="s">
        <v>29</v>
      </c>
      <c r="N546" t="s">
        <v>29</v>
      </c>
      <c r="O546" t="s">
        <v>29</v>
      </c>
      <c r="P546" t="s">
        <v>29</v>
      </c>
      <c r="Q546" t="s">
        <v>29</v>
      </c>
      <c r="R546">
        <v>1052</v>
      </c>
      <c r="S546">
        <v>43.22</v>
      </c>
      <c r="T546">
        <v>4.8</v>
      </c>
      <c r="U546">
        <v>4.8</v>
      </c>
      <c r="V546" t="s">
        <v>84</v>
      </c>
    </row>
    <row r="547" spans="1:22" x14ac:dyDescent="0.35">
      <c r="A547" s="1">
        <v>45571</v>
      </c>
      <c r="B547" t="s">
        <v>47</v>
      </c>
      <c r="C547" s="2">
        <v>0.3036921296296296</v>
      </c>
      <c r="D547" t="s">
        <v>1328</v>
      </c>
      <c r="E547" t="s">
        <v>93</v>
      </c>
      <c r="F547" t="s">
        <v>1329</v>
      </c>
      <c r="G547" t="s">
        <v>50</v>
      </c>
      <c r="H547" t="s">
        <v>35</v>
      </c>
      <c r="I547" t="s">
        <v>190</v>
      </c>
      <c r="J547">
        <v>11.6</v>
      </c>
      <c r="K547" t="s">
        <v>29</v>
      </c>
      <c r="L547" t="s">
        <v>29</v>
      </c>
      <c r="M547" t="s">
        <v>29</v>
      </c>
      <c r="N547">
        <v>1</v>
      </c>
      <c r="O547" t="s">
        <v>337</v>
      </c>
      <c r="P547" t="s">
        <v>29</v>
      </c>
      <c r="Q547" t="s">
        <v>29</v>
      </c>
      <c r="R547" t="s">
        <v>29</v>
      </c>
      <c r="S547" t="s">
        <v>29</v>
      </c>
      <c r="T547" t="s">
        <v>29</v>
      </c>
      <c r="U547" t="s">
        <v>29</v>
      </c>
      <c r="V547" t="s">
        <v>29</v>
      </c>
    </row>
    <row r="548" spans="1:22" x14ac:dyDescent="0.35">
      <c r="A548" s="1">
        <v>45583</v>
      </c>
      <c r="B548" t="s">
        <v>47</v>
      </c>
      <c r="C548" s="2">
        <v>0.9664814814814815</v>
      </c>
      <c r="D548" t="s">
        <v>1330</v>
      </c>
      <c r="E548" t="s">
        <v>41</v>
      </c>
      <c r="F548" t="s">
        <v>1331</v>
      </c>
      <c r="G548" t="s">
        <v>43</v>
      </c>
      <c r="H548" t="s">
        <v>489</v>
      </c>
      <c r="I548" t="s">
        <v>211</v>
      </c>
      <c r="J548">
        <v>13.3</v>
      </c>
      <c r="K548">
        <v>35.799999999999997</v>
      </c>
      <c r="L548" t="s">
        <v>29</v>
      </c>
      <c r="M548" t="s">
        <v>29</v>
      </c>
      <c r="N548" t="s">
        <v>29</v>
      </c>
      <c r="O548" t="s">
        <v>29</v>
      </c>
      <c r="P548" t="s">
        <v>29</v>
      </c>
      <c r="Q548" t="s">
        <v>29</v>
      </c>
      <c r="R548">
        <v>921</v>
      </c>
      <c r="S548">
        <v>48.69</v>
      </c>
      <c r="T548">
        <v>3.8</v>
      </c>
      <c r="U548">
        <v>4.5999999999999996</v>
      </c>
      <c r="V548" t="s">
        <v>107</v>
      </c>
    </row>
    <row r="549" spans="1:22" x14ac:dyDescent="0.35">
      <c r="A549" s="1">
        <v>45399</v>
      </c>
      <c r="B549" t="s">
        <v>154</v>
      </c>
      <c r="C549" s="2">
        <v>0.5740277777777778</v>
      </c>
      <c r="D549" t="s">
        <v>1332</v>
      </c>
      <c r="E549" t="s">
        <v>41</v>
      </c>
      <c r="F549" t="s">
        <v>1333</v>
      </c>
      <c r="G549" t="s">
        <v>56</v>
      </c>
      <c r="H549" t="s">
        <v>194</v>
      </c>
      <c r="I549" t="s">
        <v>391</v>
      </c>
      <c r="J549">
        <v>3.9</v>
      </c>
      <c r="K549">
        <v>25.6</v>
      </c>
      <c r="L549" t="s">
        <v>29</v>
      </c>
      <c r="M549" t="s">
        <v>29</v>
      </c>
      <c r="N549" t="s">
        <v>29</v>
      </c>
      <c r="O549" t="s">
        <v>29</v>
      </c>
      <c r="P549" t="s">
        <v>29</v>
      </c>
      <c r="Q549" t="s">
        <v>29</v>
      </c>
      <c r="R549">
        <v>189</v>
      </c>
      <c r="S549">
        <v>25.96</v>
      </c>
      <c r="T549">
        <v>4.5999999999999996</v>
      </c>
      <c r="U549">
        <v>5</v>
      </c>
      <c r="V549" t="s">
        <v>149</v>
      </c>
    </row>
    <row r="550" spans="1:22" x14ac:dyDescent="0.35">
      <c r="A550" s="1">
        <v>45524</v>
      </c>
      <c r="B550" t="s">
        <v>39</v>
      </c>
      <c r="C550" s="2">
        <v>0.69760416666666669</v>
      </c>
      <c r="D550" t="s">
        <v>1334</v>
      </c>
      <c r="E550" t="s">
        <v>32</v>
      </c>
      <c r="F550" t="s">
        <v>1335</v>
      </c>
      <c r="G550" t="s">
        <v>50</v>
      </c>
      <c r="H550" t="s">
        <v>315</v>
      </c>
      <c r="I550" t="s">
        <v>536</v>
      </c>
      <c r="J550">
        <v>7.3</v>
      </c>
      <c r="K550">
        <v>22.1</v>
      </c>
      <c r="L550" t="s">
        <v>29</v>
      </c>
      <c r="M550" t="s">
        <v>29</v>
      </c>
      <c r="N550" t="s">
        <v>29</v>
      </c>
      <c r="O550" t="s">
        <v>29</v>
      </c>
      <c r="P550">
        <v>1</v>
      </c>
      <c r="Q550" t="s">
        <v>302</v>
      </c>
      <c r="R550">
        <v>314</v>
      </c>
      <c r="S550">
        <v>18.89</v>
      </c>
      <c r="T550" t="s">
        <v>29</v>
      </c>
      <c r="U550" t="s">
        <v>29</v>
      </c>
      <c r="V550" t="s">
        <v>46</v>
      </c>
    </row>
    <row r="551" spans="1:22" x14ac:dyDescent="0.35">
      <c r="A551" s="1">
        <v>45639</v>
      </c>
      <c r="B551" t="s">
        <v>78</v>
      </c>
      <c r="C551" s="2">
        <v>0.57530092592592597</v>
      </c>
      <c r="D551" t="s">
        <v>1336</v>
      </c>
      <c r="E551" t="s">
        <v>41</v>
      </c>
      <c r="F551" t="s">
        <v>1337</v>
      </c>
      <c r="G551" t="s">
        <v>67</v>
      </c>
      <c r="H551" t="s">
        <v>220</v>
      </c>
      <c r="I551" t="s">
        <v>582</v>
      </c>
      <c r="J551">
        <v>9.6</v>
      </c>
      <c r="K551">
        <v>24.7</v>
      </c>
      <c r="L551" t="s">
        <v>29</v>
      </c>
      <c r="M551" t="s">
        <v>29</v>
      </c>
      <c r="N551" t="s">
        <v>29</v>
      </c>
      <c r="O551" t="s">
        <v>29</v>
      </c>
      <c r="P551" t="s">
        <v>29</v>
      </c>
      <c r="Q551" t="s">
        <v>29</v>
      </c>
      <c r="R551">
        <v>115</v>
      </c>
      <c r="S551">
        <v>19.14</v>
      </c>
      <c r="T551">
        <v>4.5999999999999996</v>
      </c>
      <c r="U551">
        <v>4.8</v>
      </c>
      <c r="V551" t="s">
        <v>84</v>
      </c>
    </row>
    <row r="552" spans="1:22" x14ac:dyDescent="0.35">
      <c r="A552" s="1">
        <v>45598</v>
      </c>
      <c r="B552" t="s">
        <v>30</v>
      </c>
      <c r="C552" s="2">
        <v>0.80376157407407411</v>
      </c>
      <c r="D552" t="s">
        <v>1338</v>
      </c>
      <c r="E552" t="s">
        <v>41</v>
      </c>
      <c r="F552" t="s">
        <v>1339</v>
      </c>
      <c r="G552" t="s">
        <v>56</v>
      </c>
      <c r="H552" t="s">
        <v>430</v>
      </c>
      <c r="I552" t="s">
        <v>194</v>
      </c>
      <c r="J552">
        <v>7.9</v>
      </c>
      <c r="K552">
        <v>33.799999999999997</v>
      </c>
      <c r="L552" t="s">
        <v>29</v>
      </c>
      <c r="M552" t="s">
        <v>29</v>
      </c>
      <c r="N552" t="s">
        <v>29</v>
      </c>
      <c r="O552" t="s">
        <v>29</v>
      </c>
      <c r="P552" t="s">
        <v>29</v>
      </c>
      <c r="Q552" t="s">
        <v>29</v>
      </c>
      <c r="R552">
        <v>670</v>
      </c>
      <c r="S552">
        <v>15.33</v>
      </c>
      <c r="T552">
        <v>4.2</v>
      </c>
      <c r="U552">
        <v>4.2</v>
      </c>
      <c r="V552" t="s">
        <v>149</v>
      </c>
    </row>
    <row r="553" spans="1:22" x14ac:dyDescent="0.35">
      <c r="A553" s="1">
        <v>45484</v>
      </c>
      <c r="B553" t="s">
        <v>108</v>
      </c>
      <c r="C553" s="2">
        <v>0.60769675925925926</v>
      </c>
      <c r="D553" t="s">
        <v>1340</v>
      </c>
      <c r="E553" t="s">
        <v>41</v>
      </c>
      <c r="F553" t="s">
        <v>1341</v>
      </c>
      <c r="G553" t="s">
        <v>56</v>
      </c>
      <c r="H553" t="s">
        <v>417</v>
      </c>
      <c r="I553" t="s">
        <v>57</v>
      </c>
      <c r="J553">
        <v>12.3</v>
      </c>
      <c r="K553">
        <v>35.299999999999997</v>
      </c>
      <c r="L553" t="s">
        <v>29</v>
      </c>
      <c r="M553" t="s">
        <v>29</v>
      </c>
      <c r="N553" t="s">
        <v>29</v>
      </c>
      <c r="O553" t="s">
        <v>29</v>
      </c>
      <c r="P553" t="s">
        <v>29</v>
      </c>
      <c r="Q553" t="s">
        <v>29</v>
      </c>
      <c r="R553">
        <v>751</v>
      </c>
      <c r="S553">
        <v>27.13</v>
      </c>
      <c r="T553">
        <v>4.5999999999999996</v>
      </c>
      <c r="U553">
        <v>4.9000000000000004</v>
      </c>
      <c r="V553" t="s">
        <v>38</v>
      </c>
    </row>
    <row r="554" spans="1:22" x14ac:dyDescent="0.35">
      <c r="A554" s="1">
        <v>45577</v>
      </c>
      <c r="B554" t="s">
        <v>47</v>
      </c>
      <c r="C554" s="2">
        <v>0.69791666666666663</v>
      </c>
      <c r="D554" t="s">
        <v>1342</v>
      </c>
      <c r="E554" t="s">
        <v>41</v>
      </c>
      <c r="F554" t="s">
        <v>1343</v>
      </c>
      <c r="G554" t="s">
        <v>43</v>
      </c>
      <c r="H554" t="s">
        <v>211</v>
      </c>
      <c r="I554" t="s">
        <v>714</v>
      </c>
      <c r="J554">
        <v>11.6</v>
      </c>
      <c r="K554">
        <v>15.6</v>
      </c>
      <c r="L554" t="s">
        <v>29</v>
      </c>
      <c r="M554" t="s">
        <v>29</v>
      </c>
      <c r="N554" t="s">
        <v>29</v>
      </c>
      <c r="O554" t="s">
        <v>29</v>
      </c>
      <c r="P554" t="s">
        <v>29</v>
      </c>
      <c r="Q554" t="s">
        <v>29</v>
      </c>
      <c r="R554">
        <v>517</v>
      </c>
      <c r="S554">
        <v>16.32</v>
      </c>
      <c r="T554">
        <v>4.3</v>
      </c>
      <c r="U554">
        <v>4.5</v>
      </c>
      <c r="V554" t="s">
        <v>38</v>
      </c>
    </row>
    <row r="555" spans="1:22" x14ac:dyDescent="0.35">
      <c r="A555" s="1">
        <v>45564</v>
      </c>
      <c r="B555" t="s">
        <v>53</v>
      </c>
      <c r="C555" s="2">
        <v>0.52637731481481487</v>
      </c>
      <c r="D555" t="s">
        <v>1344</v>
      </c>
      <c r="E555" t="s">
        <v>41</v>
      </c>
      <c r="F555" t="s">
        <v>1345</v>
      </c>
      <c r="G555" t="s">
        <v>67</v>
      </c>
      <c r="H555" t="s">
        <v>164</v>
      </c>
      <c r="I555" t="s">
        <v>198</v>
      </c>
      <c r="J555">
        <v>3.3</v>
      </c>
      <c r="K555">
        <v>42.6</v>
      </c>
      <c r="L555" t="s">
        <v>29</v>
      </c>
      <c r="M555" t="s">
        <v>29</v>
      </c>
      <c r="N555" t="s">
        <v>29</v>
      </c>
      <c r="O555" t="s">
        <v>29</v>
      </c>
      <c r="P555" t="s">
        <v>29</v>
      </c>
      <c r="Q555" t="s">
        <v>29</v>
      </c>
      <c r="R555">
        <v>928</v>
      </c>
      <c r="S555">
        <v>18.13</v>
      </c>
      <c r="T555">
        <v>5</v>
      </c>
      <c r="U555">
        <v>4.5999999999999996</v>
      </c>
      <c r="V555" t="s">
        <v>84</v>
      </c>
    </row>
    <row r="556" spans="1:22" x14ac:dyDescent="0.35">
      <c r="A556" s="1">
        <v>45351</v>
      </c>
      <c r="B556" t="s">
        <v>59</v>
      </c>
      <c r="C556" s="2">
        <v>0.53365740740740741</v>
      </c>
      <c r="D556" t="s">
        <v>1346</v>
      </c>
      <c r="E556" t="s">
        <v>41</v>
      </c>
      <c r="F556" t="s">
        <v>1347</v>
      </c>
      <c r="G556" t="s">
        <v>67</v>
      </c>
      <c r="H556" t="s">
        <v>616</v>
      </c>
      <c r="I556" t="s">
        <v>555</v>
      </c>
      <c r="J556">
        <v>6.4</v>
      </c>
      <c r="K556">
        <v>38.5</v>
      </c>
      <c r="L556" t="s">
        <v>29</v>
      </c>
      <c r="M556" t="s">
        <v>29</v>
      </c>
      <c r="N556" t="s">
        <v>29</v>
      </c>
      <c r="O556" t="s">
        <v>29</v>
      </c>
      <c r="P556" t="s">
        <v>29</v>
      </c>
      <c r="Q556" t="s">
        <v>29</v>
      </c>
      <c r="R556">
        <v>336</v>
      </c>
      <c r="S556">
        <v>27.52</v>
      </c>
      <c r="T556">
        <v>4</v>
      </c>
      <c r="U556">
        <v>4.2</v>
      </c>
      <c r="V556" t="s">
        <v>38</v>
      </c>
    </row>
    <row r="557" spans="1:22" x14ac:dyDescent="0.35">
      <c r="A557" s="1">
        <v>45507</v>
      </c>
      <c r="B557" t="s">
        <v>39</v>
      </c>
      <c r="C557" s="2">
        <v>0.51913194444444444</v>
      </c>
      <c r="D557" t="s">
        <v>1348</v>
      </c>
      <c r="E557" t="s">
        <v>24</v>
      </c>
      <c r="F557" t="s">
        <v>1349</v>
      </c>
      <c r="G557" t="s">
        <v>43</v>
      </c>
      <c r="H557" t="s">
        <v>293</v>
      </c>
      <c r="I557" t="s">
        <v>454</v>
      </c>
      <c r="J557" t="s">
        <v>29</v>
      </c>
      <c r="K557" t="s">
        <v>29</v>
      </c>
      <c r="L557" t="s">
        <v>29</v>
      </c>
      <c r="M557" t="s">
        <v>29</v>
      </c>
      <c r="N557" t="s">
        <v>29</v>
      </c>
      <c r="O557" t="s">
        <v>29</v>
      </c>
      <c r="P557" t="s">
        <v>29</v>
      </c>
      <c r="Q557" t="s">
        <v>29</v>
      </c>
      <c r="R557" t="s">
        <v>29</v>
      </c>
      <c r="S557" t="s">
        <v>29</v>
      </c>
      <c r="T557" t="s">
        <v>29</v>
      </c>
      <c r="U557" t="s">
        <v>29</v>
      </c>
      <c r="V557" t="s">
        <v>29</v>
      </c>
    </row>
    <row r="558" spans="1:22" x14ac:dyDescent="0.35">
      <c r="A558" s="1">
        <v>45488</v>
      </c>
      <c r="B558" t="s">
        <v>108</v>
      </c>
      <c r="C558" s="2">
        <v>0.27091435185185186</v>
      </c>
      <c r="D558" t="s">
        <v>1350</v>
      </c>
      <c r="E558" t="s">
        <v>41</v>
      </c>
      <c r="F558" t="s">
        <v>1351</v>
      </c>
      <c r="G558" t="s">
        <v>34</v>
      </c>
      <c r="H558" t="s">
        <v>343</v>
      </c>
      <c r="I558" t="s">
        <v>336</v>
      </c>
      <c r="J558">
        <v>15</v>
      </c>
      <c r="K558">
        <v>44.5</v>
      </c>
      <c r="L558" t="s">
        <v>29</v>
      </c>
      <c r="M558" t="s">
        <v>29</v>
      </c>
      <c r="N558" t="s">
        <v>29</v>
      </c>
      <c r="O558" t="s">
        <v>29</v>
      </c>
      <c r="P558" t="s">
        <v>29</v>
      </c>
      <c r="Q558" t="s">
        <v>29</v>
      </c>
      <c r="R558">
        <v>476</v>
      </c>
      <c r="S558">
        <v>4.96</v>
      </c>
      <c r="T558">
        <v>4.4000000000000004</v>
      </c>
      <c r="U558">
        <v>4.4000000000000004</v>
      </c>
      <c r="V558" t="s">
        <v>84</v>
      </c>
    </row>
    <row r="559" spans="1:22" x14ac:dyDescent="0.35">
      <c r="A559" s="1">
        <v>45391</v>
      </c>
      <c r="B559" t="s">
        <v>154</v>
      </c>
      <c r="C559" s="2">
        <v>0.73728009259259264</v>
      </c>
      <c r="D559" t="s">
        <v>1352</v>
      </c>
      <c r="E559" t="s">
        <v>93</v>
      </c>
      <c r="F559" t="s">
        <v>1353</v>
      </c>
      <c r="G559" t="s">
        <v>34</v>
      </c>
      <c r="H559" t="s">
        <v>332</v>
      </c>
      <c r="I559" t="s">
        <v>305</v>
      </c>
      <c r="J559">
        <v>10.199999999999999</v>
      </c>
      <c r="K559" t="s">
        <v>29</v>
      </c>
      <c r="L559" t="s">
        <v>29</v>
      </c>
      <c r="M559" t="s">
        <v>29</v>
      </c>
      <c r="N559">
        <v>1</v>
      </c>
      <c r="O559" t="s">
        <v>169</v>
      </c>
      <c r="P559" t="s">
        <v>29</v>
      </c>
      <c r="Q559" t="s">
        <v>29</v>
      </c>
      <c r="R559" t="s">
        <v>29</v>
      </c>
      <c r="S559" t="s">
        <v>29</v>
      </c>
      <c r="T559" t="s">
        <v>29</v>
      </c>
      <c r="U559" t="s">
        <v>29</v>
      </c>
      <c r="V559" t="s">
        <v>29</v>
      </c>
    </row>
    <row r="560" spans="1:22" x14ac:dyDescent="0.35">
      <c r="A560" s="1">
        <v>45517</v>
      </c>
      <c r="B560" t="s">
        <v>39</v>
      </c>
      <c r="C560" s="2">
        <v>0.53422453703703698</v>
      </c>
      <c r="D560" t="s">
        <v>1354</v>
      </c>
      <c r="E560" t="s">
        <v>41</v>
      </c>
      <c r="F560" t="s">
        <v>1355</v>
      </c>
      <c r="G560" t="s">
        <v>56</v>
      </c>
      <c r="H560" t="s">
        <v>186</v>
      </c>
      <c r="I560" t="s">
        <v>590</v>
      </c>
      <c r="J560">
        <v>13.9</v>
      </c>
      <c r="K560">
        <v>17.899999999999999</v>
      </c>
      <c r="L560" t="s">
        <v>29</v>
      </c>
      <c r="M560" t="s">
        <v>29</v>
      </c>
      <c r="N560" t="s">
        <v>29</v>
      </c>
      <c r="O560" t="s">
        <v>29</v>
      </c>
      <c r="P560" t="s">
        <v>29</v>
      </c>
      <c r="Q560" t="s">
        <v>29</v>
      </c>
      <c r="R560">
        <v>104</v>
      </c>
      <c r="S560">
        <v>12.29</v>
      </c>
      <c r="T560">
        <v>3.2</v>
      </c>
      <c r="U560">
        <v>4.9000000000000004</v>
      </c>
      <c r="V560" t="s">
        <v>84</v>
      </c>
    </row>
    <row r="561" spans="1:22" x14ac:dyDescent="0.35">
      <c r="A561" s="1">
        <v>45521</v>
      </c>
      <c r="B561" t="s">
        <v>39</v>
      </c>
      <c r="C561" s="2">
        <v>0.63726851851851851</v>
      </c>
      <c r="D561" t="s">
        <v>1356</v>
      </c>
      <c r="E561" t="s">
        <v>41</v>
      </c>
      <c r="F561" t="s">
        <v>1357</v>
      </c>
      <c r="G561" t="s">
        <v>43</v>
      </c>
      <c r="H561" t="s">
        <v>398</v>
      </c>
      <c r="I561" t="s">
        <v>76</v>
      </c>
      <c r="J561">
        <v>10.7</v>
      </c>
      <c r="K561">
        <v>43.1</v>
      </c>
      <c r="L561" t="s">
        <v>29</v>
      </c>
      <c r="M561" t="s">
        <v>29</v>
      </c>
      <c r="N561" t="s">
        <v>29</v>
      </c>
      <c r="O561" t="s">
        <v>29</v>
      </c>
      <c r="P561" t="s">
        <v>29</v>
      </c>
      <c r="Q561" t="s">
        <v>29</v>
      </c>
      <c r="R561">
        <v>579</v>
      </c>
      <c r="S561">
        <v>7.29</v>
      </c>
      <c r="T561">
        <v>4.5</v>
      </c>
      <c r="U561">
        <v>4.5</v>
      </c>
      <c r="V561" t="s">
        <v>38</v>
      </c>
    </row>
    <row r="562" spans="1:22" x14ac:dyDescent="0.35">
      <c r="A562" s="1">
        <v>45526</v>
      </c>
      <c r="B562" t="s">
        <v>39</v>
      </c>
      <c r="C562" s="2">
        <v>0.51104166666666662</v>
      </c>
      <c r="D562" t="s">
        <v>1358</v>
      </c>
      <c r="E562" t="s">
        <v>41</v>
      </c>
      <c r="F562" t="s">
        <v>1359</v>
      </c>
      <c r="G562" t="s">
        <v>67</v>
      </c>
      <c r="H562" t="s">
        <v>214</v>
      </c>
      <c r="I562" t="s">
        <v>398</v>
      </c>
      <c r="J562">
        <v>11</v>
      </c>
      <c r="K562">
        <v>41.6</v>
      </c>
      <c r="L562" t="s">
        <v>29</v>
      </c>
      <c r="M562" t="s">
        <v>29</v>
      </c>
      <c r="N562" t="s">
        <v>29</v>
      </c>
      <c r="O562" t="s">
        <v>29</v>
      </c>
      <c r="P562" t="s">
        <v>29</v>
      </c>
      <c r="Q562" t="s">
        <v>29</v>
      </c>
      <c r="R562">
        <v>181</v>
      </c>
      <c r="S562">
        <v>44.75</v>
      </c>
      <c r="T562">
        <v>4.4000000000000004</v>
      </c>
      <c r="U562">
        <v>4.4000000000000004</v>
      </c>
      <c r="V562" t="s">
        <v>84</v>
      </c>
    </row>
    <row r="563" spans="1:22" x14ac:dyDescent="0.35">
      <c r="A563" s="1">
        <v>45366</v>
      </c>
      <c r="B563" t="s">
        <v>22</v>
      </c>
      <c r="C563" s="2">
        <v>0.69365740740740744</v>
      </c>
      <c r="D563" t="s">
        <v>1360</v>
      </c>
      <c r="E563" t="s">
        <v>41</v>
      </c>
      <c r="F563" t="s">
        <v>1361</v>
      </c>
      <c r="G563" t="s">
        <v>34</v>
      </c>
      <c r="H563" t="s">
        <v>398</v>
      </c>
      <c r="I563" t="s">
        <v>333</v>
      </c>
      <c r="J563">
        <v>4.3</v>
      </c>
      <c r="K563">
        <v>23.6</v>
      </c>
      <c r="L563" t="s">
        <v>29</v>
      </c>
      <c r="M563" t="s">
        <v>29</v>
      </c>
      <c r="N563" t="s">
        <v>29</v>
      </c>
      <c r="O563" t="s">
        <v>29</v>
      </c>
      <c r="P563" t="s">
        <v>29</v>
      </c>
      <c r="Q563" t="s">
        <v>29</v>
      </c>
      <c r="R563">
        <v>1727</v>
      </c>
      <c r="S563">
        <v>46.07</v>
      </c>
      <c r="T563">
        <v>5</v>
      </c>
      <c r="U563">
        <v>4.4000000000000004</v>
      </c>
      <c r="V563" t="s">
        <v>149</v>
      </c>
    </row>
    <row r="564" spans="1:22" x14ac:dyDescent="0.35">
      <c r="A564" s="1">
        <v>45591</v>
      </c>
      <c r="B564" t="s">
        <v>47</v>
      </c>
      <c r="C564" s="2">
        <v>0.82223379629629634</v>
      </c>
      <c r="D564" t="s">
        <v>1362</v>
      </c>
      <c r="E564" t="s">
        <v>93</v>
      </c>
      <c r="F564" t="s">
        <v>1363</v>
      </c>
      <c r="G564" t="s">
        <v>50</v>
      </c>
      <c r="H564" t="s">
        <v>186</v>
      </c>
      <c r="I564" t="s">
        <v>449</v>
      </c>
      <c r="J564">
        <v>4.4000000000000004</v>
      </c>
      <c r="K564" t="s">
        <v>29</v>
      </c>
      <c r="L564" t="s">
        <v>29</v>
      </c>
      <c r="M564" t="s">
        <v>29</v>
      </c>
      <c r="N564">
        <v>1</v>
      </c>
      <c r="O564" t="s">
        <v>115</v>
      </c>
      <c r="P564" t="s">
        <v>29</v>
      </c>
      <c r="Q564" t="s">
        <v>29</v>
      </c>
      <c r="R564" t="s">
        <v>29</v>
      </c>
      <c r="S564" t="s">
        <v>29</v>
      </c>
      <c r="T564" t="s">
        <v>29</v>
      </c>
      <c r="U564" t="s">
        <v>29</v>
      </c>
      <c r="V564" t="s">
        <v>29</v>
      </c>
    </row>
    <row r="565" spans="1:22" x14ac:dyDescent="0.35">
      <c r="A565" s="1">
        <v>45389</v>
      </c>
      <c r="B565" t="s">
        <v>154</v>
      </c>
      <c r="C565" s="2">
        <v>0.93168981481481483</v>
      </c>
      <c r="D565" t="s">
        <v>1364</v>
      </c>
      <c r="E565" t="s">
        <v>93</v>
      </c>
      <c r="F565" t="s">
        <v>1365</v>
      </c>
      <c r="G565" t="s">
        <v>43</v>
      </c>
      <c r="H565" t="s">
        <v>125</v>
      </c>
      <c r="I565" t="s">
        <v>133</v>
      </c>
      <c r="J565">
        <v>11.4</v>
      </c>
      <c r="K565" t="s">
        <v>29</v>
      </c>
      <c r="L565" t="s">
        <v>29</v>
      </c>
      <c r="M565" t="s">
        <v>29</v>
      </c>
      <c r="N565">
        <v>1</v>
      </c>
      <c r="O565" t="s">
        <v>97</v>
      </c>
      <c r="P565" t="s">
        <v>29</v>
      </c>
      <c r="Q565" t="s">
        <v>29</v>
      </c>
      <c r="R565" t="s">
        <v>29</v>
      </c>
      <c r="S565" t="s">
        <v>29</v>
      </c>
      <c r="T565" t="s">
        <v>29</v>
      </c>
      <c r="U565" t="s">
        <v>29</v>
      </c>
      <c r="V565" t="s">
        <v>29</v>
      </c>
    </row>
    <row r="566" spans="1:22" x14ac:dyDescent="0.35">
      <c r="A566" s="1">
        <v>45308</v>
      </c>
      <c r="B566" t="s">
        <v>150</v>
      </c>
      <c r="C566" s="2">
        <v>0.40803240740740743</v>
      </c>
      <c r="D566" t="s">
        <v>1366</v>
      </c>
      <c r="E566" t="s">
        <v>41</v>
      </c>
      <c r="F566" t="s">
        <v>1367</v>
      </c>
      <c r="G566" t="s">
        <v>43</v>
      </c>
      <c r="H566" t="s">
        <v>327</v>
      </c>
      <c r="I566" t="s">
        <v>69</v>
      </c>
      <c r="J566">
        <v>11.6</v>
      </c>
      <c r="K566">
        <v>20.399999999999999</v>
      </c>
      <c r="L566" t="s">
        <v>29</v>
      </c>
      <c r="M566" t="s">
        <v>29</v>
      </c>
      <c r="N566" t="s">
        <v>29</v>
      </c>
      <c r="O566" t="s">
        <v>29</v>
      </c>
      <c r="P566" t="s">
        <v>29</v>
      </c>
      <c r="Q566" t="s">
        <v>29</v>
      </c>
      <c r="R566">
        <v>339</v>
      </c>
      <c r="S566">
        <v>22.75</v>
      </c>
      <c r="T566">
        <v>4.2</v>
      </c>
      <c r="U566">
        <v>5</v>
      </c>
      <c r="V566" t="s">
        <v>84</v>
      </c>
    </row>
    <row r="567" spans="1:22" x14ac:dyDescent="0.35">
      <c r="A567" s="1">
        <v>45487</v>
      </c>
      <c r="B567" t="s">
        <v>108</v>
      </c>
      <c r="C567" s="2">
        <v>0.90292824074074074</v>
      </c>
      <c r="D567" t="s">
        <v>1368</v>
      </c>
      <c r="E567" t="s">
        <v>41</v>
      </c>
      <c r="F567" t="s">
        <v>1369</v>
      </c>
      <c r="G567" t="s">
        <v>43</v>
      </c>
      <c r="H567" t="s">
        <v>858</v>
      </c>
      <c r="I567" t="s">
        <v>88</v>
      </c>
      <c r="J567">
        <v>6.7</v>
      </c>
      <c r="K567">
        <v>23.6</v>
      </c>
      <c r="L567" t="s">
        <v>29</v>
      </c>
      <c r="M567" t="s">
        <v>29</v>
      </c>
      <c r="N567" t="s">
        <v>29</v>
      </c>
      <c r="O567" t="s">
        <v>29</v>
      </c>
      <c r="P567" t="s">
        <v>29</v>
      </c>
      <c r="Q567" t="s">
        <v>29</v>
      </c>
      <c r="R567">
        <v>833</v>
      </c>
      <c r="S567">
        <v>31.3</v>
      </c>
      <c r="T567">
        <v>4.3</v>
      </c>
      <c r="U567">
        <v>4.0999999999999996</v>
      </c>
      <c r="V567" t="s">
        <v>107</v>
      </c>
    </row>
    <row r="568" spans="1:22" x14ac:dyDescent="0.35">
      <c r="A568" s="1">
        <v>45309</v>
      </c>
      <c r="B568" t="s">
        <v>150</v>
      </c>
      <c r="C568" s="2">
        <v>0.24543981481481481</v>
      </c>
      <c r="D568" t="s">
        <v>1370</v>
      </c>
      <c r="E568" t="s">
        <v>41</v>
      </c>
      <c r="F568" t="s">
        <v>1371</v>
      </c>
      <c r="G568" t="s">
        <v>26</v>
      </c>
      <c r="H568" t="s">
        <v>44</v>
      </c>
      <c r="I568" t="s">
        <v>164</v>
      </c>
      <c r="J568">
        <v>5.8</v>
      </c>
      <c r="K568">
        <v>42.4</v>
      </c>
      <c r="L568" t="s">
        <v>29</v>
      </c>
      <c r="M568" t="s">
        <v>29</v>
      </c>
      <c r="N568" t="s">
        <v>29</v>
      </c>
      <c r="O568" t="s">
        <v>29</v>
      </c>
      <c r="P568" t="s">
        <v>29</v>
      </c>
      <c r="Q568" t="s">
        <v>29</v>
      </c>
      <c r="R568">
        <v>221</v>
      </c>
      <c r="S568">
        <v>11.62</v>
      </c>
      <c r="T568">
        <v>4.2</v>
      </c>
      <c r="U568">
        <v>4.8</v>
      </c>
      <c r="V568" t="s">
        <v>38</v>
      </c>
    </row>
    <row r="569" spans="1:22" x14ac:dyDescent="0.35">
      <c r="A569" s="1">
        <v>45604</v>
      </c>
      <c r="B569" t="s">
        <v>30</v>
      </c>
      <c r="C569" s="2">
        <v>0.29203703703703704</v>
      </c>
      <c r="D569" t="s">
        <v>1372</v>
      </c>
      <c r="E569" t="s">
        <v>93</v>
      </c>
      <c r="F569" t="s">
        <v>1373</v>
      </c>
      <c r="G569" t="s">
        <v>34</v>
      </c>
      <c r="H569" t="s">
        <v>892</v>
      </c>
      <c r="I569" t="s">
        <v>81</v>
      </c>
      <c r="J569">
        <v>11.7</v>
      </c>
      <c r="K569" t="s">
        <v>29</v>
      </c>
      <c r="L569" t="s">
        <v>29</v>
      </c>
      <c r="M569" t="s">
        <v>29</v>
      </c>
      <c r="N569">
        <v>1</v>
      </c>
      <c r="O569" t="s">
        <v>97</v>
      </c>
      <c r="P569" t="s">
        <v>29</v>
      </c>
      <c r="Q569" t="s">
        <v>29</v>
      </c>
      <c r="R569" t="s">
        <v>29</v>
      </c>
      <c r="S569" t="s">
        <v>29</v>
      </c>
      <c r="T569" t="s">
        <v>29</v>
      </c>
      <c r="U569" t="s">
        <v>29</v>
      </c>
      <c r="V569" t="s">
        <v>29</v>
      </c>
    </row>
    <row r="570" spans="1:22" x14ac:dyDescent="0.35">
      <c r="A570" s="1">
        <v>45411</v>
      </c>
      <c r="B570" t="s">
        <v>154</v>
      </c>
      <c r="C570" s="2">
        <v>0.43046296296296294</v>
      </c>
      <c r="D570" t="s">
        <v>1374</v>
      </c>
      <c r="E570" t="s">
        <v>41</v>
      </c>
      <c r="F570" t="s">
        <v>1375</v>
      </c>
      <c r="G570" t="s">
        <v>67</v>
      </c>
      <c r="H570" t="s">
        <v>180</v>
      </c>
      <c r="I570" t="s">
        <v>189</v>
      </c>
      <c r="J570">
        <v>11.3</v>
      </c>
      <c r="K570">
        <v>23</v>
      </c>
      <c r="L570" t="s">
        <v>29</v>
      </c>
      <c r="M570" t="s">
        <v>29</v>
      </c>
      <c r="N570" t="s">
        <v>29</v>
      </c>
      <c r="O570" t="s">
        <v>29</v>
      </c>
      <c r="P570" t="s">
        <v>29</v>
      </c>
      <c r="Q570" t="s">
        <v>29</v>
      </c>
      <c r="R570">
        <v>368</v>
      </c>
      <c r="S570">
        <v>27.19</v>
      </c>
      <c r="T570">
        <v>4.2</v>
      </c>
      <c r="U570">
        <v>4.3</v>
      </c>
      <c r="V570" t="s">
        <v>38</v>
      </c>
    </row>
    <row r="571" spans="1:22" x14ac:dyDescent="0.35">
      <c r="A571" s="1">
        <v>45393</v>
      </c>
      <c r="B571" t="s">
        <v>154</v>
      </c>
      <c r="C571" s="2">
        <v>0.79609953703703706</v>
      </c>
      <c r="D571" t="s">
        <v>1376</v>
      </c>
      <c r="E571" t="s">
        <v>41</v>
      </c>
      <c r="F571" t="s">
        <v>1377</v>
      </c>
      <c r="G571" t="s">
        <v>34</v>
      </c>
      <c r="H571" t="s">
        <v>44</v>
      </c>
      <c r="I571" t="s">
        <v>486</v>
      </c>
      <c r="J571">
        <v>13</v>
      </c>
      <c r="K571">
        <v>35.4</v>
      </c>
      <c r="L571" t="s">
        <v>29</v>
      </c>
      <c r="M571" t="s">
        <v>29</v>
      </c>
      <c r="N571" t="s">
        <v>29</v>
      </c>
      <c r="O571" t="s">
        <v>29</v>
      </c>
      <c r="P571" t="s">
        <v>29</v>
      </c>
      <c r="Q571" t="s">
        <v>29</v>
      </c>
      <c r="R571">
        <v>770</v>
      </c>
      <c r="S571">
        <v>10.34</v>
      </c>
      <c r="T571">
        <v>4.4000000000000004</v>
      </c>
      <c r="U571">
        <v>3.9</v>
      </c>
      <c r="V571" t="s">
        <v>38</v>
      </c>
    </row>
    <row r="572" spans="1:22" x14ac:dyDescent="0.35">
      <c r="A572" s="1">
        <v>45390</v>
      </c>
      <c r="B572" t="s">
        <v>154</v>
      </c>
      <c r="C572" s="2">
        <v>0.72128472222222217</v>
      </c>
      <c r="D572" t="s">
        <v>1378</v>
      </c>
      <c r="E572" t="s">
        <v>41</v>
      </c>
      <c r="F572" t="s">
        <v>1379</v>
      </c>
      <c r="G572" t="s">
        <v>50</v>
      </c>
      <c r="H572" t="s">
        <v>296</v>
      </c>
      <c r="I572" t="s">
        <v>57</v>
      </c>
      <c r="J572">
        <v>3.3</v>
      </c>
      <c r="K572">
        <v>19.2</v>
      </c>
      <c r="L572" t="s">
        <v>29</v>
      </c>
      <c r="M572" t="s">
        <v>29</v>
      </c>
      <c r="N572" t="s">
        <v>29</v>
      </c>
      <c r="O572" t="s">
        <v>29</v>
      </c>
      <c r="P572" t="s">
        <v>29</v>
      </c>
      <c r="Q572" t="s">
        <v>29</v>
      </c>
      <c r="R572">
        <v>140</v>
      </c>
      <c r="S572">
        <v>5.24</v>
      </c>
      <c r="T572">
        <v>4.3</v>
      </c>
      <c r="U572">
        <v>4.7</v>
      </c>
      <c r="V572" t="s">
        <v>38</v>
      </c>
    </row>
    <row r="573" spans="1:22" x14ac:dyDescent="0.35">
      <c r="A573" s="1">
        <v>45589</v>
      </c>
      <c r="B573" t="s">
        <v>47</v>
      </c>
      <c r="C573" s="2">
        <v>0.56791666666666663</v>
      </c>
      <c r="D573" t="s">
        <v>1380</v>
      </c>
      <c r="E573" t="s">
        <v>41</v>
      </c>
      <c r="F573" t="s">
        <v>1381</v>
      </c>
      <c r="G573" t="s">
        <v>43</v>
      </c>
      <c r="H573" t="s">
        <v>800</v>
      </c>
      <c r="I573" t="s">
        <v>336</v>
      </c>
      <c r="J573">
        <v>13.9</v>
      </c>
      <c r="K573">
        <v>19.8</v>
      </c>
      <c r="L573" t="s">
        <v>29</v>
      </c>
      <c r="M573" t="s">
        <v>29</v>
      </c>
      <c r="N573" t="s">
        <v>29</v>
      </c>
      <c r="O573" t="s">
        <v>29</v>
      </c>
      <c r="P573" t="s">
        <v>29</v>
      </c>
      <c r="Q573" t="s">
        <v>29</v>
      </c>
      <c r="R573">
        <v>249</v>
      </c>
      <c r="S573">
        <v>31.52</v>
      </c>
      <c r="T573">
        <v>4.0999999999999996</v>
      </c>
      <c r="U573">
        <v>4</v>
      </c>
      <c r="V573" t="s">
        <v>38</v>
      </c>
    </row>
    <row r="574" spans="1:22" x14ac:dyDescent="0.35">
      <c r="A574" s="1">
        <v>45479</v>
      </c>
      <c r="B574" t="s">
        <v>108</v>
      </c>
      <c r="C574" s="2">
        <v>0.77660879629629631</v>
      </c>
      <c r="D574" t="s">
        <v>1382</v>
      </c>
      <c r="E574" t="s">
        <v>41</v>
      </c>
      <c r="F574" t="s">
        <v>1383</v>
      </c>
      <c r="G574" t="s">
        <v>43</v>
      </c>
      <c r="H574" t="s">
        <v>744</v>
      </c>
      <c r="I574" t="s">
        <v>407</v>
      </c>
      <c r="J574">
        <v>4.5999999999999996</v>
      </c>
      <c r="K574">
        <v>40.6</v>
      </c>
      <c r="L574" t="s">
        <v>29</v>
      </c>
      <c r="M574" t="s">
        <v>29</v>
      </c>
      <c r="N574" t="s">
        <v>29</v>
      </c>
      <c r="O574" t="s">
        <v>29</v>
      </c>
      <c r="P574" t="s">
        <v>29</v>
      </c>
      <c r="Q574" t="s">
        <v>29</v>
      </c>
      <c r="R574">
        <v>163</v>
      </c>
      <c r="S574">
        <v>19.440000000000001</v>
      </c>
      <c r="T574">
        <v>4.0999999999999996</v>
      </c>
      <c r="U574">
        <v>4.3</v>
      </c>
      <c r="V574" t="s">
        <v>84</v>
      </c>
    </row>
    <row r="575" spans="1:22" x14ac:dyDescent="0.35">
      <c r="A575" s="1">
        <v>45627</v>
      </c>
      <c r="B575" t="s">
        <v>78</v>
      </c>
      <c r="C575" s="2">
        <v>0.79082175925925924</v>
      </c>
      <c r="D575" t="s">
        <v>1384</v>
      </c>
      <c r="E575" t="s">
        <v>41</v>
      </c>
      <c r="F575" t="s">
        <v>1385</v>
      </c>
      <c r="G575" t="s">
        <v>43</v>
      </c>
      <c r="H575" t="s">
        <v>336</v>
      </c>
      <c r="I575" t="s">
        <v>133</v>
      </c>
      <c r="J575">
        <v>6.7</v>
      </c>
      <c r="K575">
        <v>31.3</v>
      </c>
      <c r="L575" t="s">
        <v>29</v>
      </c>
      <c r="M575" t="s">
        <v>29</v>
      </c>
      <c r="N575" t="s">
        <v>29</v>
      </c>
      <c r="O575" t="s">
        <v>29</v>
      </c>
      <c r="P575" t="s">
        <v>29</v>
      </c>
      <c r="Q575" t="s">
        <v>29</v>
      </c>
      <c r="R575">
        <v>1764</v>
      </c>
      <c r="S575">
        <v>32.47</v>
      </c>
      <c r="T575">
        <v>4.3</v>
      </c>
      <c r="U575">
        <v>4.0999999999999996</v>
      </c>
      <c r="V575" t="s">
        <v>84</v>
      </c>
    </row>
    <row r="576" spans="1:22" x14ac:dyDescent="0.35">
      <c r="A576" s="1">
        <v>45627</v>
      </c>
      <c r="B576" t="s">
        <v>78</v>
      </c>
      <c r="C576" s="2">
        <v>0.43464120370370368</v>
      </c>
      <c r="D576" t="s">
        <v>1386</v>
      </c>
      <c r="E576" t="s">
        <v>24</v>
      </c>
      <c r="F576" t="s">
        <v>1387</v>
      </c>
      <c r="G576" t="s">
        <v>26</v>
      </c>
      <c r="H576" t="s">
        <v>129</v>
      </c>
      <c r="I576" t="s">
        <v>520</v>
      </c>
      <c r="J576" t="s">
        <v>29</v>
      </c>
      <c r="K576" t="s">
        <v>29</v>
      </c>
      <c r="L576" t="s">
        <v>29</v>
      </c>
      <c r="M576" t="s">
        <v>29</v>
      </c>
      <c r="N576" t="s">
        <v>29</v>
      </c>
      <c r="O576" t="s">
        <v>29</v>
      </c>
      <c r="P576" t="s">
        <v>29</v>
      </c>
      <c r="Q576" t="s">
        <v>29</v>
      </c>
      <c r="R576" t="s">
        <v>29</v>
      </c>
      <c r="S576" t="s">
        <v>29</v>
      </c>
      <c r="T576" t="s">
        <v>29</v>
      </c>
      <c r="U576" t="s">
        <v>29</v>
      </c>
      <c r="V576" t="s">
        <v>29</v>
      </c>
    </row>
    <row r="577" spans="1:22" x14ac:dyDescent="0.35">
      <c r="A577" s="1">
        <v>45556</v>
      </c>
      <c r="B577" t="s">
        <v>53</v>
      </c>
      <c r="C577" s="2">
        <v>0.62891203703703702</v>
      </c>
      <c r="D577" t="s">
        <v>1388</v>
      </c>
      <c r="E577" t="s">
        <v>41</v>
      </c>
      <c r="F577" t="s">
        <v>1389</v>
      </c>
      <c r="G577" t="s">
        <v>56</v>
      </c>
      <c r="H577" t="s">
        <v>613</v>
      </c>
      <c r="I577" t="s">
        <v>819</v>
      </c>
      <c r="J577">
        <v>8.1999999999999993</v>
      </c>
      <c r="K577">
        <v>21.6</v>
      </c>
      <c r="L577" t="s">
        <v>29</v>
      </c>
      <c r="M577" t="s">
        <v>29</v>
      </c>
      <c r="N577" t="s">
        <v>29</v>
      </c>
      <c r="O577" t="s">
        <v>29</v>
      </c>
      <c r="P577" t="s">
        <v>29</v>
      </c>
      <c r="Q577" t="s">
        <v>29</v>
      </c>
      <c r="R577">
        <v>354</v>
      </c>
      <c r="S577">
        <v>39.56</v>
      </c>
      <c r="T577">
        <v>3.3</v>
      </c>
      <c r="U577">
        <v>4.3</v>
      </c>
      <c r="V577" t="s">
        <v>84</v>
      </c>
    </row>
    <row r="578" spans="1:22" x14ac:dyDescent="0.35">
      <c r="A578" s="1">
        <v>45425</v>
      </c>
      <c r="B578" t="s">
        <v>122</v>
      </c>
      <c r="C578" s="2">
        <v>0.16708333333333333</v>
      </c>
      <c r="D578" t="s">
        <v>1390</v>
      </c>
      <c r="E578" t="s">
        <v>93</v>
      </c>
      <c r="F578" t="s">
        <v>1391</v>
      </c>
      <c r="G578" t="s">
        <v>50</v>
      </c>
      <c r="H578" t="s">
        <v>636</v>
      </c>
      <c r="I578" t="s">
        <v>147</v>
      </c>
      <c r="J578">
        <v>8.8000000000000007</v>
      </c>
      <c r="K578" t="s">
        <v>29</v>
      </c>
      <c r="L578" t="s">
        <v>29</v>
      </c>
      <c r="M578" t="s">
        <v>29</v>
      </c>
      <c r="N578">
        <v>1</v>
      </c>
      <c r="O578" t="s">
        <v>169</v>
      </c>
      <c r="P578" t="s">
        <v>29</v>
      </c>
      <c r="Q578" t="s">
        <v>29</v>
      </c>
      <c r="R578" t="s">
        <v>29</v>
      </c>
      <c r="S578" t="s">
        <v>29</v>
      </c>
      <c r="T578" t="s">
        <v>29</v>
      </c>
      <c r="U578" t="s">
        <v>29</v>
      </c>
      <c r="V578" t="s">
        <v>29</v>
      </c>
    </row>
    <row r="579" spans="1:22" x14ac:dyDescent="0.35">
      <c r="A579" s="1">
        <v>45332</v>
      </c>
      <c r="B579" t="s">
        <v>59</v>
      </c>
      <c r="C579" s="2">
        <v>0.93450231481481483</v>
      </c>
      <c r="D579" t="s">
        <v>1392</v>
      </c>
      <c r="E579" t="s">
        <v>93</v>
      </c>
      <c r="F579" t="s">
        <v>1393</v>
      </c>
      <c r="G579" t="s">
        <v>34</v>
      </c>
      <c r="H579" t="s">
        <v>73</v>
      </c>
      <c r="I579" t="s">
        <v>238</v>
      </c>
      <c r="J579">
        <v>6.5</v>
      </c>
      <c r="K579" t="s">
        <v>29</v>
      </c>
      <c r="L579" t="s">
        <v>29</v>
      </c>
      <c r="M579" t="s">
        <v>29</v>
      </c>
      <c r="N579">
        <v>1</v>
      </c>
      <c r="O579" t="s">
        <v>169</v>
      </c>
      <c r="P579" t="s">
        <v>29</v>
      </c>
      <c r="Q579" t="s">
        <v>29</v>
      </c>
      <c r="R579" t="s">
        <v>29</v>
      </c>
      <c r="S579" t="s">
        <v>29</v>
      </c>
      <c r="T579" t="s">
        <v>29</v>
      </c>
      <c r="U579" t="s">
        <v>29</v>
      </c>
      <c r="V579" t="s">
        <v>29</v>
      </c>
    </row>
    <row r="580" spans="1:22" x14ac:dyDescent="0.35">
      <c r="A580" s="1">
        <v>45382</v>
      </c>
      <c r="B580" t="s">
        <v>22</v>
      </c>
      <c r="C580" s="2">
        <v>0.80252314814814818</v>
      </c>
      <c r="D580" t="s">
        <v>1394</v>
      </c>
      <c r="E580" t="s">
        <v>41</v>
      </c>
      <c r="F580" t="s">
        <v>1395</v>
      </c>
      <c r="G580" t="s">
        <v>56</v>
      </c>
      <c r="H580" t="s">
        <v>255</v>
      </c>
      <c r="I580" t="s">
        <v>57</v>
      </c>
      <c r="J580">
        <v>14.4</v>
      </c>
      <c r="K580">
        <v>16</v>
      </c>
      <c r="L580" t="s">
        <v>29</v>
      </c>
      <c r="M580" t="s">
        <v>29</v>
      </c>
      <c r="N580" t="s">
        <v>29</v>
      </c>
      <c r="O580" t="s">
        <v>29</v>
      </c>
      <c r="P580" t="s">
        <v>29</v>
      </c>
      <c r="Q580" t="s">
        <v>29</v>
      </c>
      <c r="R580">
        <v>124</v>
      </c>
      <c r="S580">
        <v>33.54</v>
      </c>
      <c r="T580">
        <v>3.7</v>
      </c>
      <c r="U580">
        <v>3.7</v>
      </c>
      <c r="V580" t="s">
        <v>38</v>
      </c>
    </row>
    <row r="581" spans="1:22" x14ac:dyDescent="0.35">
      <c r="A581" s="1">
        <v>45360</v>
      </c>
      <c r="B581" t="s">
        <v>22</v>
      </c>
      <c r="C581" s="2">
        <v>0.39862268518518518</v>
      </c>
      <c r="D581" t="s">
        <v>1396</v>
      </c>
      <c r="E581" t="s">
        <v>41</v>
      </c>
      <c r="F581" t="s">
        <v>1397</v>
      </c>
      <c r="G581" t="s">
        <v>34</v>
      </c>
      <c r="H581" t="s">
        <v>582</v>
      </c>
      <c r="I581" t="s">
        <v>281</v>
      </c>
      <c r="J581">
        <v>14.6</v>
      </c>
      <c r="K581">
        <v>25.5</v>
      </c>
      <c r="L581" t="s">
        <v>29</v>
      </c>
      <c r="M581" t="s">
        <v>29</v>
      </c>
      <c r="N581" t="s">
        <v>29</v>
      </c>
      <c r="O581" t="s">
        <v>29</v>
      </c>
      <c r="P581" t="s">
        <v>29</v>
      </c>
      <c r="Q581" t="s">
        <v>29</v>
      </c>
      <c r="R581">
        <v>537</v>
      </c>
      <c r="S581">
        <v>6.69</v>
      </c>
      <c r="T581">
        <v>4.7</v>
      </c>
      <c r="U581">
        <v>4.5999999999999996</v>
      </c>
      <c r="V581" t="s">
        <v>38</v>
      </c>
    </row>
    <row r="582" spans="1:22" x14ac:dyDescent="0.35">
      <c r="A582" s="1">
        <v>45465</v>
      </c>
      <c r="B582" t="s">
        <v>64</v>
      </c>
      <c r="C582" s="2">
        <v>0.83712962962962967</v>
      </c>
      <c r="D582" t="s">
        <v>1398</v>
      </c>
      <c r="E582" t="s">
        <v>41</v>
      </c>
      <c r="F582" t="s">
        <v>1399</v>
      </c>
      <c r="G582" t="s">
        <v>26</v>
      </c>
      <c r="H582" t="s">
        <v>299</v>
      </c>
      <c r="I582" t="s">
        <v>140</v>
      </c>
      <c r="J582">
        <v>12.7</v>
      </c>
      <c r="K582">
        <v>32.4</v>
      </c>
      <c r="L582" t="s">
        <v>29</v>
      </c>
      <c r="M582" t="s">
        <v>29</v>
      </c>
      <c r="N582" t="s">
        <v>29</v>
      </c>
      <c r="O582" t="s">
        <v>29</v>
      </c>
      <c r="P582" t="s">
        <v>29</v>
      </c>
      <c r="Q582" t="s">
        <v>29</v>
      </c>
      <c r="R582">
        <v>1316</v>
      </c>
      <c r="S582">
        <v>20.149999999999999</v>
      </c>
      <c r="T582">
        <v>4.3</v>
      </c>
      <c r="U582">
        <v>4.3</v>
      </c>
      <c r="V582" t="s">
        <v>38</v>
      </c>
    </row>
    <row r="583" spans="1:22" x14ac:dyDescent="0.35">
      <c r="A583" s="1">
        <v>45481</v>
      </c>
      <c r="B583" t="s">
        <v>108</v>
      </c>
      <c r="C583" s="2">
        <v>0.43760416666666668</v>
      </c>
      <c r="D583" t="s">
        <v>1400</v>
      </c>
      <c r="E583" t="s">
        <v>32</v>
      </c>
      <c r="F583" t="s">
        <v>1401</v>
      </c>
      <c r="G583" t="s">
        <v>56</v>
      </c>
      <c r="H583" t="s">
        <v>340</v>
      </c>
      <c r="I583" t="s">
        <v>636</v>
      </c>
      <c r="J583">
        <v>6.3</v>
      </c>
      <c r="K583">
        <v>17.3</v>
      </c>
      <c r="L583" t="s">
        <v>29</v>
      </c>
      <c r="M583" t="s">
        <v>29</v>
      </c>
      <c r="N583" t="s">
        <v>29</v>
      </c>
      <c r="O583" t="s">
        <v>29</v>
      </c>
      <c r="P583">
        <v>1</v>
      </c>
      <c r="Q583" t="s">
        <v>302</v>
      </c>
      <c r="R583">
        <v>328</v>
      </c>
      <c r="S583">
        <v>8.4</v>
      </c>
      <c r="T583" t="s">
        <v>29</v>
      </c>
      <c r="U583" t="s">
        <v>29</v>
      </c>
      <c r="V583" t="s">
        <v>38</v>
      </c>
    </row>
    <row r="584" spans="1:22" x14ac:dyDescent="0.35">
      <c r="A584" s="1">
        <v>45608</v>
      </c>
      <c r="B584" t="s">
        <v>30</v>
      </c>
      <c r="C584" s="2">
        <v>0.81855324074074076</v>
      </c>
      <c r="D584" t="s">
        <v>1402</v>
      </c>
      <c r="E584" t="s">
        <v>117</v>
      </c>
      <c r="F584" t="s">
        <v>1403</v>
      </c>
      <c r="G584" t="s">
        <v>67</v>
      </c>
      <c r="H584" t="s">
        <v>690</v>
      </c>
      <c r="I584" t="s">
        <v>340</v>
      </c>
      <c r="J584">
        <v>9.8000000000000007</v>
      </c>
      <c r="K584" t="s">
        <v>29</v>
      </c>
      <c r="L584">
        <v>1</v>
      </c>
      <c r="M584" t="s">
        <v>378</v>
      </c>
      <c r="N584" t="s">
        <v>29</v>
      </c>
      <c r="O584" t="s">
        <v>29</v>
      </c>
      <c r="P584" t="s">
        <v>29</v>
      </c>
      <c r="Q584" t="s">
        <v>29</v>
      </c>
      <c r="R584" t="s">
        <v>29</v>
      </c>
      <c r="S584" t="s">
        <v>29</v>
      </c>
      <c r="T584" t="s">
        <v>29</v>
      </c>
      <c r="U584" t="s">
        <v>29</v>
      </c>
      <c r="V584" t="s">
        <v>29</v>
      </c>
    </row>
    <row r="585" spans="1:22" x14ac:dyDescent="0.35">
      <c r="A585" s="1">
        <v>45346</v>
      </c>
      <c r="B585" t="s">
        <v>59</v>
      </c>
      <c r="C585" s="2">
        <v>0.72142361111111108</v>
      </c>
      <c r="D585" t="s">
        <v>1404</v>
      </c>
      <c r="E585" t="s">
        <v>41</v>
      </c>
      <c r="F585" t="s">
        <v>1405</v>
      </c>
      <c r="G585" t="s">
        <v>43</v>
      </c>
      <c r="H585" t="s">
        <v>106</v>
      </c>
      <c r="I585" t="s">
        <v>333</v>
      </c>
      <c r="J585">
        <v>14.8</v>
      </c>
      <c r="K585">
        <v>23.5</v>
      </c>
      <c r="L585" t="s">
        <v>29</v>
      </c>
      <c r="M585" t="s">
        <v>29</v>
      </c>
      <c r="N585" t="s">
        <v>29</v>
      </c>
      <c r="O585" t="s">
        <v>29</v>
      </c>
      <c r="P585" t="s">
        <v>29</v>
      </c>
      <c r="Q585" t="s">
        <v>29</v>
      </c>
      <c r="R585">
        <v>733</v>
      </c>
      <c r="S585">
        <v>21.07</v>
      </c>
      <c r="T585">
        <v>4.3</v>
      </c>
      <c r="U585">
        <v>4.5</v>
      </c>
      <c r="V585" t="s">
        <v>84</v>
      </c>
    </row>
    <row r="586" spans="1:22" x14ac:dyDescent="0.35">
      <c r="A586" s="1">
        <v>45596</v>
      </c>
      <c r="B586" t="s">
        <v>47</v>
      </c>
      <c r="C586" s="2">
        <v>0.61568287037037039</v>
      </c>
      <c r="D586" t="s">
        <v>1406</v>
      </c>
      <c r="E586" t="s">
        <v>93</v>
      </c>
      <c r="F586" t="s">
        <v>1407</v>
      </c>
      <c r="G586" t="s">
        <v>34</v>
      </c>
      <c r="H586" t="s">
        <v>190</v>
      </c>
      <c r="I586" t="s">
        <v>377</v>
      </c>
      <c r="J586">
        <v>9</v>
      </c>
      <c r="K586" t="s">
        <v>29</v>
      </c>
      <c r="L586" t="s">
        <v>29</v>
      </c>
      <c r="M586" t="s">
        <v>29</v>
      </c>
      <c r="N586">
        <v>1</v>
      </c>
      <c r="O586" t="s">
        <v>337</v>
      </c>
      <c r="P586" t="s">
        <v>29</v>
      </c>
      <c r="Q586" t="s">
        <v>29</v>
      </c>
      <c r="R586" t="s">
        <v>29</v>
      </c>
      <c r="S586" t="s">
        <v>29</v>
      </c>
      <c r="T586" t="s">
        <v>29</v>
      </c>
      <c r="U586" t="s">
        <v>29</v>
      </c>
      <c r="V586" t="s">
        <v>29</v>
      </c>
    </row>
    <row r="587" spans="1:22" x14ac:dyDescent="0.35">
      <c r="A587" s="1">
        <v>45464</v>
      </c>
      <c r="B587" t="s">
        <v>64</v>
      </c>
      <c r="C587" s="2">
        <v>0.34861111111111109</v>
      </c>
      <c r="D587" t="s">
        <v>1408</v>
      </c>
      <c r="E587" t="s">
        <v>41</v>
      </c>
      <c r="F587" t="s">
        <v>1409</v>
      </c>
      <c r="G587" t="s">
        <v>50</v>
      </c>
      <c r="H587" t="s">
        <v>636</v>
      </c>
      <c r="I587" t="s">
        <v>323</v>
      </c>
      <c r="J587">
        <v>4.5</v>
      </c>
      <c r="K587">
        <v>34.200000000000003</v>
      </c>
      <c r="L587" t="s">
        <v>29</v>
      </c>
      <c r="M587" t="s">
        <v>29</v>
      </c>
      <c r="N587" t="s">
        <v>29</v>
      </c>
      <c r="O587" t="s">
        <v>29</v>
      </c>
      <c r="P587" t="s">
        <v>29</v>
      </c>
      <c r="Q587" t="s">
        <v>29</v>
      </c>
      <c r="R587">
        <v>298</v>
      </c>
      <c r="S587">
        <v>12.52</v>
      </c>
      <c r="T587">
        <v>4.4000000000000004</v>
      </c>
      <c r="U587">
        <v>4.5999999999999996</v>
      </c>
      <c r="V587" t="s">
        <v>46</v>
      </c>
    </row>
    <row r="588" spans="1:22" x14ac:dyDescent="0.35">
      <c r="A588" s="1">
        <v>45457</v>
      </c>
      <c r="B588" t="s">
        <v>64</v>
      </c>
      <c r="C588" s="2">
        <v>0.40657407407407409</v>
      </c>
      <c r="D588" t="s">
        <v>1410</v>
      </c>
      <c r="E588" t="s">
        <v>41</v>
      </c>
      <c r="F588" t="s">
        <v>1411</v>
      </c>
      <c r="G588" t="s">
        <v>43</v>
      </c>
      <c r="H588" t="s">
        <v>892</v>
      </c>
      <c r="I588" t="s">
        <v>266</v>
      </c>
      <c r="J588">
        <v>4.9000000000000004</v>
      </c>
      <c r="K588">
        <v>39.200000000000003</v>
      </c>
      <c r="L588" t="s">
        <v>29</v>
      </c>
      <c r="M588" t="s">
        <v>29</v>
      </c>
      <c r="N588" t="s">
        <v>29</v>
      </c>
      <c r="O588" t="s">
        <v>29</v>
      </c>
      <c r="P588" t="s">
        <v>29</v>
      </c>
      <c r="Q588" t="s">
        <v>29</v>
      </c>
      <c r="R588">
        <v>858</v>
      </c>
      <c r="S588">
        <v>43.87</v>
      </c>
      <c r="T588">
        <v>3.3</v>
      </c>
      <c r="U588">
        <v>4.5</v>
      </c>
      <c r="V588" t="s">
        <v>38</v>
      </c>
    </row>
    <row r="589" spans="1:22" x14ac:dyDescent="0.35">
      <c r="A589" s="1">
        <v>45406</v>
      </c>
      <c r="B589" t="s">
        <v>154</v>
      </c>
      <c r="C589" s="2">
        <v>0.71271990740740743</v>
      </c>
      <c r="D589" t="s">
        <v>1412</v>
      </c>
      <c r="E589" t="s">
        <v>24</v>
      </c>
      <c r="F589" t="s">
        <v>1413</v>
      </c>
      <c r="G589" t="s">
        <v>34</v>
      </c>
      <c r="H589" t="s">
        <v>102</v>
      </c>
      <c r="I589" t="s">
        <v>665</v>
      </c>
      <c r="J589" t="s">
        <v>29</v>
      </c>
      <c r="K589" t="s">
        <v>29</v>
      </c>
      <c r="L589" t="s">
        <v>29</v>
      </c>
      <c r="M589" t="s">
        <v>29</v>
      </c>
      <c r="N589" t="s">
        <v>29</v>
      </c>
      <c r="O589" t="s">
        <v>29</v>
      </c>
      <c r="P589" t="s">
        <v>29</v>
      </c>
      <c r="Q589" t="s">
        <v>29</v>
      </c>
      <c r="R589" t="s">
        <v>29</v>
      </c>
      <c r="S589" t="s">
        <v>29</v>
      </c>
      <c r="T589" t="s">
        <v>29</v>
      </c>
      <c r="U589" t="s">
        <v>29</v>
      </c>
      <c r="V589" t="s">
        <v>29</v>
      </c>
    </row>
    <row r="590" spans="1:22" x14ac:dyDescent="0.35">
      <c r="A590" s="1">
        <v>45607</v>
      </c>
      <c r="B590" t="s">
        <v>30</v>
      </c>
      <c r="C590" s="2">
        <v>0.68307870370370372</v>
      </c>
      <c r="D590" t="s">
        <v>1414</v>
      </c>
      <c r="E590" t="s">
        <v>41</v>
      </c>
      <c r="F590" t="s">
        <v>1415</v>
      </c>
      <c r="G590" t="s">
        <v>43</v>
      </c>
      <c r="H590" t="s">
        <v>132</v>
      </c>
      <c r="I590" t="s">
        <v>255</v>
      </c>
      <c r="J590">
        <v>6.1</v>
      </c>
      <c r="K590">
        <v>43.8</v>
      </c>
      <c r="L590" t="s">
        <v>29</v>
      </c>
      <c r="M590" t="s">
        <v>29</v>
      </c>
      <c r="N590" t="s">
        <v>29</v>
      </c>
      <c r="O590" t="s">
        <v>29</v>
      </c>
      <c r="P590" t="s">
        <v>29</v>
      </c>
      <c r="Q590" t="s">
        <v>29</v>
      </c>
      <c r="R590">
        <v>467</v>
      </c>
      <c r="S590">
        <v>32.54</v>
      </c>
      <c r="T590">
        <v>4.0999999999999996</v>
      </c>
      <c r="U590">
        <v>4.5</v>
      </c>
      <c r="V590" t="s">
        <v>38</v>
      </c>
    </row>
    <row r="591" spans="1:22" x14ac:dyDescent="0.35">
      <c r="A591" s="1">
        <v>45335</v>
      </c>
      <c r="B591" t="s">
        <v>59</v>
      </c>
      <c r="C591" s="2">
        <v>0.67895833333333333</v>
      </c>
      <c r="D591" t="s">
        <v>1416</v>
      </c>
      <c r="E591" t="s">
        <v>41</v>
      </c>
      <c r="F591" t="s">
        <v>1417</v>
      </c>
      <c r="G591" t="s">
        <v>34</v>
      </c>
      <c r="H591" t="s">
        <v>315</v>
      </c>
      <c r="I591" t="s">
        <v>822</v>
      </c>
      <c r="J591">
        <v>7.6</v>
      </c>
      <c r="K591">
        <v>19.5</v>
      </c>
      <c r="L591" t="s">
        <v>29</v>
      </c>
      <c r="M591" t="s">
        <v>29</v>
      </c>
      <c r="N591" t="s">
        <v>29</v>
      </c>
      <c r="O591" t="s">
        <v>29</v>
      </c>
      <c r="P591" t="s">
        <v>29</v>
      </c>
      <c r="Q591" t="s">
        <v>29</v>
      </c>
      <c r="R591">
        <v>823</v>
      </c>
      <c r="S591">
        <v>16.850000000000001</v>
      </c>
      <c r="T591">
        <v>4.2</v>
      </c>
      <c r="U591">
        <v>5</v>
      </c>
      <c r="V591" t="s">
        <v>107</v>
      </c>
    </row>
    <row r="592" spans="1:22" x14ac:dyDescent="0.35">
      <c r="A592" s="1">
        <v>45640</v>
      </c>
      <c r="B592" t="s">
        <v>78</v>
      </c>
      <c r="C592" s="2">
        <v>0.35334490740740743</v>
      </c>
      <c r="D592" t="s">
        <v>1418</v>
      </c>
      <c r="E592" t="s">
        <v>41</v>
      </c>
      <c r="F592" t="s">
        <v>1419</v>
      </c>
      <c r="G592" t="s">
        <v>50</v>
      </c>
      <c r="H592" t="s">
        <v>474</v>
      </c>
      <c r="I592" t="s">
        <v>739</v>
      </c>
      <c r="J592">
        <v>8.4</v>
      </c>
      <c r="K592">
        <v>37.1</v>
      </c>
      <c r="L592" t="s">
        <v>29</v>
      </c>
      <c r="M592" t="s">
        <v>29</v>
      </c>
      <c r="N592" t="s">
        <v>29</v>
      </c>
      <c r="O592" t="s">
        <v>29</v>
      </c>
      <c r="P592" t="s">
        <v>29</v>
      </c>
      <c r="Q592" t="s">
        <v>29</v>
      </c>
      <c r="R592">
        <v>413</v>
      </c>
      <c r="S592">
        <v>30.16</v>
      </c>
      <c r="T592">
        <v>3.1</v>
      </c>
      <c r="U592">
        <v>4.3</v>
      </c>
      <c r="V592" t="s">
        <v>38</v>
      </c>
    </row>
    <row r="593" spans="1:22" x14ac:dyDescent="0.35">
      <c r="A593" s="1">
        <v>45540</v>
      </c>
      <c r="B593" t="s">
        <v>53</v>
      </c>
      <c r="C593" s="2">
        <v>0.58324074074074073</v>
      </c>
      <c r="D593" t="s">
        <v>1420</v>
      </c>
      <c r="E593" t="s">
        <v>41</v>
      </c>
      <c r="F593" t="s">
        <v>1421</v>
      </c>
      <c r="G593" t="s">
        <v>50</v>
      </c>
      <c r="H593" t="s">
        <v>511</v>
      </c>
      <c r="I593" t="s">
        <v>197</v>
      </c>
      <c r="J593">
        <v>9.1999999999999993</v>
      </c>
      <c r="K593">
        <v>24.3</v>
      </c>
      <c r="L593" t="s">
        <v>29</v>
      </c>
      <c r="M593" t="s">
        <v>29</v>
      </c>
      <c r="N593" t="s">
        <v>29</v>
      </c>
      <c r="O593" t="s">
        <v>29</v>
      </c>
      <c r="P593" t="s">
        <v>29</v>
      </c>
      <c r="Q593" t="s">
        <v>29</v>
      </c>
      <c r="R593">
        <v>432</v>
      </c>
      <c r="S593">
        <v>46.99</v>
      </c>
      <c r="T593">
        <v>4.2</v>
      </c>
      <c r="U593">
        <v>4.5999999999999996</v>
      </c>
      <c r="V593" t="s">
        <v>84</v>
      </c>
    </row>
    <row r="594" spans="1:22" x14ac:dyDescent="0.35">
      <c r="A594" s="1">
        <v>45541</v>
      </c>
      <c r="B594" t="s">
        <v>53</v>
      </c>
      <c r="C594" s="2">
        <v>0.97886574074074073</v>
      </c>
      <c r="D594" t="s">
        <v>1422</v>
      </c>
      <c r="E594" t="s">
        <v>41</v>
      </c>
      <c r="F594" t="s">
        <v>1423</v>
      </c>
      <c r="G594" t="s">
        <v>43</v>
      </c>
      <c r="H594" t="s">
        <v>536</v>
      </c>
      <c r="I594" t="s">
        <v>102</v>
      </c>
      <c r="J594">
        <v>5.3</v>
      </c>
      <c r="K594">
        <v>35.799999999999997</v>
      </c>
      <c r="L594" t="s">
        <v>29</v>
      </c>
      <c r="M594" t="s">
        <v>29</v>
      </c>
      <c r="N594" t="s">
        <v>29</v>
      </c>
      <c r="O594" t="s">
        <v>29</v>
      </c>
      <c r="P594" t="s">
        <v>29</v>
      </c>
      <c r="Q594" t="s">
        <v>29</v>
      </c>
      <c r="R594">
        <v>455</v>
      </c>
      <c r="S594">
        <v>30.43</v>
      </c>
      <c r="T594">
        <v>3.2</v>
      </c>
      <c r="U594">
        <v>4.3</v>
      </c>
      <c r="V594" t="s">
        <v>38</v>
      </c>
    </row>
    <row r="595" spans="1:22" x14ac:dyDescent="0.35">
      <c r="A595" s="1">
        <v>45494</v>
      </c>
      <c r="B595" t="s">
        <v>108</v>
      </c>
      <c r="C595" s="2">
        <v>0.7638194444444445</v>
      </c>
      <c r="D595" t="s">
        <v>1424</v>
      </c>
      <c r="E595" t="s">
        <v>117</v>
      </c>
      <c r="F595" t="s">
        <v>1425</v>
      </c>
      <c r="G595" t="s">
        <v>34</v>
      </c>
      <c r="H595" t="s">
        <v>613</v>
      </c>
      <c r="I595" t="s">
        <v>183</v>
      </c>
      <c r="J595">
        <v>9.1</v>
      </c>
      <c r="K595" t="s">
        <v>29</v>
      </c>
      <c r="L595">
        <v>1</v>
      </c>
      <c r="M595" t="s">
        <v>121</v>
      </c>
      <c r="N595" t="s">
        <v>29</v>
      </c>
      <c r="O595" t="s">
        <v>29</v>
      </c>
      <c r="P595" t="s">
        <v>29</v>
      </c>
      <c r="Q595" t="s">
        <v>29</v>
      </c>
      <c r="R595" t="s">
        <v>29</v>
      </c>
      <c r="S595" t="s">
        <v>29</v>
      </c>
      <c r="T595" t="s">
        <v>29</v>
      </c>
      <c r="U595" t="s">
        <v>29</v>
      </c>
      <c r="V595" t="s">
        <v>29</v>
      </c>
    </row>
    <row r="596" spans="1:22" x14ac:dyDescent="0.35">
      <c r="A596" s="1">
        <v>45495</v>
      </c>
      <c r="B596" t="s">
        <v>108</v>
      </c>
      <c r="C596" s="2">
        <v>0.44474537037037037</v>
      </c>
      <c r="D596" t="s">
        <v>1426</v>
      </c>
      <c r="E596" t="s">
        <v>93</v>
      </c>
      <c r="F596" t="s">
        <v>1427</v>
      </c>
      <c r="G596" t="s">
        <v>43</v>
      </c>
      <c r="H596" t="s">
        <v>103</v>
      </c>
      <c r="I596" t="s">
        <v>391</v>
      </c>
      <c r="J596">
        <v>5.4</v>
      </c>
      <c r="K596" t="s">
        <v>29</v>
      </c>
      <c r="L596" t="s">
        <v>29</v>
      </c>
      <c r="M596" t="s">
        <v>29</v>
      </c>
      <c r="N596">
        <v>1</v>
      </c>
      <c r="O596" t="s">
        <v>97</v>
      </c>
      <c r="P596" t="s">
        <v>29</v>
      </c>
      <c r="Q596" t="s">
        <v>29</v>
      </c>
      <c r="R596" t="s">
        <v>29</v>
      </c>
      <c r="S596" t="s">
        <v>29</v>
      </c>
      <c r="T596" t="s">
        <v>29</v>
      </c>
      <c r="U596" t="s">
        <v>29</v>
      </c>
      <c r="V596" t="s">
        <v>29</v>
      </c>
    </row>
    <row r="597" spans="1:22" x14ac:dyDescent="0.35">
      <c r="A597" s="1">
        <v>45550</v>
      </c>
      <c r="B597" t="s">
        <v>53</v>
      </c>
      <c r="C597" s="2">
        <v>0.25512731481481482</v>
      </c>
      <c r="D597" t="s">
        <v>1428</v>
      </c>
      <c r="E597" t="s">
        <v>41</v>
      </c>
      <c r="F597" t="s">
        <v>1429</v>
      </c>
      <c r="G597" t="s">
        <v>56</v>
      </c>
      <c r="H597" t="s">
        <v>665</v>
      </c>
      <c r="I597" t="s">
        <v>164</v>
      </c>
      <c r="J597">
        <v>4.8</v>
      </c>
      <c r="K597">
        <v>38.6</v>
      </c>
      <c r="L597" t="s">
        <v>29</v>
      </c>
      <c r="M597" t="s">
        <v>29</v>
      </c>
      <c r="N597" t="s">
        <v>29</v>
      </c>
      <c r="O597" t="s">
        <v>29</v>
      </c>
      <c r="P597" t="s">
        <v>29</v>
      </c>
      <c r="Q597" t="s">
        <v>29</v>
      </c>
      <c r="R597">
        <v>450</v>
      </c>
      <c r="S597">
        <v>42.68</v>
      </c>
      <c r="T597">
        <v>4.2</v>
      </c>
      <c r="U597">
        <v>4</v>
      </c>
      <c r="V597" t="s">
        <v>38</v>
      </c>
    </row>
    <row r="598" spans="1:22" x14ac:dyDescent="0.35">
      <c r="A598" s="1">
        <v>45586</v>
      </c>
      <c r="B598" t="s">
        <v>47</v>
      </c>
      <c r="C598" s="2">
        <v>0.49078703703703702</v>
      </c>
      <c r="D598" t="s">
        <v>1430</v>
      </c>
      <c r="E598" t="s">
        <v>41</v>
      </c>
      <c r="F598" t="s">
        <v>1431</v>
      </c>
      <c r="G598" t="s">
        <v>43</v>
      </c>
      <c r="H598" t="s">
        <v>323</v>
      </c>
      <c r="I598" t="s">
        <v>498</v>
      </c>
      <c r="J598">
        <v>12.2</v>
      </c>
      <c r="K598">
        <v>34</v>
      </c>
      <c r="L598" t="s">
        <v>29</v>
      </c>
      <c r="M598" t="s">
        <v>29</v>
      </c>
      <c r="N598" t="s">
        <v>29</v>
      </c>
      <c r="O598" t="s">
        <v>29</v>
      </c>
      <c r="P598" t="s">
        <v>29</v>
      </c>
      <c r="Q598" t="s">
        <v>29</v>
      </c>
      <c r="R598">
        <v>770</v>
      </c>
      <c r="S598">
        <v>20.76</v>
      </c>
      <c r="T598">
        <v>4</v>
      </c>
      <c r="U598">
        <v>4.2</v>
      </c>
      <c r="V598" t="s">
        <v>38</v>
      </c>
    </row>
    <row r="599" spans="1:22" x14ac:dyDescent="0.35">
      <c r="A599" s="1">
        <v>45505</v>
      </c>
      <c r="B599" t="s">
        <v>39</v>
      </c>
      <c r="C599" s="2">
        <v>0.25895833333333335</v>
      </c>
      <c r="D599" t="s">
        <v>1432</v>
      </c>
      <c r="E599" t="s">
        <v>41</v>
      </c>
      <c r="F599" t="s">
        <v>1433</v>
      </c>
      <c r="G599" t="s">
        <v>34</v>
      </c>
      <c r="H599" t="s">
        <v>263</v>
      </c>
      <c r="I599" t="s">
        <v>242</v>
      </c>
      <c r="J599">
        <v>9.8000000000000007</v>
      </c>
      <c r="K599">
        <v>43.5</v>
      </c>
      <c r="L599" t="s">
        <v>29</v>
      </c>
      <c r="M599" t="s">
        <v>29</v>
      </c>
      <c r="N599" t="s">
        <v>29</v>
      </c>
      <c r="O599" t="s">
        <v>29</v>
      </c>
      <c r="P599" t="s">
        <v>29</v>
      </c>
      <c r="Q599" t="s">
        <v>29</v>
      </c>
      <c r="R599">
        <v>875</v>
      </c>
      <c r="S599">
        <v>6.58</v>
      </c>
      <c r="T599">
        <v>4.7</v>
      </c>
      <c r="U599">
        <v>4.3</v>
      </c>
      <c r="V599" t="s">
        <v>38</v>
      </c>
    </row>
    <row r="600" spans="1:22" x14ac:dyDescent="0.35">
      <c r="A600" s="1">
        <v>45449</v>
      </c>
      <c r="B600" t="s">
        <v>64</v>
      </c>
      <c r="C600" s="2">
        <v>0.81828703703703709</v>
      </c>
      <c r="D600" t="s">
        <v>1434</v>
      </c>
      <c r="E600" t="s">
        <v>41</v>
      </c>
      <c r="F600" t="s">
        <v>1435</v>
      </c>
      <c r="G600" t="s">
        <v>43</v>
      </c>
      <c r="H600" t="s">
        <v>157</v>
      </c>
      <c r="I600" t="s">
        <v>277</v>
      </c>
      <c r="J600">
        <v>14</v>
      </c>
      <c r="K600">
        <v>17.7</v>
      </c>
      <c r="L600" t="s">
        <v>29</v>
      </c>
      <c r="M600" t="s">
        <v>29</v>
      </c>
      <c r="N600" t="s">
        <v>29</v>
      </c>
      <c r="O600" t="s">
        <v>29</v>
      </c>
      <c r="P600" t="s">
        <v>29</v>
      </c>
      <c r="Q600" t="s">
        <v>29</v>
      </c>
      <c r="R600">
        <v>141</v>
      </c>
      <c r="S600">
        <v>16.41</v>
      </c>
      <c r="T600">
        <v>4.3</v>
      </c>
      <c r="U600">
        <v>5</v>
      </c>
      <c r="V600" t="s">
        <v>84</v>
      </c>
    </row>
    <row r="601" spans="1:22" x14ac:dyDescent="0.35">
      <c r="A601" s="1">
        <v>45337</v>
      </c>
      <c r="B601" t="s">
        <v>59</v>
      </c>
      <c r="C601" s="2">
        <v>0.8674074074074074</v>
      </c>
      <c r="D601" t="s">
        <v>1436</v>
      </c>
      <c r="E601" t="s">
        <v>41</v>
      </c>
      <c r="F601" t="s">
        <v>1437</v>
      </c>
      <c r="G601" t="s">
        <v>50</v>
      </c>
      <c r="H601" t="s">
        <v>157</v>
      </c>
      <c r="I601" t="s">
        <v>803</v>
      </c>
      <c r="J601">
        <v>6.1</v>
      </c>
      <c r="K601">
        <v>23.2</v>
      </c>
      <c r="L601" t="s">
        <v>29</v>
      </c>
      <c r="M601" t="s">
        <v>29</v>
      </c>
      <c r="N601" t="s">
        <v>29</v>
      </c>
      <c r="O601" t="s">
        <v>29</v>
      </c>
      <c r="P601" t="s">
        <v>29</v>
      </c>
      <c r="Q601" t="s">
        <v>29</v>
      </c>
      <c r="R601">
        <v>212</v>
      </c>
      <c r="S601">
        <v>10.89</v>
      </c>
      <c r="T601">
        <v>4.4000000000000004</v>
      </c>
      <c r="U601">
        <v>4.7</v>
      </c>
      <c r="V601" t="s">
        <v>84</v>
      </c>
    </row>
    <row r="602" spans="1:22" x14ac:dyDescent="0.35">
      <c r="A602" s="1">
        <v>45516</v>
      </c>
      <c r="B602" t="s">
        <v>39</v>
      </c>
      <c r="C602" s="2">
        <v>0.46964120370370371</v>
      </c>
      <c r="D602" t="s">
        <v>1438</v>
      </c>
      <c r="E602" t="s">
        <v>93</v>
      </c>
      <c r="F602" t="s">
        <v>1439</v>
      </c>
      <c r="G602" t="s">
        <v>67</v>
      </c>
      <c r="H602" t="s">
        <v>383</v>
      </c>
      <c r="I602" t="s">
        <v>511</v>
      </c>
      <c r="J602">
        <v>11.5</v>
      </c>
      <c r="K602" t="s">
        <v>29</v>
      </c>
      <c r="L602" t="s">
        <v>29</v>
      </c>
      <c r="M602" t="s">
        <v>29</v>
      </c>
      <c r="N602">
        <v>1</v>
      </c>
      <c r="O602" t="s">
        <v>97</v>
      </c>
      <c r="P602" t="s">
        <v>29</v>
      </c>
      <c r="Q602" t="s">
        <v>29</v>
      </c>
      <c r="R602" t="s">
        <v>29</v>
      </c>
      <c r="S602" t="s">
        <v>29</v>
      </c>
      <c r="T602" t="s">
        <v>29</v>
      </c>
      <c r="U602" t="s">
        <v>29</v>
      </c>
      <c r="V602" t="s">
        <v>29</v>
      </c>
    </row>
    <row r="603" spans="1:22" x14ac:dyDescent="0.35">
      <c r="A603" s="1">
        <v>45461</v>
      </c>
      <c r="B603" t="s">
        <v>64</v>
      </c>
      <c r="C603" s="2">
        <v>0.71335648148148145</v>
      </c>
      <c r="D603" t="s">
        <v>1440</v>
      </c>
      <c r="E603" t="s">
        <v>41</v>
      </c>
      <c r="F603" t="s">
        <v>1441</v>
      </c>
      <c r="G603" t="s">
        <v>146</v>
      </c>
      <c r="H603" t="s">
        <v>369</v>
      </c>
      <c r="I603" t="s">
        <v>76</v>
      </c>
      <c r="J603">
        <v>8.9</v>
      </c>
      <c r="K603">
        <v>19.2</v>
      </c>
      <c r="L603" t="s">
        <v>29</v>
      </c>
      <c r="M603" t="s">
        <v>29</v>
      </c>
      <c r="N603" t="s">
        <v>29</v>
      </c>
      <c r="O603" t="s">
        <v>29</v>
      </c>
      <c r="P603" t="s">
        <v>29</v>
      </c>
      <c r="Q603" t="s">
        <v>29</v>
      </c>
      <c r="R603">
        <v>630</v>
      </c>
      <c r="S603">
        <v>49.26</v>
      </c>
      <c r="T603">
        <v>4.0999999999999996</v>
      </c>
      <c r="U603">
        <v>4</v>
      </c>
      <c r="V603" t="s">
        <v>84</v>
      </c>
    </row>
    <row r="604" spans="1:22" x14ac:dyDescent="0.35">
      <c r="A604" s="1">
        <v>45299</v>
      </c>
      <c r="B604" t="s">
        <v>150</v>
      </c>
      <c r="C604" s="2">
        <v>0.70422453703703702</v>
      </c>
      <c r="D604" t="s">
        <v>1442</v>
      </c>
      <c r="E604" t="s">
        <v>41</v>
      </c>
      <c r="F604" t="s">
        <v>1443</v>
      </c>
      <c r="G604" t="s">
        <v>50</v>
      </c>
      <c r="H604" t="s">
        <v>560</v>
      </c>
      <c r="I604" t="s">
        <v>68</v>
      </c>
      <c r="J604">
        <v>6.5</v>
      </c>
      <c r="K604">
        <v>32.799999999999997</v>
      </c>
      <c r="L604" t="s">
        <v>29</v>
      </c>
      <c r="M604" t="s">
        <v>29</v>
      </c>
      <c r="N604" t="s">
        <v>29</v>
      </c>
      <c r="O604" t="s">
        <v>29</v>
      </c>
      <c r="P604" t="s">
        <v>29</v>
      </c>
      <c r="Q604" t="s">
        <v>29</v>
      </c>
      <c r="R604">
        <v>263</v>
      </c>
      <c r="S604">
        <v>46.6</v>
      </c>
      <c r="T604">
        <v>4.5999999999999996</v>
      </c>
      <c r="U604">
        <v>4.3</v>
      </c>
      <c r="V604" t="s">
        <v>84</v>
      </c>
    </row>
    <row r="605" spans="1:22" x14ac:dyDescent="0.35">
      <c r="A605" s="1">
        <v>45446</v>
      </c>
      <c r="B605" t="s">
        <v>64</v>
      </c>
      <c r="C605" s="2">
        <v>0.23378472222222221</v>
      </c>
      <c r="D605" t="s">
        <v>1444</v>
      </c>
      <c r="E605" t="s">
        <v>41</v>
      </c>
      <c r="F605" t="s">
        <v>1445</v>
      </c>
      <c r="G605" t="s">
        <v>34</v>
      </c>
      <c r="H605" t="s">
        <v>391</v>
      </c>
      <c r="I605" t="s">
        <v>167</v>
      </c>
      <c r="J605">
        <v>12.2</v>
      </c>
      <c r="K605">
        <v>36.1</v>
      </c>
      <c r="L605" t="s">
        <v>29</v>
      </c>
      <c r="M605" t="s">
        <v>29</v>
      </c>
      <c r="N605" t="s">
        <v>29</v>
      </c>
      <c r="O605" t="s">
        <v>29</v>
      </c>
      <c r="P605" t="s">
        <v>29</v>
      </c>
      <c r="Q605" t="s">
        <v>29</v>
      </c>
      <c r="R605">
        <v>807</v>
      </c>
      <c r="S605">
        <v>16.760000000000002</v>
      </c>
      <c r="T605">
        <v>3</v>
      </c>
      <c r="U605">
        <v>4.5999999999999996</v>
      </c>
      <c r="V605" t="s">
        <v>107</v>
      </c>
    </row>
    <row r="606" spans="1:22" x14ac:dyDescent="0.35">
      <c r="A606" s="1">
        <v>45567</v>
      </c>
      <c r="B606" t="s">
        <v>47</v>
      </c>
      <c r="C606" s="2">
        <v>0.41104166666666669</v>
      </c>
      <c r="D606" t="s">
        <v>1446</v>
      </c>
      <c r="E606" t="s">
        <v>41</v>
      </c>
      <c r="F606" t="s">
        <v>1447</v>
      </c>
      <c r="G606" t="s">
        <v>50</v>
      </c>
      <c r="H606" t="s">
        <v>91</v>
      </c>
      <c r="I606" t="s">
        <v>35</v>
      </c>
      <c r="J606">
        <v>4.3</v>
      </c>
      <c r="K606">
        <v>19.8</v>
      </c>
      <c r="L606" t="s">
        <v>29</v>
      </c>
      <c r="M606" t="s">
        <v>29</v>
      </c>
      <c r="N606" t="s">
        <v>29</v>
      </c>
      <c r="O606" t="s">
        <v>29</v>
      </c>
      <c r="P606" t="s">
        <v>29</v>
      </c>
      <c r="Q606" t="s">
        <v>29</v>
      </c>
      <c r="R606">
        <v>418</v>
      </c>
      <c r="S606">
        <v>45.71</v>
      </c>
      <c r="T606">
        <v>4.7</v>
      </c>
      <c r="U606">
        <v>4.7</v>
      </c>
      <c r="V606" t="s">
        <v>38</v>
      </c>
    </row>
    <row r="607" spans="1:22" x14ac:dyDescent="0.35">
      <c r="A607" s="1">
        <v>45539</v>
      </c>
      <c r="B607" t="s">
        <v>53</v>
      </c>
      <c r="C607" s="2">
        <v>0.68938657407407411</v>
      </c>
      <c r="D607" t="s">
        <v>1448</v>
      </c>
      <c r="E607" t="s">
        <v>41</v>
      </c>
      <c r="F607" t="s">
        <v>1449</v>
      </c>
      <c r="G607" t="s">
        <v>43</v>
      </c>
      <c r="H607" t="s">
        <v>157</v>
      </c>
      <c r="I607" t="s">
        <v>132</v>
      </c>
      <c r="J607">
        <v>11.1</v>
      </c>
      <c r="K607">
        <v>16.5</v>
      </c>
      <c r="L607" t="s">
        <v>29</v>
      </c>
      <c r="M607" t="s">
        <v>29</v>
      </c>
      <c r="N607" t="s">
        <v>29</v>
      </c>
      <c r="O607" t="s">
        <v>29</v>
      </c>
      <c r="P607" t="s">
        <v>29</v>
      </c>
      <c r="Q607" t="s">
        <v>29</v>
      </c>
      <c r="R607">
        <v>268</v>
      </c>
      <c r="S607">
        <v>8.34</v>
      </c>
      <c r="T607">
        <v>3.4</v>
      </c>
      <c r="U607">
        <v>4.3</v>
      </c>
      <c r="V607" t="s">
        <v>84</v>
      </c>
    </row>
    <row r="608" spans="1:22" x14ac:dyDescent="0.35">
      <c r="A608" s="1">
        <v>45484</v>
      </c>
      <c r="B608" t="s">
        <v>108</v>
      </c>
      <c r="C608" s="2">
        <v>0.81260416666666668</v>
      </c>
      <c r="D608" t="s">
        <v>1450</v>
      </c>
      <c r="E608" t="s">
        <v>93</v>
      </c>
      <c r="F608" t="s">
        <v>1451</v>
      </c>
      <c r="G608" t="s">
        <v>67</v>
      </c>
      <c r="H608" t="s">
        <v>277</v>
      </c>
      <c r="I608" t="s">
        <v>312</v>
      </c>
      <c r="J608">
        <v>6</v>
      </c>
      <c r="K608" t="s">
        <v>29</v>
      </c>
      <c r="L608" t="s">
        <v>29</v>
      </c>
      <c r="M608" t="s">
        <v>29</v>
      </c>
      <c r="N608">
        <v>1</v>
      </c>
      <c r="O608" t="s">
        <v>337</v>
      </c>
      <c r="P608" t="s">
        <v>29</v>
      </c>
      <c r="Q608" t="s">
        <v>29</v>
      </c>
      <c r="R608" t="s">
        <v>29</v>
      </c>
      <c r="S608" t="s">
        <v>29</v>
      </c>
      <c r="T608" t="s">
        <v>29</v>
      </c>
      <c r="U608" t="s">
        <v>29</v>
      </c>
      <c r="V608" t="s">
        <v>29</v>
      </c>
    </row>
    <row r="609" spans="1:22" x14ac:dyDescent="0.35">
      <c r="A609" s="1">
        <v>45340</v>
      </c>
      <c r="B609" t="s">
        <v>59</v>
      </c>
      <c r="C609" s="2">
        <v>0.74315972222222226</v>
      </c>
      <c r="D609" t="s">
        <v>1452</v>
      </c>
      <c r="E609" t="s">
        <v>24</v>
      </c>
      <c r="F609" t="s">
        <v>1453</v>
      </c>
      <c r="G609" t="s">
        <v>56</v>
      </c>
      <c r="H609" t="s">
        <v>714</v>
      </c>
      <c r="I609" t="s">
        <v>177</v>
      </c>
      <c r="J609" t="s">
        <v>29</v>
      </c>
      <c r="K609" t="s">
        <v>29</v>
      </c>
      <c r="L609" t="s">
        <v>29</v>
      </c>
      <c r="M609" t="s">
        <v>29</v>
      </c>
      <c r="N609" t="s">
        <v>29</v>
      </c>
      <c r="O609" t="s">
        <v>29</v>
      </c>
      <c r="P609" t="s">
        <v>29</v>
      </c>
      <c r="Q609" t="s">
        <v>29</v>
      </c>
      <c r="R609" t="s">
        <v>29</v>
      </c>
      <c r="S609" t="s">
        <v>29</v>
      </c>
      <c r="T609" t="s">
        <v>29</v>
      </c>
      <c r="U609" t="s">
        <v>29</v>
      </c>
      <c r="V609" t="s">
        <v>29</v>
      </c>
    </row>
    <row r="610" spans="1:22" x14ac:dyDescent="0.35">
      <c r="A610" s="1">
        <v>45512</v>
      </c>
      <c r="B610" t="s">
        <v>39</v>
      </c>
      <c r="C610" s="2">
        <v>0.88543981481481482</v>
      </c>
      <c r="D610" t="s">
        <v>1454</v>
      </c>
      <c r="E610" t="s">
        <v>32</v>
      </c>
      <c r="F610" t="s">
        <v>1455</v>
      </c>
      <c r="G610" t="s">
        <v>43</v>
      </c>
      <c r="H610" t="s">
        <v>315</v>
      </c>
      <c r="I610" t="s">
        <v>36</v>
      </c>
      <c r="J610">
        <v>8.9</v>
      </c>
      <c r="K610">
        <v>21.2</v>
      </c>
      <c r="L610" t="s">
        <v>29</v>
      </c>
      <c r="M610" t="s">
        <v>29</v>
      </c>
      <c r="N610" t="s">
        <v>29</v>
      </c>
      <c r="O610" t="s">
        <v>29</v>
      </c>
      <c r="P610">
        <v>1</v>
      </c>
      <c r="Q610" t="s">
        <v>83</v>
      </c>
      <c r="R610">
        <v>953</v>
      </c>
      <c r="S610">
        <v>4.5999999999999996</v>
      </c>
      <c r="T610" t="s">
        <v>29</v>
      </c>
      <c r="U610" t="s">
        <v>29</v>
      </c>
      <c r="V610" t="s">
        <v>38</v>
      </c>
    </row>
    <row r="611" spans="1:22" x14ac:dyDescent="0.35">
      <c r="A611" s="1">
        <v>45532</v>
      </c>
      <c r="B611" t="s">
        <v>39</v>
      </c>
      <c r="C611" s="2">
        <v>0.34722222222222221</v>
      </c>
      <c r="D611" t="s">
        <v>1456</v>
      </c>
      <c r="E611" t="s">
        <v>41</v>
      </c>
      <c r="F611" t="s">
        <v>1457</v>
      </c>
      <c r="G611" t="s">
        <v>146</v>
      </c>
      <c r="H611" t="s">
        <v>616</v>
      </c>
      <c r="I611" t="s">
        <v>132</v>
      </c>
      <c r="J611">
        <v>10.6</v>
      </c>
      <c r="K611">
        <v>41.9</v>
      </c>
      <c r="L611" t="s">
        <v>29</v>
      </c>
      <c r="M611" t="s">
        <v>29</v>
      </c>
      <c r="N611" t="s">
        <v>29</v>
      </c>
      <c r="O611" t="s">
        <v>29</v>
      </c>
      <c r="P611" t="s">
        <v>29</v>
      </c>
      <c r="Q611" t="s">
        <v>29</v>
      </c>
      <c r="R611">
        <v>773</v>
      </c>
      <c r="S611">
        <v>48.84</v>
      </c>
      <c r="T611">
        <v>3.9</v>
      </c>
      <c r="U611">
        <v>4.8</v>
      </c>
      <c r="V611" t="s">
        <v>107</v>
      </c>
    </row>
    <row r="612" spans="1:22" x14ac:dyDescent="0.35">
      <c r="A612" s="1">
        <v>45567</v>
      </c>
      <c r="B612" t="s">
        <v>47</v>
      </c>
      <c r="C612" s="2">
        <v>0.70548611111111115</v>
      </c>
      <c r="D612" t="s">
        <v>1458</v>
      </c>
      <c r="E612" t="s">
        <v>93</v>
      </c>
      <c r="F612" t="s">
        <v>1459</v>
      </c>
      <c r="G612" t="s">
        <v>56</v>
      </c>
      <c r="H612" t="s">
        <v>489</v>
      </c>
      <c r="I612" t="s">
        <v>493</v>
      </c>
      <c r="J612">
        <v>11.6</v>
      </c>
      <c r="K612" t="s">
        <v>29</v>
      </c>
      <c r="L612" t="s">
        <v>29</v>
      </c>
      <c r="M612" t="s">
        <v>29</v>
      </c>
      <c r="N612">
        <v>1</v>
      </c>
      <c r="O612" t="s">
        <v>97</v>
      </c>
      <c r="P612" t="s">
        <v>29</v>
      </c>
      <c r="Q612" t="s">
        <v>29</v>
      </c>
      <c r="R612" t="s">
        <v>29</v>
      </c>
      <c r="S612" t="s">
        <v>29</v>
      </c>
      <c r="T612" t="s">
        <v>29</v>
      </c>
      <c r="U612" t="s">
        <v>29</v>
      </c>
      <c r="V612" t="s">
        <v>29</v>
      </c>
    </row>
    <row r="613" spans="1:22" x14ac:dyDescent="0.35">
      <c r="A613" s="1">
        <v>45320</v>
      </c>
      <c r="B613" t="s">
        <v>150</v>
      </c>
      <c r="C613" s="2">
        <v>0.62582175925925931</v>
      </c>
      <c r="D613" t="s">
        <v>1460</v>
      </c>
      <c r="E613" t="s">
        <v>41</v>
      </c>
      <c r="F613" t="s">
        <v>1461</v>
      </c>
      <c r="G613" t="s">
        <v>34</v>
      </c>
      <c r="H613" t="s">
        <v>132</v>
      </c>
      <c r="I613" t="s">
        <v>183</v>
      </c>
      <c r="J613">
        <v>9.1</v>
      </c>
      <c r="K613">
        <v>29</v>
      </c>
      <c r="L613" t="s">
        <v>29</v>
      </c>
      <c r="M613" t="s">
        <v>29</v>
      </c>
      <c r="N613" t="s">
        <v>29</v>
      </c>
      <c r="O613" t="s">
        <v>29</v>
      </c>
      <c r="P613" t="s">
        <v>29</v>
      </c>
      <c r="Q613" t="s">
        <v>29</v>
      </c>
      <c r="R613">
        <v>137</v>
      </c>
      <c r="S613">
        <v>34.83</v>
      </c>
      <c r="T613">
        <v>4.7</v>
      </c>
      <c r="U613">
        <v>4.4000000000000004</v>
      </c>
      <c r="V613" t="s">
        <v>38</v>
      </c>
    </row>
    <row r="614" spans="1:22" x14ac:dyDescent="0.35">
      <c r="A614" s="1">
        <v>45603</v>
      </c>
      <c r="B614" t="s">
        <v>30</v>
      </c>
      <c r="C614" s="2">
        <v>0.82298611111111108</v>
      </c>
      <c r="D614" t="s">
        <v>1462</v>
      </c>
      <c r="E614" t="s">
        <v>41</v>
      </c>
      <c r="F614" t="s">
        <v>1463</v>
      </c>
      <c r="G614" t="s">
        <v>43</v>
      </c>
      <c r="H614" t="s">
        <v>739</v>
      </c>
      <c r="I614" t="s">
        <v>336</v>
      </c>
      <c r="J614">
        <v>9.9</v>
      </c>
      <c r="K614">
        <v>41.1</v>
      </c>
      <c r="L614" t="s">
        <v>29</v>
      </c>
      <c r="M614" t="s">
        <v>29</v>
      </c>
      <c r="N614" t="s">
        <v>29</v>
      </c>
      <c r="O614" t="s">
        <v>29</v>
      </c>
      <c r="P614" t="s">
        <v>29</v>
      </c>
      <c r="Q614" t="s">
        <v>29</v>
      </c>
      <c r="R614">
        <v>215</v>
      </c>
      <c r="S614">
        <v>27.67</v>
      </c>
      <c r="T614">
        <v>4.3</v>
      </c>
      <c r="U614">
        <v>4.3</v>
      </c>
      <c r="V614" t="s">
        <v>46</v>
      </c>
    </row>
    <row r="615" spans="1:22" x14ac:dyDescent="0.35">
      <c r="A615" s="1">
        <v>45373</v>
      </c>
      <c r="B615" t="s">
        <v>22</v>
      </c>
      <c r="C615" s="2">
        <v>0.80203703703703699</v>
      </c>
      <c r="D615" t="s">
        <v>1464</v>
      </c>
      <c r="E615" t="s">
        <v>41</v>
      </c>
      <c r="F615" t="s">
        <v>1465</v>
      </c>
      <c r="G615" t="s">
        <v>50</v>
      </c>
      <c r="H615" t="s">
        <v>808</v>
      </c>
      <c r="I615" t="s">
        <v>636</v>
      </c>
      <c r="J615">
        <v>11</v>
      </c>
      <c r="K615">
        <v>37.5</v>
      </c>
      <c r="L615" t="s">
        <v>29</v>
      </c>
      <c r="M615" t="s">
        <v>29</v>
      </c>
      <c r="N615" t="s">
        <v>29</v>
      </c>
      <c r="O615" t="s">
        <v>29</v>
      </c>
      <c r="P615" t="s">
        <v>29</v>
      </c>
      <c r="Q615" t="s">
        <v>29</v>
      </c>
      <c r="R615">
        <v>113</v>
      </c>
      <c r="S615">
        <v>21.68</v>
      </c>
      <c r="T615">
        <v>4.3</v>
      </c>
      <c r="U615">
        <v>3.7</v>
      </c>
      <c r="V615" t="s">
        <v>38</v>
      </c>
    </row>
    <row r="616" spans="1:22" x14ac:dyDescent="0.35">
      <c r="A616" s="1">
        <v>45508</v>
      </c>
      <c r="B616" t="s">
        <v>39</v>
      </c>
      <c r="C616" s="2">
        <v>0.48041666666666666</v>
      </c>
      <c r="D616" t="s">
        <v>1466</v>
      </c>
      <c r="E616" t="s">
        <v>117</v>
      </c>
      <c r="F616" t="s">
        <v>1467</v>
      </c>
      <c r="G616" t="s">
        <v>67</v>
      </c>
      <c r="H616" t="s">
        <v>549</v>
      </c>
      <c r="I616" t="s">
        <v>168</v>
      </c>
      <c r="J616">
        <v>12.7</v>
      </c>
      <c r="K616" t="s">
        <v>29</v>
      </c>
      <c r="L616">
        <v>1</v>
      </c>
      <c r="M616" t="s">
        <v>378</v>
      </c>
      <c r="N616" t="s">
        <v>29</v>
      </c>
      <c r="O616" t="s">
        <v>29</v>
      </c>
      <c r="P616" t="s">
        <v>29</v>
      </c>
      <c r="Q616" t="s">
        <v>29</v>
      </c>
      <c r="R616" t="s">
        <v>29</v>
      </c>
      <c r="S616" t="s">
        <v>29</v>
      </c>
      <c r="T616" t="s">
        <v>29</v>
      </c>
      <c r="U616" t="s">
        <v>29</v>
      </c>
      <c r="V616" t="s">
        <v>29</v>
      </c>
    </row>
    <row r="617" spans="1:22" x14ac:dyDescent="0.35">
      <c r="A617" s="1">
        <v>45548</v>
      </c>
      <c r="B617" t="s">
        <v>53</v>
      </c>
      <c r="C617" s="2">
        <v>0.50342592592592594</v>
      </c>
      <c r="D617" t="s">
        <v>1468</v>
      </c>
      <c r="E617" t="s">
        <v>41</v>
      </c>
      <c r="F617" t="s">
        <v>1469</v>
      </c>
      <c r="G617" t="s">
        <v>43</v>
      </c>
      <c r="H617" t="s">
        <v>172</v>
      </c>
      <c r="I617" t="s">
        <v>76</v>
      </c>
      <c r="J617">
        <v>7.2</v>
      </c>
      <c r="K617">
        <v>18.3</v>
      </c>
      <c r="L617" t="s">
        <v>29</v>
      </c>
      <c r="M617" t="s">
        <v>29</v>
      </c>
      <c r="N617" t="s">
        <v>29</v>
      </c>
      <c r="O617" t="s">
        <v>29</v>
      </c>
      <c r="P617" t="s">
        <v>29</v>
      </c>
      <c r="Q617" t="s">
        <v>29</v>
      </c>
      <c r="R617">
        <v>343</v>
      </c>
      <c r="S617">
        <v>5.27</v>
      </c>
      <c r="T617">
        <v>4.4000000000000004</v>
      </c>
      <c r="U617">
        <v>4.8</v>
      </c>
      <c r="V617" t="s">
        <v>107</v>
      </c>
    </row>
    <row r="618" spans="1:22" x14ac:dyDescent="0.35">
      <c r="A618" s="1">
        <v>45437</v>
      </c>
      <c r="B618" t="s">
        <v>122</v>
      </c>
      <c r="C618" s="2">
        <v>0.7082060185185185</v>
      </c>
      <c r="D618" t="s">
        <v>1470</v>
      </c>
      <c r="E618" t="s">
        <v>41</v>
      </c>
      <c r="F618" t="s">
        <v>1471</v>
      </c>
      <c r="G618" t="s">
        <v>67</v>
      </c>
      <c r="H618" t="s">
        <v>690</v>
      </c>
      <c r="I618" t="s">
        <v>95</v>
      </c>
      <c r="J618">
        <v>2.7</v>
      </c>
      <c r="K618">
        <v>26.3</v>
      </c>
      <c r="L618" t="s">
        <v>29</v>
      </c>
      <c r="M618" t="s">
        <v>29</v>
      </c>
      <c r="N618" t="s">
        <v>29</v>
      </c>
      <c r="O618" t="s">
        <v>29</v>
      </c>
      <c r="P618" t="s">
        <v>29</v>
      </c>
      <c r="Q618" t="s">
        <v>29</v>
      </c>
      <c r="R618">
        <v>477</v>
      </c>
      <c r="S618">
        <v>2.65</v>
      </c>
      <c r="T618">
        <v>4.3</v>
      </c>
      <c r="U618">
        <v>4.4000000000000004</v>
      </c>
      <c r="V618" t="s">
        <v>38</v>
      </c>
    </row>
    <row r="619" spans="1:22" x14ac:dyDescent="0.35">
      <c r="A619" s="1">
        <v>45556</v>
      </c>
      <c r="B619" t="s">
        <v>53</v>
      </c>
      <c r="C619" s="2">
        <v>0.58819444444444446</v>
      </c>
      <c r="D619" t="s">
        <v>1472</v>
      </c>
      <c r="E619" t="s">
        <v>24</v>
      </c>
      <c r="F619" t="s">
        <v>1473</v>
      </c>
      <c r="G619" t="s">
        <v>34</v>
      </c>
      <c r="H619" t="s">
        <v>266</v>
      </c>
      <c r="I619" t="s">
        <v>355</v>
      </c>
      <c r="J619" t="s">
        <v>29</v>
      </c>
      <c r="K619" t="s">
        <v>29</v>
      </c>
      <c r="L619" t="s">
        <v>29</v>
      </c>
      <c r="M619" t="s">
        <v>29</v>
      </c>
      <c r="N619" t="s">
        <v>29</v>
      </c>
      <c r="O619" t="s">
        <v>29</v>
      </c>
      <c r="P619" t="s">
        <v>29</v>
      </c>
      <c r="Q619" t="s">
        <v>29</v>
      </c>
      <c r="R619" t="s">
        <v>29</v>
      </c>
      <c r="S619" t="s">
        <v>29</v>
      </c>
      <c r="T619" t="s">
        <v>29</v>
      </c>
      <c r="U619" t="s">
        <v>29</v>
      </c>
      <c r="V619" t="s">
        <v>29</v>
      </c>
    </row>
    <row r="620" spans="1:22" x14ac:dyDescent="0.35">
      <c r="A620" s="1">
        <v>45421</v>
      </c>
      <c r="B620" t="s">
        <v>122</v>
      </c>
      <c r="C620" s="2">
        <v>0.65054398148148151</v>
      </c>
      <c r="D620" t="s">
        <v>1474</v>
      </c>
      <c r="E620" t="s">
        <v>41</v>
      </c>
      <c r="F620" t="s">
        <v>1475</v>
      </c>
      <c r="G620" t="s">
        <v>26</v>
      </c>
      <c r="H620" t="s">
        <v>489</v>
      </c>
      <c r="I620" t="s">
        <v>374</v>
      </c>
      <c r="J620">
        <v>14.1</v>
      </c>
      <c r="K620">
        <v>29</v>
      </c>
      <c r="L620" t="s">
        <v>29</v>
      </c>
      <c r="M620" t="s">
        <v>29</v>
      </c>
      <c r="N620" t="s">
        <v>29</v>
      </c>
      <c r="O620" t="s">
        <v>29</v>
      </c>
      <c r="P620" t="s">
        <v>29</v>
      </c>
      <c r="Q620" t="s">
        <v>29</v>
      </c>
      <c r="R620">
        <v>523</v>
      </c>
      <c r="S620">
        <v>15.33</v>
      </c>
      <c r="T620">
        <v>4.5</v>
      </c>
      <c r="U620">
        <v>4.5</v>
      </c>
      <c r="V620" t="s">
        <v>84</v>
      </c>
    </row>
    <row r="621" spans="1:22" x14ac:dyDescent="0.35">
      <c r="A621" s="1">
        <v>45622</v>
      </c>
      <c r="B621" t="s">
        <v>30</v>
      </c>
      <c r="C621" s="2">
        <v>0.99413194444444442</v>
      </c>
      <c r="D621" t="s">
        <v>1476</v>
      </c>
      <c r="E621" t="s">
        <v>41</v>
      </c>
      <c r="F621" t="s">
        <v>1477</v>
      </c>
      <c r="G621" t="s">
        <v>56</v>
      </c>
      <c r="H621" t="s">
        <v>87</v>
      </c>
      <c r="I621" t="s">
        <v>511</v>
      </c>
      <c r="J621">
        <v>9.6</v>
      </c>
      <c r="K621">
        <v>17.100000000000001</v>
      </c>
      <c r="L621" t="s">
        <v>29</v>
      </c>
      <c r="M621" t="s">
        <v>29</v>
      </c>
      <c r="N621" t="s">
        <v>29</v>
      </c>
      <c r="O621" t="s">
        <v>29</v>
      </c>
      <c r="P621" t="s">
        <v>29</v>
      </c>
      <c r="Q621" t="s">
        <v>29</v>
      </c>
      <c r="R621">
        <v>601</v>
      </c>
      <c r="S621">
        <v>48.96</v>
      </c>
      <c r="T621">
        <v>4.2</v>
      </c>
      <c r="U621">
        <v>4.2</v>
      </c>
      <c r="V621" t="s">
        <v>38</v>
      </c>
    </row>
    <row r="622" spans="1:22" x14ac:dyDescent="0.35">
      <c r="A622" s="1">
        <v>45359</v>
      </c>
      <c r="B622" t="s">
        <v>22</v>
      </c>
      <c r="C622" s="2">
        <v>0.87864583333333335</v>
      </c>
      <c r="D622" t="s">
        <v>1478</v>
      </c>
      <c r="E622" t="s">
        <v>32</v>
      </c>
      <c r="F622" t="s">
        <v>1479</v>
      </c>
      <c r="G622" t="s">
        <v>43</v>
      </c>
      <c r="H622" t="s">
        <v>417</v>
      </c>
      <c r="I622" t="s">
        <v>125</v>
      </c>
      <c r="J622">
        <v>3.6</v>
      </c>
      <c r="K622">
        <v>21.9</v>
      </c>
      <c r="L622" t="s">
        <v>29</v>
      </c>
      <c r="M622" t="s">
        <v>29</v>
      </c>
      <c r="N622" t="s">
        <v>29</v>
      </c>
      <c r="O622" t="s">
        <v>29</v>
      </c>
      <c r="P622">
        <v>1</v>
      </c>
      <c r="Q622" t="s">
        <v>37</v>
      </c>
      <c r="R622">
        <v>698</v>
      </c>
      <c r="S622">
        <v>5.1100000000000003</v>
      </c>
      <c r="T622" t="s">
        <v>29</v>
      </c>
      <c r="U622" t="s">
        <v>29</v>
      </c>
      <c r="V622" t="s">
        <v>46</v>
      </c>
    </row>
    <row r="623" spans="1:22" x14ac:dyDescent="0.35">
      <c r="A623" s="1">
        <v>45369</v>
      </c>
      <c r="B623" t="s">
        <v>22</v>
      </c>
      <c r="C623" s="2">
        <v>0.50859953703703709</v>
      </c>
      <c r="D623" t="s">
        <v>1480</v>
      </c>
      <c r="E623" t="s">
        <v>41</v>
      </c>
      <c r="F623" t="s">
        <v>1481</v>
      </c>
      <c r="G623" t="s">
        <v>56</v>
      </c>
      <c r="H623" t="s">
        <v>531</v>
      </c>
      <c r="I623" t="s">
        <v>803</v>
      </c>
      <c r="J623">
        <v>4.5999999999999996</v>
      </c>
      <c r="K623">
        <v>22.7</v>
      </c>
      <c r="L623" t="s">
        <v>29</v>
      </c>
      <c r="M623" t="s">
        <v>29</v>
      </c>
      <c r="N623" t="s">
        <v>29</v>
      </c>
      <c r="O623" t="s">
        <v>29</v>
      </c>
      <c r="P623" t="s">
        <v>29</v>
      </c>
      <c r="Q623" t="s">
        <v>29</v>
      </c>
      <c r="R623">
        <v>2145</v>
      </c>
      <c r="S623">
        <v>35.76</v>
      </c>
      <c r="T623">
        <v>4.3</v>
      </c>
      <c r="U623">
        <v>4.5</v>
      </c>
      <c r="V623" t="s">
        <v>46</v>
      </c>
    </row>
    <row r="624" spans="1:22" x14ac:dyDescent="0.35">
      <c r="A624" s="1">
        <v>45420</v>
      </c>
      <c r="B624" t="s">
        <v>122</v>
      </c>
      <c r="C624" s="2">
        <v>0.79370370370370369</v>
      </c>
      <c r="D624" t="s">
        <v>1482</v>
      </c>
      <c r="E624" t="s">
        <v>41</v>
      </c>
      <c r="F624" t="s">
        <v>1483</v>
      </c>
      <c r="G624" t="s">
        <v>56</v>
      </c>
      <c r="H624" t="s">
        <v>277</v>
      </c>
      <c r="I624" t="s">
        <v>106</v>
      </c>
      <c r="J624">
        <v>7.7</v>
      </c>
      <c r="K624">
        <v>44.2</v>
      </c>
      <c r="L624" t="s">
        <v>29</v>
      </c>
      <c r="M624" t="s">
        <v>29</v>
      </c>
      <c r="N624" t="s">
        <v>29</v>
      </c>
      <c r="O624" t="s">
        <v>29</v>
      </c>
      <c r="P624" t="s">
        <v>29</v>
      </c>
      <c r="Q624" t="s">
        <v>29</v>
      </c>
      <c r="R624">
        <v>313</v>
      </c>
      <c r="S624">
        <v>36.19</v>
      </c>
      <c r="T624">
        <v>4.5999999999999996</v>
      </c>
      <c r="U624">
        <v>4.3</v>
      </c>
      <c r="V624" t="s">
        <v>38</v>
      </c>
    </row>
    <row r="625" spans="1:22" x14ac:dyDescent="0.35">
      <c r="A625" s="1">
        <v>45419</v>
      </c>
      <c r="B625" t="s">
        <v>122</v>
      </c>
      <c r="C625" s="2">
        <v>0.27221064814814816</v>
      </c>
      <c r="D625" t="s">
        <v>1484</v>
      </c>
      <c r="E625" t="s">
        <v>93</v>
      </c>
      <c r="F625" t="s">
        <v>1485</v>
      </c>
      <c r="G625" t="s">
        <v>67</v>
      </c>
      <c r="H625" t="s">
        <v>245</v>
      </c>
      <c r="I625" t="s">
        <v>281</v>
      </c>
      <c r="J625">
        <v>10.9</v>
      </c>
      <c r="K625" t="s">
        <v>29</v>
      </c>
      <c r="L625" t="s">
        <v>29</v>
      </c>
      <c r="M625" t="s">
        <v>29</v>
      </c>
      <c r="N625">
        <v>1</v>
      </c>
      <c r="O625" t="s">
        <v>169</v>
      </c>
      <c r="P625" t="s">
        <v>29</v>
      </c>
      <c r="Q625" t="s">
        <v>29</v>
      </c>
      <c r="R625" t="s">
        <v>29</v>
      </c>
      <c r="S625" t="s">
        <v>29</v>
      </c>
      <c r="T625" t="s">
        <v>29</v>
      </c>
      <c r="U625" t="s">
        <v>29</v>
      </c>
      <c r="V625" t="s">
        <v>29</v>
      </c>
    </row>
    <row r="626" spans="1:22" x14ac:dyDescent="0.35">
      <c r="A626" s="1">
        <v>45533</v>
      </c>
      <c r="B626" t="s">
        <v>39</v>
      </c>
      <c r="C626" s="2">
        <v>0.35393518518518519</v>
      </c>
      <c r="D626" t="s">
        <v>1486</v>
      </c>
      <c r="E626" t="s">
        <v>41</v>
      </c>
      <c r="F626" t="s">
        <v>1487</v>
      </c>
      <c r="G626" t="s">
        <v>50</v>
      </c>
      <c r="H626" t="s">
        <v>51</v>
      </c>
      <c r="I626" t="s">
        <v>296</v>
      </c>
      <c r="J626">
        <v>12.2</v>
      </c>
      <c r="K626">
        <v>19.5</v>
      </c>
      <c r="L626" t="s">
        <v>29</v>
      </c>
      <c r="M626" t="s">
        <v>29</v>
      </c>
      <c r="N626" t="s">
        <v>29</v>
      </c>
      <c r="O626" t="s">
        <v>29</v>
      </c>
      <c r="P626" t="s">
        <v>29</v>
      </c>
      <c r="Q626" t="s">
        <v>29</v>
      </c>
      <c r="R626">
        <v>480</v>
      </c>
      <c r="S626">
        <v>18.149999999999999</v>
      </c>
      <c r="T626">
        <v>4.4000000000000004</v>
      </c>
      <c r="U626">
        <v>4.5</v>
      </c>
      <c r="V626" t="s">
        <v>38</v>
      </c>
    </row>
    <row r="627" spans="1:22" x14ac:dyDescent="0.35">
      <c r="A627" s="1">
        <v>45541</v>
      </c>
      <c r="B627" t="s">
        <v>53</v>
      </c>
      <c r="C627" s="2">
        <v>0.92950231481481482</v>
      </c>
      <c r="D627" t="s">
        <v>1488</v>
      </c>
      <c r="E627" t="s">
        <v>41</v>
      </c>
      <c r="F627" t="s">
        <v>1489</v>
      </c>
      <c r="G627" t="s">
        <v>50</v>
      </c>
      <c r="H627" t="s">
        <v>449</v>
      </c>
      <c r="I627" t="s">
        <v>245</v>
      </c>
      <c r="J627">
        <v>12.7</v>
      </c>
      <c r="K627">
        <v>23</v>
      </c>
      <c r="L627" t="s">
        <v>29</v>
      </c>
      <c r="M627" t="s">
        <v>29</v>
      </c>
      <c r="N627" t="s">
        <v>29</v>
      </c>
      <c r="O627" t="s">
        <v>29</v>
      </c>
      <c r="P627" t="s">
        <v>29</v>
      </c>
      <c r="Q627" t="s">
        <v>29</v>
      </c>
      <c r="R627">
        <v>953</v>
      </c>
      <c r="S627">
        <v>18.579999999999998</v>
      </c>
      <c r="T627">
        <v>3.8</v>
      </c>
      <c r="U627">
        <v>4.4000000000000004</v>
      </c>
      <c r="V627" t="s">
        <v>46</v>
      </c>
    </row>
    <row r="628" spans="1:22" x14ac:dyDescent="0.35">
      <c r="A628" s="1">
        <v>45631</v>
      </c>
      <c r="B628" t="s">
        <v>78</v>
      </c>
      <c r="C628" s="2">
        <v>0.35555555555555557</v>
      </c>
      <c r="D628" t="s">
        <v>1490</v>
      </c>
      <c r="E628" t="s">
        <v>117</v>
      </c>
      <c r="F628" t="s">
        <v>1491</v>
      </c>
      <c r="G628" t="s">
        <v>56</v>
      </c>
      <c r="H628" t="s">
        <v>44</v>
      </c>
      <c r="I628" t="s">
        <v>549</v>
      </c>
      <c r="J628">
        <v>13</v>
      </c>
      <c r="K628" t="s">
        <v>29</v>
      </c>
      <c r="L628">
        <v>1</v>
      </c>
      <c r="M628" t="s">
        <v>490</v>
      </c>
      <c r="N628" t="s">
        <v>29</v>
      </c>
      <c r="O628" t="s">
        <v>29</v>
      </c>
      <c r="P628" t="s">
        <v>29</v>
      </c>
      <c r="Q628" t="s">
        <v>29</v>
      </c>
      <c r="R628" t="s">
        <v>29</v>
      </c>
      <c r="S628" t="s">
        <v>29</v>
      </c>
      <c r="T628" t="s">
        <v>29</v>
      </c>
      <c r="U628" t="s">
        <v>29</v>
      </c>
      <c r="V628" t="s">
        <v>29</v>
      </c>
    </row>
    <row r="629" spans="1:22" x14ac:dyDescent="0.35">
      <c r="A629" s="1">
        <v>45372</v>
      </c>
      <c r="B629" t="s">
        <v>22</v>
      </c>
      <c r="C629" s="2">
        <v>0.87532407407407409</v>
      </c>
      <c r="D629" t="s">
        <v>1492</v>
      </c>
      <c r="E629" t="s">
        <v>41</v>
      </c>
      <c r="F629" t="s">
        <v>1493</v>
      </c>
      <c r="G629" t="s">
        <v>34</v>
      </c>
      <c r="H629" t="s">
        <v>51</v>
      </c>
      <c r="I629" t="s">
        <v>613</v>
      </c>
      <c r="J629">
        <v>11.9</v>
      </c>
      <c r="K629">
        <v>18.899999999999999</v>
      </c>
      <c r="L629" t="s">
        <v>29</v>
      </c>
      <c r="M629" t="s">
        <v>29</v>
      </c>
      <c r="N629" t="s">
        <v>29</v>
      </c>
      <c r="O629" t="s">
        <v>29</v>
      </c>
      <c r="P629" t="s">
        <v>29</v>
      </c>
      <c r="Q629" t="s">
        <v>29</v>
      </c>
      <c r="R629">
        <v>440</v>
      </c>
      <c r="S629">
        <v>43.05</v>
      </c>
      <c r="T629">
        <v>3.7</v>
      </c>
      <c r="U629">
        <v>4.8</v>
      </c>
      <c r="V629" t="s">
        <v>84</v>
      </c>
    </row>
    <row r="630" spans="1:22" x14ac:dyDescent="0.35">
      <c r="A630" s="1">
        <v>45469</v>
      </c>
      <c r="B630" t="s">
        <v>64</v>
      </c>
      <c r="C630" s="2">
        <v>0.83275462962962965</v>
      </c>
      <c r="D630" t="s">
        <v>1494</v>
      </c>
      <c r="E630" t="s">
        <v>41</v>
      </c>
      <c r="F630" t="s">
        <v>1495</v>
      </c>
      <c r="G630" t="s">
        <v>43</v>
      </c>
      <c r="H630" t="s">
        <v>511</v>
      </c>
      <c r="I630" t="s">
        <v>153</v>
      </c>
      <c r="J630">
        <v>14.9</v>
      </c>
      <c r="K630">
        <v>24.8</v>
      </c>
      <c r="L630" t="s">
        <v>29</v>
      </c>
      <c r="M630" t="s">
        <v>29</v>
      </c>
      <c r="N630" t="s">
        <v>29</v>
      </c>
      <c r="O630" t="s">
        <v>29</v>
      </c>
      <c r="P630" t="s">
        <v>29</v>
      </c>
      <c r="Q630" t="s">
        <v>29</v>
      </c>
      <c r="R630">
        <v>62</v>
      </c>
      <c r="S630">
        <v>42.69</v>
      </c>
      <c r="T630">
        <v>3.8</v>
      </c>
      <c r="U630">
        <v>4.3</v>
      </c>
      <c r="V630" t="s">
        <v>84</v>
      </c>
    </row>
    <row r="631" spans="1:22" x14ac:dyDescent="0.35">
      <c r="A631" s="1">
        <v>45621</v>
      </c>
      <c r="B631" t="s">
        <v>30</v>
      </c>
      <c r="C631" s="2">
        <v>0.5544675925925926</v>
      </c>
      <c r="D631" t="s">
        <v>1496</v>
      </c>
      <c r="E631" t="s">
        <v>93</v>
      </c>
      <c r="F631" t="s">
        <v>1497</v>
      </c>
      <c r="G631" t="s">
        <v>43</v>
      </c>
      <c r="H631" t="s">
        <v>126</v>
      </c>
      <c r="I631" t="s">
        <v>293</v>
      </c>
      <c r="J631">
        <v>6.3</v>
      </c>
      <c r="K631" t="s">
        <v>29</v>
      </c>
      <c r="L631" t="s">
        <v>29</v>
      </c>
      <c r="M631" t="s">
        <v>29</v>
      </c>
      <c r="N631">
        <v>1</v>
      </c>
      <c r="O631" t="s">
        <v>97</v>
      </c>
      <c r="P631" t="s">
        <v>29</v>
      </c>
      <c r="Q631" t="s">
        <v>29</v>
      </c>
      <c r="R631" t="s">
        <v>29</v>
      </c>
      <c r="S631" t="s">
        <v>29</v>
      </c>
      <c r="T631" t="s">
        <v>29</v>
      </c>
      <c r="U631" t="s">
        <v>29</v>
      </c>
      <c r="V631" t="s">
        <v>29</v>
      </c>
    </row>
    <row r="632" spans="1:22" x14ac:dyDescent="0.35">
      <c r="A632" s="1">
        <v>45370</v>
      </c>
      <c r="B632" t="s">
        <v>22</v>
      </c>
      <c r="C632" s="2">
        <v>0.53421296296296295</v>
      </c>
      <c r="D632" t="s">
        <v>1498</v>
      </c>
      <c r="E632" t="s">
        <v>41</v>
      </c>
      <c r="F632" t="s">
        <v>1499</v>
      </c>
      <c r="G632" t="s">
        <v>43</v>
      </c>
      <c r="H632" t="s">
        <v>489</v>
      </c>
      <c r="I632" t="s">
        <v>81</v>
      </c>
      <c r="J632">
        <v>8.6</v>
      </c>
      <c r="K632">
        <v>29.3</v>
      </c>
      <c r="L632" t="s">
        <v>29</v>
      </c>
      <c r="M632" t="s">
        <v>29</v>
      </c>
      <c r="N632" t="s">
        <v>29</v>
      </c>
      <c r="O632" t="s">
        <v>29</v>
      </c>
      <c r="P632" t="s">
        <v>29</v>
      </c>
      <c r="Q632" t="s">
        <v>29</v>
      </c>
      <c r="R632">
        <v>244</v>
      </c>
      <c r="S632">
        <v>48.98</v>
      </c>
      <c r="T632">
        <v>4.0999999999999996</v>
      </c>
      <c r="U632">
        <v>3.9</v>
      </c>
      <c r="V632" t="s">
        <v>38</v>
      </c>
    </row>
    <row r="633" spans="1:22" x14ac:dyDescent="0.35">
      <c r="A633" s="1">
        <v>45450</v>
      </c>
      <c r="B633" t="s">
        <v>64</v>
      </c>
      <c r="C633" s="2">
        <v>0.36664351851851851</v>
      </c>
      <c r="D633" t="s">
        <v>1500</v>
      </c>
      <c r="E633" t="s">
        <v>41</v>
      </c>
      <c r="F633" t="s">
        <v>1501</v>
      </c>
      <c r="G633" t="s">
        <v>26</v>
      </c>
      <c r="H633" t="s">
        <v>881</v>
      </c>
      <c r="I633" t="s">
        <v>653</v>
      </c>
      <c r="J633">
        <v>7.1</v>
      </c>
      <c r="K633">
        <v>36.799999999999997</v>
      </c>
      <c r="L633" t="s">
        <v>29</v>
      </c>
      <c r="M633" t="s">
        <v>29</v>
      </c>
      <c r="N633" t="s">
        <v>29</v>
      </c>
      <c r="O633" t="s">
        <v>29</v>
      </c>
      <c r="P633" t="s">
        <v>29</v>
      </c>
      <c r="Q633" t="s">
        <v>29</v>
      </c>
      <c r="R633">
        <v>375</v>
      </c>
      <c r="S633">
        <v>37.9</v>
      </c>
      <c r="T633">
        <v>4.3</v>
      </c>
      <c r="U633">
        <v>4.5999999999999996</v>
      </c>
      <c r="V633" t="s">
        <v>84</v>
      </c>
    </row>
    <row r="634" spans="1:22" x14ac:dyDescent="0.35">
      <c r="A634" s="1">
        <v>45357</v>
      </c>
      <c r="B634" t="s">
        <v>22</v>
      </c>
      <c r="C634" s="2">
        <v>0.95203703703703701</v>
      </c>
      <c r="D634" t="s">
        <v>1502</v>
      </c>
      <c r="E634" t="s">
        <v>41</v>
      </c>
      <c r="F634" t="s">
        <v>1503</v>
      </c>
      <c r="G634" t="s">
        <v>67</v>
      </c>
      <c r="H634" t="s">
        <v>797</v>
      </c>
      <c r="I634" t="s">
        <v>369</v>
      </c>
      <c r="J634">
        <v>4.3</v>
      </c>
      <c r="K634">
        <v>17.7</v>
      </c>
      <c r="L634" t="s">
        <v>29</v>
      </c>
      <c r="M634" t="s">
        <v>29</v>
      </c>
      <c r="N634" t="s">
        <v>29</v>
      </c>
      <c r="O634" t="s">
        <v>29</v>
      </c>
      <c r="P634" t="s">
        <v>29</v>
      </c>
      <c r="Q634" t="s">
        <v>29</v>
      </c>
      <c r="R634">
        <v>499</v>
      </c>
      <c r="S634">
        <v>49.3</v>
      </c>
      <c r="T634">
        <v>3.4</v>
      </c>
      <c r="U634">
        <v>4.9000000000000004</v>
      </c>
      <c r="V634" t="s">
        <v>38</v>
      </c>
    </row>
    <row r="635" spans="1:22" x14ac:dyDescent="0.35">
      <c r="A635" s="1">
        <v>45319</v>
      </c>
      <c r="B635" t="s">
        <v>150</v>
      </c>
      <c r="C635" s="2">
        <v>0.63568287037037041</v>
      </c>
      <c r="D635" t="s">
        <v>1504</v>
      </c>
      <c r="E635" t="s">
        <v>117</v>
      </c>
      <c r="F635" t="s">
        <v>1505</v>
      </c>
      <c r="G635" t="s">
        <v>67</v>
      </c>
      <c r="H635" t="s">
        <v>239</v>
      </c>
      <c r="I635" t="s">
        <v>739</v>
      </c>
      <c r="J635">
        <v>7.7</v>
      </c>
      <c r="K635" t="s">
        <v>29</v>
      </c>
      <c r="L635">
        <v>1</v>
      </c>
      <c r="M635" t="s">
        <v>490</v>
      </c>
      <c r="N635" t="s">
        <v>29</v>
      </c>
      <c r="O635" t="s">
        <v>29</v>
      </c>
      <c r="P635" t="s">
        <v>29</v>
      </c>
      <c r="Q635" t="s">
        <v>29</v>
      </c>
      <c r="R635" t="s">
        <v>29</v>
      </c>
      <c r="S635" t="s">
        <v>29</v>
      </c>
      <c r="T635" t="s">
        <v>29</v>
      </c>
      <c r="U635" t="s">
        <v>29</v>
      </c>
      <c r="V635" t="s">
        <v>29</v>
      </c>
    </row>
    <row r="636" spans="1:22" x14ac:dyDescent="0.35">
      <c r="A636" s="1">
        <v>45469</v>
      </c>
      <c r="B636" t="s">
        <v>64</v>
      </c>
      <c r="C636" s="2">
        <v>0.29759259259259258</v>
      </c>
      <c r="D636" t="s">
        <v>1506</v>
      </c>
      <c r="E636" t="s">
        <v>41</v>
      </c>
      <c r="F636" t="s">
        <v>1507</v>
      </c>
      <c r="G636" t="s">
        <v>50</v>
      </c>
      <c r="H636" t="s">
        <v>293</v>
      </c>
      <c r="I636" t="s">
        <v>474</v>
      </c>
      <c r="J636">
        <v>8.8000000000000007</v>
      </c>
      <c r="K636">
        <v>15.9</v>
      </c>
      <c r="L636" t="s">
        <v>29</v>
      </c>
      <c r="M636" t="s">
        <v>29</v>
      </c>
      <c r="N636" t="s">
        <v>29</v>
      </c>
      <c r="O636" t="s">
        <v>29</v>
      </c>
      <c r="P636" t="s">
        <v>29</v>
      </c>
      <c r="Q636" t="s">
        <v>29</v>
      </c>
      <c r="R636">
        <v>296</v>
      </c>
      <c r="S636">
        <v>18.489999999999998</v>
      </c>
      <c r="T636">
        <v>4.3</v>
      </c>
      <c r="U636">
        <v>4.9000000000000004</v>
      </c>
      <c r="V636" t="s">
        <v>38</v>
      </c>
    </row>
    <row r="637" spans="1:22" x14ac:dyDescent="0.35">
      <c r="A637" s="1">
        <v>45564</v>
      </c>
      <c r="B637" t="s">
        <v>53</v>
      </c>
      <c r="C637" s="2">
        <v>0.71869212962962958</v>
      </c>
      <c r="D637" t="s">
        <v>1508</v>
      </c>
      <c r="E637" t="s">
        <v>117</v>
      </c>
      <c r="F637" t="s">
        <v>1509</v>
      </c>
      <c r="G637" t="s">
        <v>50</v>
      </c>
      <c r="H637" t="s">
        <v>168</v>
      </c>
      <c r="I637" t="s">
        <v>211</v>
      </c>
      <c r="J637">
        <v>20</v>
      </c>
      <c r="K637" t="s">
        <v>29</v>
      </c>
      <c r="L637">
        <v>1</v>
      </c>
      <c r="M637" t="s">
        <v>420</v>
      </c>
      <c r="N637" t="s">
        <v>29</v>
      </c>
      <c r="O637" t="s">
        <v>29</v>
      </c>
      <c r="P637" t="s">
        <v>29</v>
      </c>
      <c r="Q637" t="s">
        <v>29</v>
      </c>
      <c r="R637" t="s">
        <v>29</v>
      </c>
      <c r="S637" t="s">
        <v>29</v>
      </c>
      <c r="T637" t="s">
        <v>29</v>
      </c>
      <c r="U637" t="s">
        <v>29</v>
      </c>
      <c r="V637" t="s">
        <v>29</v>
      </c>
    </row>
    <row r="638" spans="1:22" x14ac:dyDescent="0.35">
      <c r="A638" s="1">
        <v>45470</v>
      </c>
      <c r="B638" t="s">
        <v>64</v>
      </c>
      <c r="C638" s="2">
        <v>0.34184027777777776</v>
      </c>
      <c r="D638" t="s">
        <v>1510</v>
      </c>
      <c r="E638" t="s">
        <v>41</v>
      </c>
      <c r="F638" t="s">
        <v>1511</v>
      </c>
      <c r="G638" t="s">
        <v>43</v>
      </c>
      <c r="H638" t="s">
        <v>441</v>
      </c>
      <c r="I638" t="s">
        <v>560</v>
      </c>
      <c r="J638">
        <v>3.9</v>
      </c>
      <c r="K638">
        <v>19.899999999999999</v>
      </c>
      <c r="L638" t="s">
        <v>29</v>
      </c>
      <c r="M638" t="s">
        <v>29</v>
      </c>
      <c r="N638" t="s">
        <v>29</v>
      </c>
      <c r="O638" t="s">
        <v>29</v>
      </c>
      <c r="P638" t="s">
        <v>29</v>
      </c>
      <c r="Q638" t="s">
        <v>29</v>
      </c>
      <c r="R638">
        <v>167</v>
      </c>
      <c r="S638">
        <v>33.22</v>
      </c>
      <c r="T638">
        <v>3.1</v>
      </c>
      <c r="U638">
        <v>3.6</v>
      </c>
      <c r="V638" t="s">
        <v>149</v>
      </c>
    </row>
    <row r="639" spans="1:22" x14ac:dyDescent="0.35">
      <c r="A639" s="1">
        <v>45473</v>
      </c>
      <c r="B639" t="s">
        <v>64</v>
      </c>
      <c r="C639" s="2">
        <v>0.59280092592592593</v>
      </c>
      <c r="D639" t="s">
        <v>1512</v>
      </c>
      <c r="E639" t="s">
        <v>93</v>
      </c>
      <c r="F639" t="s">
        <v>1513</v>
      </c>
      <c r="G639" t="s">
        <v>43</v>
      </c>
      <c r="H639" t="s">
        <v>486</v>
      </c>
      <c r="I639" t="s">
        <v>340</v>
      </c>
      <c r="J639">
        <v>10.4</v>
      </c>
      <c r="K639" t="s">
        <v>29</v>
      </c>
      <c r="L639" t="s">
        <v>29</v>
      </c>
      <c r="M639" t="s">
        <v>29</v>
      </c>
      <c r="N639">
        <v>1</v>
      </c>
      <c r="O639" t="s">
        <v>97</v>
      </c>
      <c r="P639" t="s">
        <v>29</v>
      </c>
      <c r="Q639" t="s">
        <v>29</v>
      </c>
      <c r="R639" t="s">
        <v>29</v>
      </c>
      <c r="S639" t="s">
        <v>29</v>
      </c>
      <c r="T639" t="s">
        <v>29</v>
      </c>
      <c r="U639" t="s">
        <v>29</v>
      </c>
      <c r="V639" t="s">
        <v>29</v>
      </c>
    </row>
    <row r="640" spans="1:22" x14ac:dyDescent="0.35">
      <c r="A640" s="1">
        <v>45481</v>
      </c>
      <c r="B640" t="s">
        <v>108</v>
      </c>
      <c r="C640" s="2">
        <v>0.96120370370370367</v>
      </c>
      <c r="D640" t="s">
        <v>1514</v>
      </c>
      <c r="E640" t="s">
        <v>93</v>
      </c>
      <c r="F640" t="s">
        <v>1515</v>
      </c>
      <c r="G640" t="s">
        <v>43</v>
      </c>
      <c r="H640" t="s">
        <v>627</v>
      </c>
      <c r="I640" t="s">
        <v>819</v>
      </c>
      <c r="J640">
        <v>6.9</v>
      </c>
      <c r="K640" t="s">
        <v>29</v>
      </c>
      <c r="L640" t="s">
        <v>29</v>
      </c>
      <c r="M640" t="s">
        <v>29</v>
      </c>
      <c r="N640">
        <v>1</v>
      </c>
      <c r="O640" t="s">
        <v>97</v>
      </c>
      <c r="P640" t="s">
        <v>29</v>
      </c>
      <c r="Q640" t="s">
        <v>29</v>
      </c>
      <c r="R640" t="s">
        <v>29</v>
      </c>
      <c r="S640" t="s">
        <v>29</v>
      </c>
      <c r="T640" t="s">
        <v>29</v>
      </c>
      <c r="U640" t="s">
        <v>29</v>
      </c>
      <c r="V640" t="s">
        <v>29</v>
      </c>
    </row>
    <row r="641" spans="1:22" x14ac:dyDescent="0.35">
      <c r="A641" s="1">
        <v>45596</v>
      </c>
      <c r="B641" t="s">
        <v>47</v>
      </c>
      <c r="C641" s="2">
        <v>0.7510648148148148</v>
      </c>
      <c r="D641" t="s">
        <v>1516</v>
      </c>
      <c r="E641" t="s">
        <v>93</v>
      </c>
      <c r="F641" t="s">
        <v>1517</v>
      </c>
      <c r="G641" t="s">
        <v>146</v>
      </c>
      <c r="H641" t="s">
        <v>374</v>
      </c>
      <c r="I641" t="s">
        <v>153</v>
      </c>
      <c r="J641">
        <v>11.6</v>
      </c>
      <c r="K641" t="s">
        <v>29</v>
      </c>
      <c r="L641" t="s">
        <v>29</v>
      </c>
      <c r="M641" t="s">
        <v>29</v>
      </c>
      <c r="N641">
        <v>1</v>
      </c>
      <c r="O641" t="s">
        <v>169</v>
      </c>
      <c r="P641" t="s">
        <v>29</v>
      </c>
      <c r="Q641" t="s">
        <v>29</v>
      </c>
      <c r="R641" t="s">
        <v>29</v>
      </c>
      <c r="S641" t="s">
        <v>29</v>
      </c>
      <c r="T641" t="s">
        <v>29</v>
      </c>
      <c r="U641" t="s">
        <v>29</v>
      </c>
      <c r="V641" t="s">
        <v>29</v>
      </c>
    </row>
    <row r="642" spans="1:22" x14ac:dyDescent="0.35">
      <c r="A642" s="1">
        <v>45305</v>
      </c>
      <c r="B642" t="s">
        <v>150</v>
      </c>
      <c r="C642" s="2">
        <v>0.45096064814814812</v>
      </c>
      <c r="D642" t="s">
        <v>1518</v>
      </c>
      <c r="E642" t="s">
        <v>41</v>
      </c>
      <c r="F642" t="s">
        <v>1519</v>
      </c>
      <c r="G642" t="s">
        <v>43</v>
      </c>
      <c r="H642" t="s">
        <v>227</v>
      </c>
      <c r="I642" t="s">
        <v>126</v>
      </c>
      <c r="J642">
        <v>13.7</v>
      </c>
      <c r="K642">
        <v>19.7</v>
      </c>
      <c r="L642" t="s">
        <v>29</v>
      </c>
      <c r="M642" t="s">
        <v>29</v>
      </c>
      <c r="N642" t="s">
        <v>29</v>
      </c>
      <c r="O642" t="s">
        <v>29</v>
      </c>
      <c r="P642" t="s">
        <v>29</v>
      </c>
      <c r="Q642" t="s">
        <v>29</v>
      </c>
      <c r="R642">
        <v>824</v>
      </c>
      <c r="S642">
        <v>2.38</v>
      </c>
      <c r="T642">
        <v>4</v>
      </c>
      <c r="U642">
        <v>4.7</v>
      </c>
      <c r="V642" t="s">
        <v>38</v>
      </c>
    </row>
    <row r="643" spans="1:22" x14ac:dyDescent="0.35">
      <c r="A643" s="1">
        <v>45417</v>
      </c>
      <c r="B643" t="s">
        <v>122</v>
      </c>
      <c r="C643" s="2">
        <v>0.4919675925925926</v>
      </c>
      <c r="D643" t="s">
        <v>1520</v>
      </c>
      <c r="E643" t="s">
        <v>41</v>
      </c>
      <c r="F643" t="s">
        <v>1521</v>
      </c>
      <c r="G643" t="s">
        <v>43</v>
      </c>
      <c r="H643" t="s">
        <v>332</v>
      </c>
      <c r="I643" t="s">
        <v>193</v>
      </c>
      <c r="J643">
        <v>4.9000000000000004</v>
      </c>
      <c r="K643">
        <v>37.1</v>
      </c>
      <c r="L643" t="s">
        <v>29</v>
      </c>
      <c r="M643" t="s">
        <v>29</v>
      </c>
      <c r="N643" t="s">
        <v>29</v>
      </c>
      <c r="O643" t="s">
        <v>29</v>
      </c>
      <c r="P643" t="s">
        <v>29</v>
      </c>
      <c r="Q643" t="s">
        <v>29</v>
      </c>
      <c r="R643">
        <v>407</v>
      </c>
      <c r="S643">
        <v>34.200000000000003</v>
      </c>
      <c r="T643">
        <v>4.7</v>
      </c>
      <c r="U643">
        <v>4.4000000000000004</v>
      </c>
      <c r="V643" t="s">
        <v>84</v>
      </c>
    </row>
    <row r="644" spans="1:22" x14ac:dyDescent="0.35">
      <c r="A644" s="1">
        <v>45366</v>
      </c>
      <c r="B644" t="s">
        <v>22</v>
      </c>
      <c r="C644" s="2">
        <v>0.21862268518518518</v>
      </c>
      <c r="D644" t="s">
        <v>1522</v>
      </c>
      <c r="E644" t="s">
        <v>41</v>
      </c>
      <c r="F644" t="s">
        <v>1523</v>
      </c>
      <c r="G644" t="s">
        <v>34</v>
      </c>
      <c r="H644" t="s">
        <v>245</v>
      </c>
      <c r="I644" t="s">
        <v>552</v>
      </c>
      <c r="J644">
        <v>7.6</v>
      </c>
      <c r="K644">
        <v>19.8</v>
      </c>
      <c r="L644" t="s">
        <v>29</v>
      </c>
      <c r="M644" t="s">
        <v>29</v>
      </c>
      <c r="N644" t="s">
        <v>29</v>
      </c>
      <c r="O644" t="s">
        <v>29</v>
      </c>
      <c r="P644" t="s">
        <v>29</v>
      </c>
      <c r="Q644" t="s">
        <v>29</v>
      </c>
      <c r="R644">
        <v>752</v>
      </c>
      <c r="S644">
        <v>3.59</v>
      </c>
      <c r="T644">
        <v>3.1</v>
      </c>
      <c r="U644">
        <v>4.2</v>
      </c>
      <c r="V644" t="s">
        <v>107</v>
      </c>
    </row>
    <row r="645" spans="1:22" x14ac:dyDescent="0.35">
      <c r="A645" s="1">
        <v>45624</v>
      </c>
      <c r="B645" t="s">
        <v>30</v>
      </c>
      <c r="C645" s="2">
        <v>0.80082175925925925</v>
      </c>
      <c r="D645" t="s">
        <v>1524</v>
      </c>
      <c r="E645" t="s">
        <v>41</v>
      </c>
      <c r="F645" t="s">
        <v>1525</v>
      </c>
      <c r="G645" t="s">
        <v>34</v>
      </c>
      <c r="H645" t="s">
        <v>374</v>
      </c>
      <c r="I645" t="s">
        <v>214</v>
      </c>
      <c r="J645">
        <v>9.6999999999999993</v>
      </c>
      <c r="K645">
        <v>41.9</v>
      </c>
      <c r="L645" t="s">
        <v>29</v>
      </c>
      <c r="M645" t="s">
        <v>29</v>
      </c>
      <c r="N645" t="s">
        <v>29</v>
      </c>
      <c r="O645" t="s">
        <v>29</v>
      </c>
      <c r="P645" t="s">
        <v>29</v>
      </c>
      <c r="Q645" t="s">
        <v>29</v>
      </c>
      <c r="R645">
        <v>354</v>
      </c>
      <c r="S645">
        <v>30.56</v>
      </c>
      <c r="T645">
        <v>4.5</v>
      </c>
      <c r="U645">
        <v>4.5999999999999996</v>
      </c>
      <c r="V645" t="s">
        <v>38</v>
      </c>
    </row>
    <row r="646" spans="1:22" x14ac:dyDescent="0.35">
      <c r="A646" s="1">
        <v>45482</v>
      </c>
      <c r="B646" t="s">
        <v>108</v>
      </c>
      <c r="C646" s="2">
        <v>0.74319444444444449</v>
      </c>
      <c r="D646" t="s">
        <v>1526</v>
      </c>
      <c r="E646" t="s">
        <v>41</v>
      </c>
      <c r="F646" t="s">
        <v>1527</v>
      </c>
      <c r="G646" t="s">
        <v>34</v>
      </c>
      <c r="H646" t="s">
        <v>386</v>
      </c>
      <c r="I646" t="s">
        <v>744</v>
      </c>
      <c r="J646">
        <v>14.3</v>
      </c>
      <c r="K646">
        <v>24.4</v>
      </c>
      <c r="L646" t="s">
        <v>29</v>
      </c>
      <c r="M646" t="s">
        <v>29</v>
      </c>
      <c r="N646" t="s">
        <v>29</v>
      </c>
      <c r="O646" t="s">
        <v>29</v>
      </c>
      <c r="P646" t="s">
        <v>29</v>
      </c>
      <c r="Q646" t="s">
        <v>29</v>
      </c>
      <c r="R646">
        <v>164</v>
      </c>
      <c r="S646">
        <v>13.69</v>
      </c>
      <c r="T646">
        <v>3.6</v>
      </c>
      <c r="U646">
        <v>4.9000000000000004</v>
      </c>
      <c r="V646" t="s">
        <v>38</v>
      </c>
    </row>
    <row r="647" spans="1:22" x14ac:dyDescent="0.35">
      <c r="A647" s="1">
        <v>45317</v>
      </c>
      <c r="B647" t="s">
        <v>150</v>
      </c>
      <c r="C647" s="2">
        <v>0.35642361111111109</v>
      </c>
      <c r="D647" t="s">
        <v>1528</v>
      </c>
      <c r="E647" t="s">
        <v>41</v>
      </c>
      <c r="F647" t="s">
        <v>1529</v>
      </c>
      <c r="G647" t="s">
        <v>56</v>
      </c>
      <c r="H647" t="s">
        <v>96</v>
      </c>
      <c r="I647" t="s">
        <v>129</v>
      </c>
      <c r="J647">
        <v>11.5</v>
      </c>
      <c r="K647">
        <v>16.600000000000001</v>
      </c>
      <c r="L647" t="s">
        <v>29</v>
      </c>
      <c r="M647" t="s">
        <v>29</v>
      </c>
      <c r="N647" t="s">
        <v>29</v>
      </c>
      <c r="O647" t="s">
        <v>29</v>
      </c>
      <c r="P647" t="s">
        <v>29</v>
      </c>
      <c r="Q647" t="s">
        <v>29</v>
      </c>
      <c r="R647">
        <v>392</v>
      </c>
      <c r="S647">
        <v>45.56</v>
      </c>
      <c r="T647">
        <v>4.0999999999999996</v>
      </c>
      <c r="U647">
        <v>4.5999999999999996</v>
      </c>
      <c r="V647" t="s">
        <v>38</v>
      </c>
    </row>
    <row r="648" spans="1:22" x14ac:dyDescent="0.35">
      <c r="A648" s="1">
        <v>45535</v>
      </c>
      <c r="B648" t="s">
        <v>39</v>
      </c>
      <c r="C648" s="2">
        <v>0.38427083333333334</v>
      </c>
      <c r="D648" t="s">
        <v>1530</v>
      </c>
      <c r="E648" t="s">
        <v>93</v>
      </c>
      <c r="F648" t="s">
        <v>1531</v>
      </c>
      <c r="G648" t="s">
        <v>67</v>
      </c>
      <c r="H648" t="s">
        <v>366</v>
      </c>
      <c r="I648" t="s">
        <v>72</v>
      </c>
      <c r="J648">
        <v>7.9</v>
      </c>
      <c r="K648" t="s">
        <v>29</v>
      </c>
      <c r="L648" t="s">
        <v>29</v>
      </c>
      <c r="M648" t="s">
        <v>29</v>
      </c>
      <c r="N648">
        <v>1</v>
      </c>
      <c r="O648" t="s">
        <v>169</v>
      </c>
      <c r="P648" t="s">
        <v>29</v>
      </c>
      <c r="Q648" t="s">
        <v>29</v>
      </c>
      <c r="R648" t="s">
        <v>29</v>
      </c>
      <c r="S648" t="s">
        <v>29</v>
      </c>
      <c r="T648" t="s">
        <v>29</v>
      </c>
      <c r="U648" t="s">
        <v>29</v>
      </c>
      <c r="V648" t="s">
        <v>29</v>
      </c>
    </row>
    <row r="649" spans="1:22" x14ac:dyDescent="0.35">
      <c r="A649" s="1">
        <v>45298</v>
      </c>
      <c r="B649" t="s">
        <v>150</v>
      </c>
      <c r="C649" s="2">
        <v>0.56986111111111115</v>
      </c>
      <c r="D649" t="s">
        <v>1532</v>
      </c>
      <c r="E649" t="s">
        <v>41</v>
      </c>
      <c r="F649" t="s">
        <v>1533</v>
      </c>
      <c r="G649" t="s">
        <v>56</v>
      </c>
      <c r="H649" t="s">
        <v>238</v>
      </c>
      <c r="I649" t="s">
        <v>636</v>
      </c>
      <c r="J649">
        <v>9.3000000000000007</v>
      </c>
      <c r="K649">
        <v>28.7</v>
      </c>
      <c r="L649" t="s">
        <v>29</v>
      </c>
      <c r="M649" t="s">
        <v>29</v>
      </c>
      <c r="N649" t="s">
        <v>29</v>
      </c>
      <c r="O649" t="s">
        <v>29</v>
      </c>
      <c r="P649" t="s">
        <v>29</v>
      </c>
      <c r="Q649" t="s">
        <v>29</v>
      </c>
      <c r="R649">
        <v>389</v>
      </c>
      <c r="S649">
        <v>42.16</v>
      </c>
      <c r="T649">
        <v>4.5</v>
      </c>
      <c r="U649">
        <v>4.3</v>
      </c>
      <c r="V649" t="s">
        <v>149</v>
      </c>
    </row>
    <row r="650" spans="1:22" x14ac:dyDescent="0.35">
      <c r="A650" s="1">
        <v>45463</v>
      </c>
      <c r="B650" t="s">
        <v>64</v>
      </c>
      <c r="C650" s="2">
        <v>0.8089467592592593</v>
      </c>
      <c r="D650" t="s">
        <v>1534</v>
      </c>
      <c r="E650" t="s">
        <v>41</v>
      </c>
      <c r="F650" t="s">
        <v>1535</v>
      </c>
      <c r="G650" t="s">
        <v>43</v>
      </c>
      <c r="H650" t="s">
        <v>565</v>
      </c>
      <c r="I650" t="s">
        <v>489</v>
      </c>
      <c r="J650">
        <v>5.4</v>
      </c>
      <c r="K650">
        <v>33.1</v>
      </c>
      <c r="L650" t="s">
        <v>29</v>
      </c>
      <c r="M650" t="s">
        <v>29</v>
      </c>
      <c r="N650" t="s">
        <v>29</v>
      </c>
      <c r="O650" t="s">
        <v>29</v>
      </c>
      <c r="P650" t="s">
        <v>29</v>
      </c>
      <c r="Q650" t="s">
        <v>29</v>
      </c>
      <c r="R650">
        <v>474</v>
      </c>
      <c r="S650">
        <v>38.28</v>
      </c>
      <c r="T650">
        <v>4.5999999999999996</v>
      </c>
      <c r="U650">
        <v>3.5</v>
      </c>
      <c r="V650" t="s">
        <v>38</v>
      </c>
    </row>
    <row r="651" spans="1:22" x14ac:dyDescent="0.35">
      <c r="A651" s="1">
        <v>45318</v>
      </c>
      <c r="B651" t="s">
        <v>150</v>
      </c>
      <c r="C651" s="2">
        <v>0.65807870370370369</v>
      </c>
      <c r="D651" t="s">
        <v>1536</v>
      </c>
      <c r="E651" t="s">
        <v>93</v>
      </c>
      <c r="F651" t="s">
        <v>1537</v>
      </c>
      <c r="G651" t="s">
        <v>43</v>
      </c>
      <c r="H651" t="s">
        <v>555</v>
      </c>
      <c r="I651" t="s">
        <v>51</v>
      </c>
      <c r="J651">
        <v>11.9</v>
      </c>
      <c r="K651" t="s">
        <v>29</v>
      </c>
      <c r="L651" t="s">
        <v>29</v>
      </c>
      <c r="M651" t="s">
        <v>29</v>
      </c>
      <c r="N651">
        <v>1</v>
      </c>
      <c r="O651" t="s">
        <v>169</v>
      </c>
      <c r="P651" t="s">
        <v>29</v>
      </c>
      <c r="Q651" t="s">
        <v>29</v>
      </c>
      <c r="R651" t="s">
        <v>29</v>
      </c>
      <c r="S651" t="s">
        <v>29</v>
      </c>
      <c r="T651" t="s">
        <v>29</v>
      </c>
      <c r="U651" t="s">
        <v>29</v>
      </c>
      <c r="V651" t="s">
        <v>29</v>
      </c>
    </row>
    <row r="652" spans="1:22" x14ac:dyDescent="0.35">
      <c r="A652" s="1">
        <v>45656</v>
      </c>
      <c r="B652" t="s">
        <v>78</v>
      </c>
      <c r="C652" s="2">
        <v>0.42216435185185186</v>
      </c>
      <c r="D652" t="s">
        <v>1538</v>
      </c>
      <c r="E652" t="s">
        <v>41</v>
      </c>
      <c r="F652" t="s">
        <v>1539</v>
      </c>
      <c r="G652" t="s">
        <v>56</v>
      </c>
      <c r="H652" t="s">
        <v>189</v>
      </c>
      <c r="I652" t="s">
        <v>137</v>
      </c>
      <c r="J652">
        <v>7.8</v>
      </c>
      <c r="K652">
        <v>43.2</v>
      </c>
      <c r="L652" t="s">
        <v>29</v>
      </c>
      <c r="M652" t="s">
        <v>29</v>
      </c>
      <c r="N652" t="s">
        <v>29</v>
      </c>
      <c r="O652" t="s">
        <v>29</v>
      </c>
      <c r="P652" t="s">
        <v>29</v>
      </c>
      <c r="Q652" t="s">
        <v>29</v>
      </c>
      <c r="R652">
        <v>199</v>
      </c>
      <c r="S652">
        <v>31.51</v>
      </c>
      <c r="T652">
        <v>4.7</v>
      </c>
      <c r="U652">
        <v>5</v>
      </c>
      <c r="V652" t="s">
        <v>38</v>
      </c>
    </row>
    <row r="653" spans="1:22" x14ac:dyDescent="0.35">
      <c r="A653" s="1">
        <v>45478</v>
      </c>
      <c r="B653" t="s">
        <v>108</v>
      </c>
      <c r="C653" s="2">
        <v>0.69395833333333334</v>
      </c>
      <c r="D653" t="s">
        <v>1540</v>
      </c>
      <c r="E653" t="s">
        <v>24</v>
      </c>
      <c r="F653" t="s">
        <v>1541</v>
      </c>
      <c r="G653" t="s">
        <v>43</v>
      </c>
      <c r="H653" t="s">
        <v>119</v>
      </c>
      <c r="I653" t="s">
        <v>210</v>
      </c>
      <c r="J653" t="s">
        <v>29</v>
      </c>
      <c r="K653" t="s">
        <v>29</v>
      </c>
      <c r="L653" t="s">
        <v>29</v>
      </c>
      <c r="M653" t="s">
        <v>29</v>
      </c>
      <c r="N653" t="s">
        <v>29</v>
      </c>
      <c r="O653" t="s">
        <v>29</v>
      </c>
      <c r="P653" t="s">
        <v>29</v>
      </c>
      <c r="Q653" t="s">
        <v>29</v>
      </c>
      <c r="R653" t="s">
        <v>29</v>
      </c>
      <c r="S653" t="s">
        <v>29</v>
      </c>
      <c r="T653" t="s">
        <v>29</v>
      </c>
      <c r="U653" t="s">
        <v>29</v>
      </c>
      <c r="V653" t="s">
        <v>29</v>
      </c>
    </row>
    <row r="654" spans="1:22" x14ac:dyDescent="0.35">
      <c r="A654" s="1">
        <v>45612</v>
      </c>
      <c r="B654" t="s">
        <v>30</v>
      </c>
      <c r="C654" s="2">
        <v>5.0694444444444445E-2</v>
      </c>
      <c r="D654" t="s">
        <v>1542</v>
      </c>
      <c r="E654" t="s">
        <v>41</v>
      </c>
      <c r="F654" t="s">
        <v>1543</v>
      </c>
      <c r="G654" t="s">
        <v>43</v>
      </c>
      <c r="H654" t="s">
        <v>552</v>
      </c>
      <c r="I654" t="s">
        <v>173</v>
      </c>
      <c r="J654">
        <v>14.9</v>
      </c>
      <c r="K654">
        <v>16.899999999999999</v>
      </c>
      <c r="L654" t="s">
        <v>29</v>
      </c>
      <c r="M654" t="s">
        <v>29</v>
      </c>
      <c r="N654" t="s">
        <v>29</v>
      </c>
      <c r="O654" t="s">
        <v>29</v>
      </c>
      <c r="P654" t="s">
        <v>29</v>
      </c>
      <c r="Q654" t="s">
        <v>29</v>
      </c>
      <c r="R654">
        <v>1428</v>
      </c>
      <c r="S654">
        <v>42.45</v>
      </c>
      <c r="T654">
        <v>4.4000000000000004</v>
      </c>
      <c r="U654">
        <v>4.2</v>
      </c>
      <c r="V654" t="s">
        <v>107</v>
      </c>
    </row>
    <row r="655" spans="1:22" x14ac:dyDescent="0.35">
      <c r="A655" s="1">
        <v>45593</v>
      </c>
      <c r="B655" t="s">
        <v>47</v>
      </c>
      <c r="C655" s="2">
        <v>0.81415509259259256</v>
      </c>
      <c r="D655" t="s">
        <v>1544</v>
      </c>
      <c r="E655" t="s">
        <v>41</v>
      </c>
      <c r="F655" t="s">
        <v>1545</v>
      </c>
      <c r="G655" t="s">
        <v>26</v>
      </c>
      <c r="H655" t="s">
        <v>95</v>
      </c>
      <c r="I655" t="s">
        <v>536</v>
      </c>
      <c r="J655">
        <v>8.8000000000000007</v>
      </c>
      <c r="K655">
        <v>26.8</v>
      </c>
      <c r="L655" t="s">
        <v>29</v>
      </c>
      <c r="M655" t="s">
        <v>29</v>
      </c>
      <c r="N655" t="s">
        <v>29</v>
      </c>
      <c r="O655" t="s">
        <v>29</v>
      </c>
      <c r="P655" t="s">
        <v>29</v>
      </c>
      <c r="Q655" t="s">
        <v>29</v>
      </c>
      <c r="R655">
        <v>85</v>
      </c>
      <c r="S655">
        <v>16.059999999999999</v>
      </c>
      <c r="T655">
        <v>3.9</v>
      </c>
      <c r="U655">
        <v>4.5999999999999996</v>
      </c>
      <c r="V655" t="s">
        <v>84</v>
      </c>
    </row>
    <row r="656" spans="1:22" x14ac:dyDescent="0.35">
      <c r="A656" s="1">
        <v>45544</v>
      </c>
      <c r="B656" t="s">
        <v>53</v>
      </c>
      <c r="C656" s="2">
        <v>0.29467592592592595</v>
      </c>
      <c r="D656" t="s">
        <v>1546</v>
      </c>
      <c r="E656" t="s">
        <v>24</v>
      </c>
      <c r="F656" t="s">
        <v>1547</v>
      </c>
      <c r="G656" t="s">
        <v>34</v>
      </c>
      <c r="H656" t="s">
        <v>140</v>
      </c>
      <c r="I656" t="s">
        <v>57</v>
      </c>
      <c r="J656" t="s">
        <v>29</v>
      </c>
      <c r="K656" t="s">
        <v>29</v>
      </c>
      <c r="L656" t="s">
        <v>29</v>
      </c>
      <c r="M656" t="s">
        <v>29</v>
      </c>
      <c r="N656" t="s">
        <v>29</v>
      </c>
      <c r="O656" t="s">
        <v>29</v>
      </c>
      <c r="P656" t="s">
        <v>29</v>
      </c>
      <c r="Q656" t="s">
        <v>29</v>
      </c>
      <c r="R656" t="s">
        <v>29</v>
      </c>
      <c r="S656" t="s">
        <v>29</v>
      </c>
      <c r="T656" t="s">
        <v>29</v>
      </c>
      <c r="U656" t="s">
        <v>29</v>
      </c>
      <c r="V656" t="s">
        <v>29</v>
      </c>
    </row>
    <row r="657" spans="1:22" x14ac:dyDescent="0.35">
      <c r="A657" s="1">
        <v>45333</v>
      </c>
      <c r="B657" t="s">
        <v>59</v>
      </c>
      <c r="C657" s="2">
        <v>0.62494212962962958</v>
      </c>
      <c r="D657" t="s">
        <v>1548</v>
      </c>
      <c r="E657" t="s">
        <v>41</v>
      </c>
      <c r="F657" t="s">
        <v>1549</v>
      </c>
      <c r="G657" t="s">
        <v>56</v>
      </c>
      <c r="H657" t="s">
        <v>627</v>
      </c>
      <c r="I657" t="s">
        <v>126</v>
      </c>
      <c r="J657">
        <v>9.5</v>
      </c>
      <c r="K657">
        <v>22.5</v>
      </c>
      <c r="L657" t="s">
        <v>29</v>
      </c>
      <c r="M657" t="s">
        <v>29</v>
      </c>
      <c r="N657" t="s">
        <v>29</v>
      </c>
      <c r="O657" t="s">
        <v>29</v>
      </c>
      <c r="P657" t="s">
        <v>29</v>
      </c>
      <c r="Q657" t="s">
        <v>29</v>
      </c>
      <c r="R657">
        <v>550</v>
      </c>
      <c r="S657">
        <v>38.24</v>
      </c>
      <c r="T657">
        <v>4.5</v>
      </c>
      <c r="U657">
        <v>4.5</v>
      </c>
      <c r="V657" t="s">
        <v>38</v>
      </c>
    </row>
    <row r="658" spans="1:22" x14ac:dyDescent="0.35">
      <c r="A658" s="1">
        <v>45352</v>
      </c>
      <c r="B658" t="s">
        <v>22</v>
      </c>
      <c r="C658" s="2">
        <v>0.66315972222222219</v>
      </c>
      <c r="D658" t="s">
        <v>1550</v>
      </c>
      <c r="E658" t="s">
        <v>41</v>
      </c>
      <c r="F658" t="s">
        <v>1551</v>
      </c>
      <c r="G658" t="s">
        <v>43</v>
      </c>
      <c r="H658" t="s">
        <v>744</v>
      </c>
      <c r="I658" t="s">
        <v>201</v>
      </c>
      <c r="J658">
        <v>12.2</v>
      </c>
      <c r="K658">
        <v>20.5</v>
      </c>
      <c r="L658" t="s">
        <v>29</v>
      </c>
      <c r="M658" t="s">
        <v>29</v>
      </c>
      <c r="N658" t="s">
        <v>29</v>
      </c>
      <c r="O658" t="s">
        <v>29</v>
      </c>
      <c r="P658" t="s">
        <v>29</v>
      </c>
      <c r="Q658" t="s">
        <v>29</v>
      </c>
      <c r="R658">
        <v>988</v>
      </c>
      <c r="S658">
        <v>22.13</v>
      </c>
      <c r="T658">
        <v>4.2</v>
      </c>
      <c r="U658">
        <v>4.5999999999999996</v>
      </c>
      <c r="V658" t="s">
        <v>38</v>
      </c>
    </row>
    <row r="659" spans="1:22" x14ac:dyDescent="0.35">
      <c r="A659" s="1">
        <v>45399</v>
      </c>
      <c r="B659" t="s">
        <v>154</v>
      </c>
      <c r="C659" s="2">
        <v>0.75091435185185185</v>
      </c>
      <c r="D659" t="s">
        <v>1552</v>
      </c>
      <c r="E659" t="s">
        <v>24</v>
      </c>
      <c r="F659" t="s">
        <v>1553</v>
      </c>
      <c r="G659" t="s">
        <v>34</v>
      </c>
      <c r="H659" t="s">
        <v>63</v>
      </c>
      <c r="I659" t="s">
        <v>808</v>
      </c>
      <c r="J659" t="s">
        <v>29</v>
      </c>
      <c r="K659" t="s">
        <v>29</v>
      </c>
      <c r="L659" t="s">
        <v>29</v>
      </c>
      <c r="M659" t="s">
        <v>29</v>
      </c>
      <c r="N659" t="s">
        <v>29</v>
      </c>
      <c r="O659" t="s">
        <v>29</v>
      </c>
      <c r="P659" t="s">
        <v>29</v>
      </c>
      <c r="Q659" t="s">
        <v>29</v>
      </c>
      <c r="R659" t="s">
        <v>29</v>
      </c>
      <c r="S659" t="s">
        <v>29</v>
      </c>
      <c r="T659" t="s">
        <v>29</v>
      </c>
      <c r="U659" t="s">
        <v>29</v>
      </c>
      <c r="V659" t="s">
        <v>29</v>
      </c>
    </row>
    <row r="660" spans="1:22" x14ac:dyDescent="0.35">
      <c r="A660" s="1">
        <v>45435</v>
      </c>
      <c r="B660" t="s">
        <v>122</v>
      </c>
      <c r="C660" s="2">
        <v>0.50533564814814813</v>
      </c>
      <c r="D660" t="s">
        <v>1554</v>
      </c>
      <c r="E660" t="s">
        <v>41</v>
      </c>
      <c r="F660" t="s">
        <v>1555</v>
      </c>
      <c r="G660" t="s">
        <v>67</v>
      </c>
      <c r="H660" t="s">
        <v>129</v>
      </c>
      <c r="I660" t="s">
        <v>164</v>
      </c>
      <c r="J660">
        <v>3.3</v>
      </c>
      <c r="K660">
        <v>32.1</v>
      </c>
      <c r="L660" t="s">
        <v>29</v>
      </c>
      <c r="M660" t="s">
        <v>29</v>
      </c>
      <c r="N660" t="s">
        <v>29</v>
      </c>
      <c r="O660" t="s">
        <v>29</v>
      </c>
      <c r="P660" t="s">
        <v>29</v>
      </c>
      <c r="Q660" t="s">
        <v>29</v>
      </c>
      <c r="R660">
        <v>112</v>
      </c>
      <c r="S660">
        <v>20.079999999999998</v>
      </c>
      <c r="T660">
        <v>3.3</v>
      </c>
      <c r="U660">
        <v>4.9000000000000004</v>
      </c>
      <c r="V660" t="s">
        <v>84</v>
      </c>
    </row>
    <row r="661" spans="1:22" x14ac:dyDescent="0.35">
      <c r="A661" s="1">
        <v>45571</v>
      </c>
      <c r="B661" t="s">
        <v>47</v>
      </c>
      <c r="C661" s="2">
        <v>0.80637731481481478</v>
      </c>
      <c r="D661" t="s">
        <v>1556</v>
      </c>
      <c r="E661" t="s">
        <v>93</v>
      </c>
      <c r="F661" t="s">
        <v>1557</v>
      </c>
      <c r="G661" t="s">
        <v>56</v>
      </c>
      <c r="H661" t="s">
        <v>454</v>
      </c>
      <c r="I661" t="s">
        <v>164</v>
      </c>
      <c r="J661">
        <v>4.7</v>
      </c>
      <c r="K661" t="s">
        <v>29</v>
      </c>
      <c r="L661" t="s">
        <v>29</v>
      </c>
      <c r="M661" t="s">
        <v>29</v>
      </c>
      <c r="N661">
        <v>1</v>
      </c>
      <c r="O661" t="s">
        <v>337</v>
      </c>
      <c r="P661" t="s">
        <v>29</v>
      </c>
      <c r="Q661" t="s">
        <v>29</v>
      </c>
      <c r="R661" t="s">
        <v>29</v>
      </c>
      <c r="S661" t="s">
        <v>29</v>
      </c>
      <c r="T661" t="s">
        <v>29</v>
      </c>
      <c r="U661" t="s">
        <v>29</v>
      </c>
      <c r="V661" t="s">
        <v>29</v>
      </c>
    </row>
    <row r="662" spans="1:22" x14ac:dyDescent="0.35">
      <c r="A662" s="1">
        <v>45350</v>
      </c>
      <c r="B662" t="s">
        <v>59</v>
      </c>
      <c r="C662" s="2">
        <v>0.93026620370370372</v>
      </c>
      <c r="D662" t="s">
        <v>1558</v>
      </c>
      <c r="E662" t="s">
        <v>41</v>
      </c>
      <c r="F662" t="s">
        <v>1559</v>
      </c>
      <c r="G662" t="s">
        <v>56</v>
      </c>
      <c r="H662" t="s">
        <v>690</v>
      </c>
      <c r="I662" t="s">
        <v>438</v>
      </c>
      <c r="J662">
        <v>13.5</v>
      </c>
      <c r="K662">
        <v>29.7</v>
      </c>
      <c r="L662" t="s">
        <v>29</v>
      </c>
      <c r="M662" t="s">
        <v>29</v>
      </c>
      <c r="N662" t="s">
        <v>29</v>
      </c>
      <c r="O662" t="s">
        <v>29</v>
      </c>
      <c r="P662" t="s">
        <v>29</v>
      </c>
      <c r="Q662" t="s">
        <v>29</v>
      </c>
      <c r="R662">
        <v>81</v>
      </c>
      <c r="S662">
        <v>45.98</v>
      </c>
      <c r="T662">
        <v>3.5</v>
      </c>
      <c r="U662">
        <v>3.8</v>
      </c>
      <c r="V662" t="s">
        <v>38</v>
      </c>
    </row>
    <row r="663" spans="1:22" x14ac:dyDescent="0.35">
      <c r="A663" s="1">
        <v>45490</v>
      </c>
      <c r="B663" t="s">
        <v>108</v>
      </c>
      <c r="C663" s="2">
        <v>0.76541666666666663</v>
      </c>
      <c r="D663" t="s">
        <v>1560</v>
      </c>
      <c r="E663" t="s">
        <v>41</v>
      </c>
      <c r="F663" t="s">
        <v>1561</v>
      </c>
      <c r="G663" t="s">
        <v>67</v>
      </c>
      <c r="H663" t="s">
        <v>498</v>
      </c>
      <c r="I663" t="s">
        <v>281</v>
      </c>
      <c r="J663">
        <v>3.7</v>
      </c>
      <c r="K663">
        <v>42.8</v>
      </c>
      <c r="L663" t="s">
        <v>29</v>
      </c>
      <c r="M663" t="s">
        <v>29</v>
      </c>
      <c r="N663" t="s">
        <v>29</v>
      </c>
      <c r="O663" t="s">
        <v>29</v>
      </c>
      <c r="P663" t="s">
        <v>29</v>
      </c>
      <c r="Q663" t="s">
        <v>29</v>
      </c>
      <c r="R663">
        <v>262</v>
      </c>
      <c r="S663">
        <v>10.94</v>
      </c>
      <c r="T663">
        <v>4.2</v>
      </c>
      <c r="U663">
        <v>4.2</v>
      </c>
      <c r="V663" t="s">
        <v>38</v>
      </c>
    </row>
    <row r="664" spans="1:22" x14ac:dyDescent="0.35">
      <c r="A664" s="1">
        <v>45533</v>
      </c>
      <c r="B664" t="s">
        <v>39</v>
      </c>
      <c r="C664" s="2">
        <v>0.85342592592592592</v>
      </c>
      <c r="D664" t="s">
        <v>1562</v>
      </c>
      <c r="E664" t="s">
        <v>41</v>
      </c>
      <c r="F664" t="s">
        <v>1563</v>
      </c>
      <c r="G664" t="s">
        <v>43</v>
      </c>
      <c r="H664" t="s">
        <v>220</v>
      </c>
      <c r="I664" t="s">
        <v>69</v>
      </c>
      <c r="J664">
        <v>10.4</v>
      </c>
      <c r="K664">
        <v>31</v>
      </c>
      <c r="L664" t="s">
        <v>29</v>
      </c>
      <c r="M664" t="s">
        <v>29</v>
      </c>
      <c r="N664" t="s">
        <v>29</v>
      </c>
      <c r="O664" t="s">
        <v>29</v>
      </c>
      <c r="P664" t="s">
        <v>29</v>
      </c>
      <c r="Q664" t="s">
        <v>29</v>
      </c>
      <c r="R664">
        <v>259</v>
      </c>
      <c r="S664">
        <v>49.84</v>
      </c>
      <c r="T664">
        <v>3.8</v>
      </c>
      <c r="U664">
        <v>4.3</v>
      </c>
      <c r="V664" t="s">
        <v>107</v>
      </c>
    </row>
    <row r="665" spans="1:22" x14ac:dyDescent="0.35">
      <c r="A665" s="1">
        <v>45445</v>
      </c>
      <c r="B665" t="s">
        <v>64</v>
      </c>
      <c r="C665" s="2">
        <v>0.59297453703703706</v>
      </c>
      <c r="D665" t="s">
        <v>1564</v>
      </c>
      <c r="E665" t="s">
        <v>41</v>
      </c>
      <c r="F665" t="s">
        <v>1565</v>
      </c>
      <c r="G665" t="s">
        <v>50</v>
      </c>
      <c r="H665" t="s">
        <v>189</v>
      </c>
      <c r="I665" t="s">
        <v>391</v>
      </c>
      <c r="J665">
        <v>8.8000000000000007</v>
      </c>
      <c r="K665">
        <v>33.1</v>
      </c>
      <c r="L665" t="s">
        <v>29</v>
      </c>
      <c r="M665" t="s">
        <v>29</v>
      </c>
      <c r="N665" t="s">
        <v>29</v>
      </c>
      <c r="O665" t="s">
        <v>29</v>
      </c>
      <c r="P665" t="s">
        <v>29</v>
      </c>
      <c r="Q665" t="s">
        <v>29</v>
      </c>
      <c r="R665">
        <v>1350</v>
      </c>
      <c r="S665">
        <v>24.97</v>
      </c>
      <c r="T665">
        <v>4.7</v>
      </c>
      <c r="U665">
        <v>3.1</v>
      </c>
      <c r="V665" t="s">
        <v>84</v>
      </c>
    </row>
    <row r="666" spans="1:22" x14ac:dyDescent="0.35">
      <c r="A666" s="1">
        <v>45642</v>
      </c>
      <c r="B666" t="s">
        <v>78</v>
      </c>
      <c r="C666" s="2">
        <v>0.89067129629629627</v>
      </c>
      <c r="D666" t="s">
        <v>1566</v>
      </c>
      <c r="E666" t="s">
        <v>41</v>
      </c>
      <c r="F666" t="s">
        <v>1567</v>
      </c>
      <c r="G666" t="s">
        <v>50</v>
      </c>
      <c r="H666" t="s">
        <v>125</v>
      </c>
      <c r="I666" t="s">
        <v>119</v>
      </c>
      <c r="J666">
        <v>14.3</v>
      </c>
      <c r="K666">
        <v>23.9</v>
      </c>
      <c r="L666" t="s">
        <v>29</v>
      </c>
      <c r="M666" t="s">
        <v>29</v>
      </c>
      <c r="N666" t="s">
        <v>29</v>
      </c>
      <c r="O666" t="s">
        <v>29</v>
      </c>
      <c r="P666" t="s">
        <v>29</v>
      </c>
      <c r="Q666" t="s">
        <v>29</v>
      </c>
      <c r="R666">
        <v>302</v>
      </c>
      <c r="S666">
        <v>32.94</v>
      </c>
      <c r="T666">
        <v>4.5999999999999996</v>
      </c>
      <c r="U666">
        <v>4.7</v>
      </c>
      <c r="V666" t="s">
        <v>84</v>
      </c>
    </row>
    <row r="667" spans="1:22" x14ac:dyDescent="0.35">
      <c r="A667" s="1">
        <v>45496</v>
      </c>
      <c r="B667" t="s">
        <v>108</v>
      </c>
      <c r="C667" s="2">
        <v>0.28825231481481484</v>
      </c>
      <c r="D667" t="s">
        <v>1568</v>
      </c>
      <c r="E667" t="s">
        <v>41</v>
      </c>
      <c r="F667" t="s">
        <v>1569</v>
      </c>
      <c r="G667" t="s">
        <v>34</v>
      </c>
      <c r="H667" t="s">
        <v>189</v>
      </c>
      <c r="I667" t="s">
        <v>585</v>
      </c>
      <c r="J667">
        <v>6.2</v>
      </c>
      <c r="K667">
        <v>23.1</v>
      </c>
      <c r="L667" t="s">
        <v>29</v>
      </c>
      <c r="M667" t="s">
        <v>29</v>
      </c>
      <c r="N667" t="s">
        <v>29</v>
      </c>
      <c r="O667" t="s">
        <v>29</v>
      </c>
      <c r="P667" t="s">
        <v>29</v>
      </c>
      <c r="Q667" t="s">
        <v>29</v>
      </c>
      <c r="R667">
        <v>414</v>
      </c>
      <c r="S667">
        <v>22.9</v>
      </c>
      <c r="T667">
        <v>4.8</v>
      </c>
      <c r="U667">
        <v>4.8</v>
      </c>
      <c r="V667" t="s">
        <v>38</v>
      </c>
    </row>
    <row r="668" spans="1:22" x14ac:dyDescent="0.35">
      <c r="A668" s="1">
        <v>45425</v>
      </c>
      <c r="B668" t="s">
        <v>122</v>
      </c>
      <c r="C668" s="2">
        <v>0.78373842592592591</v>
      </c>
      <c r="D668" t="s">
        <v>1570</v>
      </c>
      <c r="E668" t="s">
        <v>41</v>
      </c>
      <c r="F668" t="s">
        <v>1571</v>
      </c>
      <c r="G668" t="s">
        <v>34</v>
      </c>
      <c r="H668" t="s">
        <v>266</v>
      </c>
      <c r="I668" t="s">
        <v>398</v>
      </c>
      <c r="J668">
        <v>2.9</v>
      </c>
      <c r="K668">
        <v>25.1</v>
      </c>
      <c r="L668" t="s">
        <v>29</v>
      </c>
      <c r="M668" t="s">
        <v>29</v>
      </c>
      <c r="N668" t="s">
        <v>29</v>
      </c>
      <c r="O668" t="s">
        <v>29</v>
      </c>
      <c r="P668" t="s">
        <v>29</v>
      </c>
      <c r="Q668" t="s">
        <v>29</v>
      </c>
      <c r="R668">
        <v>135</v>
      </c>
      <c r="S668">
        <v>29.53</v>
      </c>
      <c r="T668">
        <v>4.2</v>
      </c>
      <c r="U668">
        <v>4.3</v>
      </c>
      <c r="V668" t="s">
        <v>84</v>
      </c>
    </row>
    <row r="669" spans="1:22" x14ac:dyDescent="0.35">
      <c r="A669" s="1">
        <v>45614</v>
      </c>
      <c r="B669" t="s">
        <v>30</v>
      </c>
      <c r="C669" s="2">
        <v>0.18731481481481482</v>
      </c>
      <c r="D669" t="s">
        <v>1572</v>
      </c>
      <c r="E669" t="s">
        <v>41</v>
      </c>
      <c r="F669" t="s">
        <v>1573</v>
      </c>
      <c r="G669" t="s">
        <v>43</v>
      </c>
      <c r="H669" t="s">
        <v>299</v>
      </c>
      <c r="I669" t="s">
        <v>744</v>
      </c>
      <c r="J669">
        <v>12.3</v>
      </c>
      <c r="K669">
        <v>21.4</v>
      </c>
      <c r="L669" t="s">
        <v>29</v>
      </c>
      <c r="M669" t="s">
        <v>29</v>
      </c>
      <c r="N669" t="s">
        <v>29</v>
      </c>
      <c r="O669" t="s">
        <v>29</v>
      </c>
      <c r="P669" t="s">
        <v>29</v>
      </c>
      <c r="Q669" t="s">
        <v>29</v>
      </c>
      <c r="R669">
        <v>212</v>
      </c>
      <c r="S669">
        <v>32.840000000000003</v>
      </c>
      <c r="T669">
        <v>4.0999999999999996</v>
      </c>
      <c r="U669">
        <v>4.7</v>
      </c>
      <c r="V669" t="s">
        <v>149</v>
      </c>
    </row>
    <row r="670" spans="1:22" x14ac:dyDescent="0.35">
      <c r="A670" s="1">
        <v>45556</v>
      </c>
      <c r="B670" t="s">
        <v>53</v>
      </c>
      <c r="C670" s="2">
        <v>0.25018518518518518</v>
      </c>
      <c r="D670" t="s">
        <v>1574</v>
      </c>
      <c r="E670" t="s">
        <v>41</v>
      </c>
      <c r="F670" t="s">
        <v>1575</v>
      </c>
      <c r="G670" t="s">
        <v>43</v>
      </c>
      <c r="H670" t="s">
        <v>714</v>
      </c>
      <c r="I670" t="s">
        <v>293</v>
      </c>
      <c r="J670">
        <v>13.2</v>
      </c>
      <c r="K670">
        <v>32.6</v>
      </c>
      <c r="L670" t="s">
        <v>29</v>
      </c>
      <c r="M670" t="s">
        <v>29</v>
      </c>
      <c r="N670" t="s">
        <v>29</v>
      </c>
      <c r="O670" t="s">
        <v>29</v>
      </c>
      <c r="P670" t="s">
        <v>29</v>
      </c>
      <c r="Q670" t="s">
        <v>29</v>
      </c>
      <c r="R670">
        <v>865</v>
      </c>
      <c r="S670">
        <v>3.77</v>
      </c>
      <c r="T670">
        <v>4.0999999999999996</v>
      </c>
      <c r="U670">
        <v>4.4000000000000004</v>
      </c>
      <c r="V670" t="s">
        <v>38</v>
      </c>
    </row>
    <row r="671" spans="1:22" x14ac:dyDescent="0.35">
      <c r="A671" s="1">
        <v>45419</v>
      </c>
      <c r="B671" t="s">
        <v>122</v>
      </c>
      <c r="C671" s="2">
        <v>0.94085648148148149</v>
      </c>
      <c r="D671" t="s">
        <v>1576</v>
      </c>
      <c r="E671" t="s">
        <v>41</v>
      </c>
      <c r="F671" t="s">
        <v>1577</v>
      </c>
      <c r="G671" t="s">
        <v>50</v>
      </c>
      <c r="H671" t="s">
        <v>486</v>
      </c>
      <c r="I671" t="s">
        <v>180</v>
      </c>
      <c r="J671">
        <v>2.6</v>
      </c>
      <c r="K671">
        <v>36.9</v>
      </c>
      <c r="L671" t="s">
        <v>29</v>
      </c>
      <c r="M671" t="s">
        <v>29</v>
      </c>
      <c r="N671" t="s">
        <v>29</v>
      </c>
      <c r="O671" t="s">
        <v>29</v>
      </c>
      <c r="P671" t="s">
        <v>29</v>
      </c>
      <c r="Q671" t="s">
        <v>29</v>
      </c>
      <c r="R671">
        <v>255</v>
      </c>
      <c r="S671">
        <v>24.12</v>
      </c>
      <c r="T671">
        <v>4.2</v>
      </c>
      <c r="U671">
        <v>4.4000000000000004</v>
      </c>
      <c r="V671" t="s">
        <v>38</v>
      </c>
    </row>
    <row r="672" spans="1:22" x14ac:dyDescent="0.35">
      <c r="A672" s="1">
        <v>45398</v>
      </c>
      <c r="B672" t="s">
        <v>154</v>
      </c>
      <c r="C672" s="2">
        <v>0.46976851851851853</v>
      </c>
      <c r="D672" t="s">
        <v>1578</v>
      </c>
      <c r="E672" t="s">
        <v>41</v>
      </c>
      <c r="F672" t="s">
        <v>1579</v>
      </c>
      <c r="G672" t="s">
        <v>67</v>
      </c>
      <c r="H672" t="s">
        <v>137</v>
      </c>
      <c r="I672" t="s">
        <v>407</v>
      </c>
      <c r="J672">
        <v>5.6</v>
      </c>
      <c r="K672">
        <v>32.6</v>
      </c>
      <c r="L672" t="s">
        <v>29</v>
      </c>
      <c r="M672" t="s">
        <v>29</v>
      </c>
      <c r="N672" t="s">
        <v>29</v>
      </c>
      <c r="O672" t="s">
        <v>29</v>
      </c>
      <c r="P672" t="s">
        <v>29</v>
      </c>
      <c r="Q672" t="s">
        <v>29</v>
      </c>
      <c r="R672">
        <v>273</v>
      </c>
      <c r="S672">
        <v>38.01</v>
      </c>
      <c r="T672">
        <v>4.0999999999999996</v>
      </c>
      <c r="U672">
        <v>4.2</v>
      </c>
      <c r="V672" t="s">
        <v>149</v>
      </c>
    </row>
    <row r="673" spans="1:22" x14ac:dyDescent="0.35">
      <c r="A673" s="1">
        <v>45606</v>
      </c>
      <c r="B673" t="s">
        <v>30</v>
      </c>
      <c r="C673" s="2">
        <v>0.73165509259259254</v>
      </c>
      <c r="D673" t="s">
        <v>1580</v>
      </c>
      <c r="E673" t="s">
        <v>32</v>
      </c>
      <c r="F673" t="s">
        <v>1581</v>
      </c>
      <c r="G673" t="s">
        <v>43</v>
      </c>
      <c r="H673" t="s">
        <v>582</v>
      </c>
      <c r="I673" t="s">
        <v>245</v>
      </c>
      <c r="J673">
        <v>4.5999999999999996</v>
      </c>
      <c r="K673">
        <v>17.2</v>
      </c>
      <c r="L673" t="s">
        <v>29</v>
      </c>
      <c r="M673" t="s">
        <v>29</v>
      </c>
      <c r="N673" t="s">
        <v>29</v>
      </c>
      <c r="O673" t="s">
        <v>29</v>
      </c>
      <c r="P673">
        <v>1</v>
      </c>
      <c r="Q673" t="s">
        <v>37</v>
      </c>
      <c r="R673">
        <v>545</v>
      </c>
      <c r="S673">
        <v>1.67</v>
      </c>
      <c r="T673" t="s">
        <v>29</v>
      </c>
      <c r="U673" t="s">
        <v>29</v>
      </c>
      <c r="V673" t="s">
        <v>38</v>
      </c>
    </row>
    <row r="674" spans="1:22" x14ac:dyDescent="0.35">
      <c r="A674" s="1">
        <v>45615</v>
      </c>
      <c r="B674" t="s">
        <v>30</v>
      </c>
      <c r="C674" s="2">
        <v>0.31140046296296298</v>
      </c>
      <c r="D674" t="s">
        <v>1582</v>
      </c>
      <c r="E674" t="s">
        <v>41</v>
      </c>
      <c r="F674" t="s">
        <v>1583</v>
      </c>
      <c r="G674" t="s">
        <v>50</v>
      </c>
      <c r="H674" t="s">
        <v>536</v>
      </c>
      <c r="I674" t="s">
        <v>296</v>
      </c>
      <c r="J674">
        <v>4.5999999999999996</v>
      </c>
      <c r="K674">
        <v>27.3</v>
      </c>
      <c r="L674" t="s">
        <v>29</v>
      </c>
      <c r="M674" t="s">
        <v>29</v>
      </c>
      <c r="N674" t="s">
        <v>29</v>
      </c>
      <c r="O674" t="s">
        <v>29</v>
      </c>
      <c r="P674" t="s">
        <v>29</v>
      </c>
      <c r="Q674" t="s">
        <v>29</v>
      </c>
      <c r="R674">
        <v>477</v>
      </c>
      <c r="S674">
        <v>14.39</v>
      </c>
      <c r="T674">
        <v>4.3</v>
      </c>
      <c r="U674">
        <v>3.6</v>
      </c>
      <c r="V674" t="s">
        <v>149</v>
      </c>
    </row>
    <row r="675" spans="1:22" x14ac:dyDescent="0.35">
      <c r="A675" s="1">
        <v>45576</v>
      </c>
      <c r="B675" t="s">
        <v>47</v>
      </c>
      <c r="C675" s="2">
        <v>0.45798611111111109</v>
      </c>
      <c r="D675" t="s">
        <v>1584</v>
      </c>
      <c r="E675" t="s">
        <v>41</v>
      </c>
      <c r="F675" t="s">
        <v>1585</v>
      </c>
      <c r="G675" t="s">
        <v>43</v>
      </c>
      <c r="H675" t="s">
        <v>111</v>
      </c>
      <c r="I675" t="s">
        <v>425</v>
      </c>
      <c r="J675">
        <v>14.1</v>
      </c>
      <c r="K675">
        <v>33.9</v>
      </c>
      <c r="L675" t="s">
        <v>29</v>
      </c>
      <c r="M675" t="s">
        <v>29</v>
      </c>
      <c r="N675" t="s">
        <v>29</v>
      </c>
      <c r="O675" t="s">
        <v>29</v>
      </c>
      <c r="P675" t="s">
        <v>29</v>
      </c>
      <c r="Q675" t="s">
        <v>29</v>
      </c>
      <c r="R675">
        <v>197</v>
      </c>
      <c r="S675">
        <v>7.33</v>
      </c>
      <c r="T675">
        <v>4</v>
      </c>
      <c r="U675">
        <v>4.5999999999999996</v>
      </c>
      <c r="V675" t="s">
        <v>38</v>
      </c>
    </row>
    <row r="676" spans="1:22" x14ac:dyDescent="0.35">
      <c r="A676" s="1">
        <v>45346</v>
      </c>
      <c r="B676" t="s">
        <v>59</v>
      </c>
      <c r="C676" s="2">
        <v>0.92929398148148146</v>
      </c>
      <c r="D676" t="s">
        <v>1586</v>
      </c>
      <c r="E676" t="s">
        <v>41</v>
      </c>
      <c r="F676" t="s">
        <v>1587</v>
      </c>
      <c r="G676" t="s">
        <v>67</v>
      </c>
      <c r="H676" t="s">
        <v>277</v>
      </c>
      <c r="I676" t="s">
        <v>881</v>
      </c>
      <c r="J676">
        <v>12.8</v>
      </c>
      <c r="K676">
        <v>23.7</v>
      </c>
      <c r="L676" t="s">
        <v>29</v>
      </c>
      <c r="M676" t="s">
        <v>29</v>
      </c>
      <c r="N676" t="s">
        <v>29</v>
      </c>
      <c r="O676" t="s">
        <v>29</v>
      </c>
      <c r="P676" t="s">
        <v>29</v>
      </c>
      <c r="Q676" t="s">
        <v>29</v>
      </c>
      <c r="R676">
        <v>366</v>
      </c>
      <c r="S676">
        <v>38.630000000000003</v>
      </c>
      <c r="T676">
        <v>4.3</v>
      </c>
      <c r="U676">
        <v>4.0999999999999996</v>
      </c>
      <c r="V676" t="s">
        <v>149</v>
      </c>
    </row>
    <row r="677" spans="1:22" x14ac:dyDescent="0.35">
      <c r="A677" s="1">
        <v>45522</v>
      </c>
      <c r="B677" t="s">
        <v>39</v>
      </c>
      <c r="C677" s="2">
        <v>0.73623842592592592</v>
      </c>
      <c r="D677" t="s">
        <v>1588</v>
      </c>
      <c r="E677" t="s">
        <v>41</v>
      </c>
      <c r="F677" t="s">
        <v>1589</v>
      </c>
      <c r="G677" t="s">
        <v>67</v>
      </c>
      <c r="H677" t="s">
        <v>277</v>
      </c>
      <c r="I677" t="s">
        <v>58</v>
      </c>
      <c r="J677">
        <v>2.1</v>
      </c>
      <c r="K677">
        <v>19.7</v>
      </c>
      <c r="L677" t="s">
        <v>29</v>
      </c>
      <c r="M677" t="s">
        <v>29</v>
      </c>
      <c r="N677" t="s">
        <v>29</v>
      </c>
      <c r="O677" t="s">
        <v>29</v>
      </c>
      <c r="P677" t="s">
        <v>29</v>
      </c>
      <c r="Q677" t="s">
        <v>29</v>
      </c>
      <c r="R677">
        <v>1595</v>
      </c>
      <c r="S677">
        <v>42.13</v>
      </c>
      <c r="T677">
        <v>4.4000000000000004</v>
      </c>
      <c r="U677">
        <v>4.4000000000000004</v>
      </c>
      <c r="V677" t="s">
        <v>38</v>
      </c>
    </row>
    <row r="678" spans="1:22" x14ac:dyDescent="0.35">
      <c r="A678" s="1">
        <v>45517</v>
      </c>
      <c r="B678" t="s">
        <v>39</v>
      </c>
      <c r="C678" s="2">
        <v>0.32601851851851854</v>
      </c>
      <c r="D678" t="s">
        <v>1590</v>
      </c>
      <c r="E678" t="s">
        <v>41</v>
      </c>
      <c r="F678" t="s">
        <v>1591</v>
      </c>
      <c r="G678" t="s">
        <v>34</v>
      </c>
      <c r="H678" t="s">
        <v>369</v>
      </c>
      <c r="I678" t="s">
        <v>693</v>
      </c>
      <c r="J678">
        <v>6.9</v>
      </c>
      <c r="K678">
        <v>16.600000000000001</v>
      </c>
      <c r="L678" t="s">
        <v>29</v>
      </c>
      <c r="M678" t="s">
        <v>29</v>
      </c>
      <c r="N678" t="s">
        <v>29</v>
      </c>
      <c r="O678" t="s">
        <v>29</v>
      </c>
      <c r="P678" t="s">
        <v>29</v>
      </c>
      <c r="Q678" t="s">
        <v>29</v>
      </c>
      <c r="R678">
        <v>391</v>
      </c>
      <c r="S678">
        <v>24.16</v>
      </c>
      <c r="T678">
        <v>3.8</v>
      </c>
      <c r="U678">
        <v>4.3</v>
      </c>
      <c r="V678" t="s">
        <v>149</v>
      </c>
    </row>
    <row r="679" spans="1:22" x14ac:dyDescent="0.35">
      <c r="A679" s="1">
        <v>45474</v>
      </c>
      <c r="B679" t="s">
        <v>108</v>
      </c>
      <c r="C679" s="2">
        <v>0.72082175925925929</v>
      </c>
      <c r="D679" t="s">
        <v>1592</v>
      </c>
      <c r="E679" t="s">
        <v>41</v>
      </c>
      <c r="F679" t="s">
        <v>1593</v>
      </c>
      <c r="G679" t="s">
        <v>34</v>
      </c>
      <c r="H679" t="s">
        <v>96</v>
      </c>
      <c r="I679" t="s">
        <v>383</v>
      </c>
      <c r="J679">
        <v>2.6</v>
      </c>
      <c r="K679">
        <v>27.9</v>
      </c>
      <c r="L679" t="s">
        <v>29</v>
      </c>
      <c r="M679" t="s">
        <v>29</v>
      </c>
      <c r="N679" t="s">
        <v>29</v>
      </c>
      <c r="O679" t="s">
        <v>29</v>
      </c>
      <c r="P679" t="s">
        <v>29</v>
      </c>
      <c r="Q679" t="s">
        <v>29</v>
      </c>
      <c r="R679">
        <v>313</v>
      </c>
      <c r="S679">
        <v>33.08</v>
      </c>
      <c r="T679">
        <v>4.7</v>
      </c>
      <c r="U679">
        <v>4.2</v>
      </c>
      <c r="V679" t="s">
        <v>38</v>
      </c>
    </row>
    <row r="680" spans="1:22" x14ac:dyDescent="0.35">
      <c r="A680" s="1">
        <v>45413</v>
      </c>
      <c r="B680" t="s">
        <v>122</v>
      </c>
      <c r="C680" s="2">
        <v>0.94171296296296292</v>
      </c>
      <c r="D680" t="s">
        <v>1594</v>
      </c>
      <c r="E680" t="s">
        <v>41</v>
      </c>
      <c r="F680" t="s">
        <v>1595</v>
      </c>
      <c r="G680" t="s">
        <v>56</v>
      </c>
      <c r="H680" t="s">
        <v>44</v>
      </c>
      <c r="I680" t="s">
        <v>613</v>
      </c>
      <c r="J680">
        <v>12.6</v>
      </c>
      <c r="K680">
        <v>28.1</v>
      </c>
      <c r="L680" t="s">
        <v>29</v>
      </c>
      <c r="M680" t="s">
        <v>29</v>
      </c>
      <c r="N680" t="s">
        <v>29</v>
      </c>
      <c r="O680" t="s">
        <v>29</v>
      </c>
      <c r="P680" t="s">
        <v>29</v>
      </c>
      <c r="Q680" t="s">
        <v>29</v>
      </c>
      <c r="R680">
        <v>402</v>
      </c>
      <c r="S680">
        <v>45.13</v>
      </c>
      <c r="T680">
        <v>4.3</v>
      </c>
      <c r="U680">
        <v>5</v>
      </c>
      <c r="V680" t="s">
        <v>38</v>
      </c>
    </row>
    <row r="681" spans="1:22" x14ac:dyDescent="0.35">
      <c r="A681" s="1">
        <v>45439</v>
      </c>
      <c r="B681" t="s">
        <v>122</v>
      </c>
      <c r="C681" s="2">
        <v>0.93658564814814815</v>
      </c>
      <c r="D681" t="s">
        <v>1596</v>
      </c>
      <c r="E681" t="s">
        <v>41</v>
      </c>
      <c r="F681" t="s">
        <v>1597</v>
      </c>
      <c r="G681" t="s">
        <v>34</v>
      </c>
      <c r="H681" t="s">
        <v>365</v>
      </c>
      <c r="I681" t="s">
        <v>248</v>
      </c>
      <c r="J681">
        <v>4</v>
      </c>
      <c r="K681">
        <v>30.1</v>
      </c>
      <c r="L681" t="s">
        <v>29</v>
      </c>
      <c r="M681" t="s">
        <v>29</v>
      </c>
      <c r="N681" t="s">
        <v>29</v>
      </c>
      <c r="O681" t="s">
        <v>29</v>
      </c>
      <c r="P681" t="s">
        <v>29</v>
      </c>
      <c r="Q681" t="s">
        <v>29</v>
      </c>
      <c r="R681">
        <v>62</v>
      </c>
      <c r="S681">
        <v>14.15</v>
      </c>
      <c r="T681">
        <v>4.7</v>
      </c>
      <c r="U681">
        <v>4.3</v>
      </c>
      <c r="V681" t="s">
        <v>84</v>
      </c>
    </row>
    <row r="682" spans="1:22" x14ac:dyDescent="0.35">
      <c r="A682" s="1">
        <v>45631</v>
      </c>
      <c r="B682" t="s">
        <v>78</v>
      </c>
      <c r="C682" s="2">
        <v>0.77372685185185186</v>
      </c>
      <c r="D682" t="s">
        <v>1598</v>
      </c>
      <c r="E682" t="s">
        <v>117</v>
      </c>
      <c r="F682" t="s">
        <v>1599</v>
      </c>
      <c r="G682" t="s">
        <v>56</v>
      </c>
      <c r="H682" t="s">
        <v>158</v>
      </c>
      <c r="I682" t="s">
        <v>62</v>
      </c>
      <c r="J682">
        <v>9.9</v>
      </c>
      <c r="K682" t="s">
        <v>29</v>
      </c>
      <c r="L682">
        <v>1</v>
      </c>
      <c r="M682" t="s">
        <v>121</v>
      </c>
      <c r="N682" t="s">
        <v>29</v>
      </c>
      <c r="O682" t="s">
        <v>29</v>
      </c>
      <c r="P682" t="s">
        <v>29</v>
      </c>
      <c r="Q682" t="s">
        <v>29</v>
      </c>
      <c r="R682" t="s">
        <v>29</v>
      </c>
      <c r="S682" t="s">
        <v>29</v>
      </c>
      <c r="T682" t="s">
        <v>29</v>
      </c>
      <c r="U682" t="s">
        <v>29</v>
      </c>
      <c r="V682" t="s">
        <v>29</v>
      </c>
    </row>
    <row r="683" spans="1:22" x14ac:dyDescent="0.35">
      <c r="A683" s="1">
        <v>45630</v>
      </c>
      <c r="B683" t="s">
        <v>78</v>
      </c>
      <c r="C683" s="2">
        <v>0.71900462962962963</v>
      </c>
      <c r="D683" t="s">
        <v>1600</v>
      </c>
      <c r="E683" t="s">
        <v>41</v>
      </c>
      <c r="F683" t="s">
        <v>1601</v>
      </c>
      <c r="G683" t="s">
        <v>43</v>
      </c>
      <c r="H683" t="s">
        <v>653</v>
      </c>
      <c r="I683" t="s">
        <v>627</v>
      </c>
      <c r="J683">
        <v>13.7</v>
      </c>
      <c r="K683">
        <v>37.200000000000003</v>
      </c>
      <c r="L683" t="s">
        <v>29</v>
      </c>
      <c r="M683" t="s">
        <v>29</v>
      </c>
      <c r="N683" t="s">
        <v>29</v>
      </c>
      <c r="O683" t="s">
        <v>29</v>
      </c>
      <c r="P683" t="s">
        <v>29</v>
      </c>
      <c r="Q683" t="s">
        <v>29</v>
      </c>
      <c r="R683">
        <v>602</v>
      </c>
      <c r="S683">
        <v>9.9</v>
      </c>
      <c r="T683">
        <v>4.9000000000000004</v>
      </c>
      <c r="U683">
        <v>3.7</v>
      </c>
      <c r="V683" t="s">
        <v>38</v>
      </c>
    </row>
    <row r="684" spans="1:22" x14ac:dyDescent="0.35">
      <c r="A684" s="1">
        <v>45333</v>
      </c>
      <c r="B684" t="s">
        <v>59</v>
      </c>
      <c r="C684" s="2">
        <v>0.88289351851851849</v>
      </c>
      <c r="D684" t="s">
        <v>1602</v>
      </c>
      <c r="E684" t="s">
        <v>32</v>
      </c>
      <c r="F684" t="s">
        <v>1603</v>
      </c>
      <c r="G684" t="s">
        <v>43</v>
      </c>
      <c r="H684" t="s">
        <v>498</v>
      </c>
      <c r="I684" t="s">
        <v>62</v>
      </c>
      <c r="J684">
        <v>10</v>
      </c>
      <c r="K684">
        <v>28.9</v>
      </c>
      <c r="L684" t="s">
        <v>29</v>
      </c>
      <c r="M684" t="s">
        <v>29</v>
      </c>
      <c r="N684" t="s">
        <v>29</v>
      </c>
      <c r="O684" t="s">
        <v>29</v>
      </c>
      <c r="P684">
        <v>1</v>
      </c>
      <c r="Q684" t="s">
        <v>302</v>
      </c>
      <c r="R684">
        <v>545</v>
      </c>
      <c r="S684">
        <v>6.09</v>
      </c>
      <c r="T684" t="s">
        <v>29</v>
      </c>
      <c r="U684" t="s">
        <v>29</v>
      </c>
      <c r="V684" t="s">
        <v>38</v>
      </c>
    </row>
    <row r="685" spans="1:22" x14ac:dyDescent="0.35">
      <c r="A685" s="1">
        <v>45443</v>
      </c>
      <c r="B685" t="s">
        <v>122</v>
      </c>
      <c r="C685" s="2">
        <v>0.60728009259259264</v>
      </c>
      <c r="D685" t="s">
        <v>1604</v>
      </c>
      <c r="E685" t="s">
        <v>41</v>
      </c>
      <c r="F685" t="s">
        <v>1605</v>
      </c>
      <c r="G685" t="s">
        <v>67</v>
      </c>
      <c r="H685" t="s">
        <v>137</v>
      </c>
      <c r="I685" t="s">
        <v>235</v>
      </c>
      <c r="J685">
        <v>13.4</v>
      </c>
      <c r="K685">
        <v>27.8</v>
      </c>
      <c r="L685" t="s">
        <v>29</v>
      </c>
      <c r="M685" t="s">
        <v>29</v>
      </c>
      <c r="N685" t="s">
        <v>29</v>
      </c>
      <c r="O685" t="s">
        <v>29</v>
      </c>
      <c r="P685" t="s">
        <v>29</v>
      </c>
      <c r="Q685" t="s">
        <v>29</v>
      </c>
      <c r="R685">
        <v>560</v>
      </c>
      <c r="S685">
        <v>25.68</v>
      </c>
      <c r="T685">
        <v>4.3</v>
      </c>
      <c r="U685">
        <v>4.5</v>
      </c>
      <c r="V685" t="s">
        <v>84</v>
      </c>
    </row>
    <row r="686" spans="1:22" x14ac:dyDescent="0.35">
      <c r="A686" s="1">
        <v>45382</v>
      </c>
      <c r="B686" t="s">
        <v>22</v>
      </c>
      <c r="C686" s="2">
        <v>0.88442129629629629</v>
      </c>
      <c r="D686" t="s">
        <v>1606</v>
      </c>
      <c r="E686" t="s">
        <v>32</v>
      </c>
      <c r="F686" t="s">
        <v>1607</v>
      </c>
      <c r="G686" t="s">
        <v>43</v>
      </c>
      <c r="H686" t="s">
        <v>565</v>
      </c>
      <c r="I686" t="s">
        <v>132</v>
      </c>
      <c r="J686">
        <v>3.2</v>
      </c>
      <c r="K686">
        <v>16.5</v>
      </c>
      <c r="L686" t="s">
        <v>29</v>
      </c>
      <c r="M686" t="s">
        <v>29</v>
      </c>
      <c r="N686" t="s">
        <v>29</v>
      </c>
      <c r="O686" t="s">
        <v>29</v>
      </c>
      <c r="P686">
        <v>1</v>
      </c>
      <c r="Q686" t="s">
        <v>37</v>
      </c>
      <c r="R686">
        <v>1383</v>
      </c>
      <c r="S686">
        <v>5.41</v>
      </c>
      <c r="T686" t="s">
        <v>29</v>
      </c>
      <c r="U686" t="s">
        <v>29</v>
      </c>
      <c r="V686" t="s">
        <v>38</v>
      </c>
    </row>
    <row r="687" spans="1:22" x14ac:dyDescent="0.35">
      <c r="A687" s="1">
        <v>45550</v>
      </c>
      <c r="B687" t="s">
        <v>53</v>
      </c>
      <c r="C687" s="2">
        <v>0.41517361111111112</v>
      </c>
      <c r="D687" t="s">
        <v>1608</v>
      </c>
      <c r="E687" t="s">
        <v>41</v>
      </c>
      <c r="F687" t="s">
        <v>1609</v>
      </c>
      <c r="G687" t="s">
        <v>56</v>
      </c>
      <c r="H687" t="s">
        <v>489</v>
      </c>
      <c r="I687" t="s">
        <v>168</v>
      </c>
      <c r="J687">
        <v>10.1</v>
      </c>
      <c r="K687">
        <v>39.299999999999997</v>
      </c>
      <c r="L687" t="s">
        <v>29</v>
      </c>
      <c r="M687" t="s">
        <v>29</v>
      </c>
      <c r="N687" t="s">
        <v>29</v>
      </c>
      <c r="O687" t="s">
        <v>29</v>
      </c>
      <c r="P687" t="s">
        <v>29</v>
      </c>
      <c r="Q687" t="s">
        <v>29</v>
      </c>
      <c r="R687">
        <v>439</v>
      </c>
      <c r="S687">
        <v>44.05</v>
      </c>
      <c r="T687">
        <v>4.5999999999999996</v>
      </c>
      <c r="U687">
        <v>4.5999999999999996</v>
      </c>
      <c r="V687" t="s">
        <v>84</v>
      </c>
    </row>
    <row r="688" spans="1:22" x14ac:dyDescent="0.35">
      <c r="A688" s="1">
        <v>45365</v>
      </c>
      <c r="B688" t="s">
        <v>22</v>
      </c>
      <c r="C688" s="2">
        <v>0.44817129629629632</v>
      </c>
      <c r="D688" t="s">
        <v>1610</v>
      </c>
      <c r="E688" t="s">
        <v>24</v>
      </c>
      <c r="F688" t="s">
        <v>1611</v>
      </c>
      <c r="G688" t="s">
        <v>56</v>
      </c>
      <c r="H688" t="s">
        <v>62</v>
      </c>
      <c r="I688" t="s">
        <v>549</v>
      </c>
      <c r="J688" t="s">
        <v>29</v>
      </c>
      <c r="K688" t="s">
        <v>29</v>
      </c>
      <c r="L688" t="s">
        <v>29</v>
      </c>
      <c r="M688" t="s">
        <v>29</v>
      </c>
      <c r="N688" t="s">
        <v>29</v>
      </c>
      <c r="O688" t="s">
        <v>29</v>
      </c>
      <c r="P688" t="s">
        <v>29</v>
      </c>
      <c r="Q688" t="s">
        <v>29</v>
      </c>
      <c r="R688" t="s">
        <v>29</v>
      </c>
      <c r="S688" t="s">
        <v>29</v>
      </c>
      <c r="T688" t="s">
        <v>29</v>
      </c>
      <c r="U688" t="s">
        <v>29</v>
      </c>
      <c r="V688" t="s">
        <v>29</v>
      </c>
    </row>
    <row r="689" spans="1:22" x14ac:dyDescent="0.35">
      <c r="A689" s="1">
        <v>45618</v>
      </c>
      <c r="B689" t="s">
        <v>30</v>
      </c>
      <c r="C689" s="2">
        <v>0.87118055555555551</v>
      </c>
      <c r="D689" t="s">
        <v>1612</v>
      </c>
      <c r="E689" t="s">
        <v>41</v>
      </c>
      <c r="F689" t="s">
        <v>1613</v>
      </c>
      <c r="G689" t="s">
        <v>56</v>
      </c>
      <c r="H689" t="s">
        <v>449</v>
      </c>
      <c r="I689" t="s">
        <v>69</v>
      </c>
      <c r="J689">
        <v>10.7</v>
      </c>
      <c r="K689">
        <v>32</v>
      </c>
      <c r="L689" t="s">
        <v>29</v>
      </c>
      <c r="M689" t="s">
        <v>29</v>
      </c>
      <c r="N689" t="s">
        <v>29</v>
      </c>
      <c r="O689" t="s">
        <v>29</v>
      </c>
      <c r="P689" t="s">
        <v>29</v>
      </c>
      <c r="Q689" t="s">
        <v>29</v>
      </c>
      <c r="R689">
        <v>83</v>
      </c>
      <c r="S689">
        <v>16.64</v>
      </c>
      <c r="T689">
        <v>4.2</v>
      </c>
      <c r="U689">
        <v>4.0999999999999996</v>
      </c>
      <c r="V689" t="s">
        <v>107</v>
      </c>
    </row>
    <row r="690" spans="1:22" x14ac:dyDescent="0.35">
      <c r="A690" s="1">
        <v>45565</v>
      </c>
      <c r="B690" t="s">
        <v>53</v>
      </c>
      <c r="C690" s="2">
        <v>0.4541087962962963</v>
      </c>
      <c r="D690" t="s">
        <v>1614</v>
      </c>
      <c r="E690" t="s">
        <v>32</v>
      </c>
      <c r="F690" t="s">
        <v>1615</v>
      </c>
      <c r="G690" t="s">
        <v>56</v>
      </c>
      <c r="H690" t="s">
        <v>88</v>
      </c>
      <c r="I690" t="s">
        <v>267</v>
      </c>
      <c r="J690">
        <v>5.5</v>
      </c>
      <c r="K690">
        <v>13.2</v>
      </c>
      <c r="L690" t="s">
        <v>29</v>
      </c>
      <c r="M690" t="s">
        <v>29</v>
      </c>
      <c r="N690" t="s">
        <v>29</v>
      </c>
      <c r="O690" t="s">
        <v>29</v>
      </c>
      <c r="P690">
        <v>1</v>
      </c>
      <c r="Q690" t="s">
        <v>302</v>
      </c>
      <c r="R690">
        <v>745</v>
      </c>
      <c r="S690">
        <v>9.56</v>
      </c>
      <c r="T690" t="s">
        <v>29</v>
      </c>
      <c r="U690" t="s">
        <v>29</v>
      </c>
      <c r="V690" t="s">
        <v>84</v>
      </c>
    </row>
    <row r="691" spans="1:22" x14ac:dyDescent="0.35">
      <c r="A691" s="1">
        <v>45612</v>
      </c>
      <c r="B691" t="s">
        <v>30</v>
      </c>
      <c r="C691" s="2">
        <v>0.84753472222222226</v>
      </c>
      <c r="D691" t="s">
        <v>1616</v>
      </c>
      <c r="E691" t="s">
        <v>41</v>
      </c>
      <c r="F691" t="s">
        <v>1617</v>
      </c>
      <c r="G691" t="s">
        <v>50</v>
      </c>
      <c r="H691" t="s">
        <v>498</v>
      </c>
      <c r="I691" t="s">
        <v>102</v>
      </c>
      <c r="J691">
        <v>6.3</v>
      </c>
      <c r="K691">
        <v>19.5</v>
      </c>
      <c r="L691" t="s">
        <v>29</v>
      </c>
      <c r="M691" t="s">
        <v>29</v>
      </c>
      <c r="N691" t="s">
        <v>29</v>
      </c>
      <c r="O691" t="s">
        <v>29</v>
      </c>
      <c r="P691" t="s">
        <v>29</v>
      </c>
      <c r="Q691" t="s">
        <v>29</v>
      </c>
      <c r="R691">
        <v>171</v>
      </c>
      <c r="S691">
        <v>32.47</v>
      </c>
      <c r="T691">
        <v>4.9000000000000004</v>
      </c>
      <c r="U691">
        <v>3.4</v>
      </c>
      <c r="V691" t="s">
        <v>149</v>
      </c>
    </row>
    <row r="692" spans="1:22" x14ac:dyDescent="0.35">
      <c r="A692" s="1">
        <v>45648</v>
      </c>
      <c r="B692" t="s">
        <v>78</v>
      </c>
      <c r="C692" s="2">
        <v>0.71384259259259264</v>
      </c>
      <c r="D692" t="s">
        <v>1618</v>
      </c>
      <c r="E692" t="s">
        <v>24</v>
      </c>
      <c r="F692" t="s">
        <v>1619</v>
      </c>
      <c r="G692" t="s">
        <v>43</v>
      </c>
      <c r="H692" t="s">
        <v>355</v>
      </c>
      <c r="I692" t="s">
        <v>133</v>
      </c>
      <c r="J692" t="s">
        <v>29</v>
      </c>
      <c r="K692" t="s">
        <v>29</v>
      </c>
      <c r="L692" t="s">
        <v>29</v>
      </c>
      <c r="M692" t="s">
        <v>29</v>
      </c>
      <c r="N692" t="s">
        <v>29</v>
      </c>
      <c r="O692" t="s">
        <v>29</v>
      </c>
      <c r="P692" t="s">
        <v>29</v>
      </c>
      <c r="Q692" t="s">
        <v>29</v>
      </c>
      <c r="R692" t="s">
        <v>29</v>
      </c>
      <c r="S692" t="s">
        <v>29</v>
      </c>
      <c r="T692" t="s">
        <v>29</v>
      </c>
      <c r="U692" t="s">
        <v>29</v>
      </c>
      <c r="V692" t="s">
        <v>29</v>
      </c>
    </row>
    <row r="693" spans="1:22" x14ac:dyDescent="0.35">
      <c r="A693" s="1">
        <v>45584</v>
      </c>
      <c r="B693" t="s">
        <v>47</v>
      </c>
      <c r="C693" s="2">
        <v>0.70599537037037041</v>
      </c>
      <c r="D693" t="s">
        <v>1620</v>
      </c>
      <c r="E693" t="s">
        <v>41</v>
      </c>
      <c r="F693" t="s">
        <v>1621</v>
      </c>
      <c r="G693" t="s">
        <v>146</v>
      </c>
      <c r="H693" t="s">
        <v>299</v>
      </c>
      <c r="I693" t="s">
        <v>350</v>
      </c>
      <c r="J693">
        <v>6.5</v>
      </c>
      <c r="K693">
        <v>16.8</v>
      </c>
      <c r="L693" t="s">
        <v>29</v>
      </c>
      <c r="M693" t="s">
        <v>29</v>
      </c>
      <c r="N693" t="s">
        <v>29</v>
      </c>
      <c r="O693" t="s">
        <v>29</v>
      </c>
      <c r="P693" t="s">
        <v>29</v>
      </c>
      <c r="Q693" t="s">
        <v>29</v>
      </c>
      <c r="R693">
        <v>401</v>
      </c>
      <c r="S693">
        <v>22.96</v>
      </c>
      <c r="T693">
        <v>3.8</v>
      </c>
      <c r="U693">
        <v>4.5</v>
      </c>
      <c r="V693" t="s">
        <v>107</v>
      </c>
    </row>
    <row r="694" spans="1:22" x14ac:dyDescent="0.35">
      <c r="A694" s="1">
        <v>45474</v>
      </c>
      <c r="B694" t="s">
        <v>108</v>
      </c>
      <c r="C694" s="2">
        <v>0.20030092592592594</v>
      </c>
      <c r="D694" t="s">
        <v>1622</v>
      </c>
      <c r="E694" t="s">
        <v>93</v>
      </c>
      <c r="F694" t="s">
        <v>1623</v>
      </c>
      <c r="G694" t="s">
        <v>43</v>
      </c>
      <c r="H694" t="s">
        <v>77</v>
      </c>
      <c r="I694" t="s">
        <v>96</v>
      </c>
      <c r="J694">
        <v>8.3000000000000007</v>
      </c>
      <c r="K694" t="s">
        <v>29</v>
      </c>
      <c r="L694" t="s">
        <v>29</v>
      </c>
      <c r="M694" t="s">
        <v>29</v>
      </c>
      <c r="N694">
        <v>1</v>
      </c>
      <c r="O694" t="s">
        <v>169</v>
      </c>
      <c r="P694" t="s">
        <v>29</v>
      </c>
      <c r="Q694" t="s">
        <v>29</v>
      </c>
      <c r="R694" t="s">
        <v>29</v>
      </c>
      <c r="S694" t="s">
        <v>29</v>
      </c>
      <c r="T694" t="s">
        <v>29</v>
      </c>
      <c r="U694" t="s">
        <v>29</v>
      </c>
      <c r="V694" t="s">
        <v>29</v>
      </c>
    </row>
    <row r="695" spans="1:22" x14ac:dyDescent="0.35">
      <c r="A695" s="1">
        <v>45542</v>
      </c>
      <c r="B695" t="s">
        <v>53</v>
      </c>
      <c r="C695" s="2">
        <v>0.34233796296296298</v>
      </c>
      <c r="D695" t="s">
        <v>1624</v>
      </c>
      <c r="E695" t="s">
        <v>41</v>
      </c>
      <c r="F695" t="s">
        <v>1625</v>
      </c>
      <c r="G695" t="s">
        <v>50</v>
      </c>
      <c r="H695" t="s">
        <v>220</v>
      </c>
      <c r="I695" t="s">
        <v>177</v>
      </c>
      <c r="J695">
        <v>5.2</v>
      </c>
      <c r="K695">
        <v>43.9</v>
      </c>
      <c r="L695" t="s">
        <v>29</v>
      </c>
      <c r="M695" t="s">
        <v>29</v>
      </c>
      <c r="N695" t="s">
        <v>29</v>
      </c>
      <c r="O695" t="s">
        <v>29</v>
      </c>
      <c r="P695" t="s">
        <v>29</v>
      </c>
      <c r="Q695" t="s">
        <v>29</v>
      </c>
      <c r="R695">
        <v>1320</v>
      </c>
      <c r="S695">
        <v>39.700000000000003</v>
      </c>
      <c r="T695">
        <v>4.9000000000000004</v>
      </c>
      <c r="U695">
        <v>4.9000000000000004</v>
      </c>
      <c r="V695" t="s">
        <v>46</v>
      </c>
    </row>
    <row r="696" spans="1:22" x14ac:dyDescent="0.35">
      <c r="A696" s="1">
        <v>45604</v>
      </c>
      <c r="B696" t="s">
        <v>30</v>
      </c>
      <c r="C696" s="2">
        <v>0.3868402777777778</v>
      </c>
      <c r="D696" t="s">
        <v>1626</v>
      </c>
      <c r="E696" t="s">
        <v>41</v>
      </c>
      <c r="F696" t="s">
        <v>1627</v>
      </c>
      <c r="G696" t="s">
        <v>34</v>
      </c>
      <c r="H696" t="s">
        <v>193</v>
      </c>
      <c r="I696" t="s">
        <v>739</v>
      </c>
      <c r="J696">
        <v>14</v>
      </c>
      <c r="K696">
        <v>24.3</v>
      </c>
      <c r="L696" t="s">
        <v>29</v>
      </c>
      <c r="M696" t="s">
        <v>29</v>
      </c>
      <c r="N696" t="s">
        <v>29</v>
      </c>
      <c r="O696" t="s">
        <v>29</v>
      </c>
      <c r="P696" t="s">
        <v>29</v>
      </c>
      <c r="Q696" t="s">
        <v>29</v>
      </c>
      <c r="R696">
        <v>1614</v>
      </c>
      <c r="S696">
        <v>34.5</v>
      </c>
      <c r="T696">
        <v>4.3</v>
      </c>
      <c r="U696">
        <v>4.3</v>
      </c>
      <c r="V696" t="s">
        <v>46</v>
      </c>
    </row>
    <row r="697" spans="1:22" x14ac:dyDescent="0.35">
      <c r="A697" s="1">
        <v>45625</v>
      </c>
      <c r="B697" t="s">
        <v>30</v>
      </c>
      <c r="C697" s="2">
        <v>0.77465277777777775</v>
      </c>
      <c r="D697" t="s">
        <v>1628</v>
      </c>
      <c r="E697" t="s">
        <v>41</v>
      </c>
      <c r="F697" t="s">
        <v>1629</v>
      </c>
      <c r="G697" t="s">
        <v>34</v>
      </c>
      <c r="H697" t="s">
        <v>665</v>
      </c>
      <c r="I697" t="s">
        <v>320</v>
      </c>
      <c r="J697">
        <v>10.6</v>
      </c>
      <c r="K697">
        <v>26.8</v>
      </c>
      <c r="L697" t="s">
        <v>29</v>
      </c>
      <c r="M697" t="s">
        <v>29</v>
      </c>
      <c r="N697" t="s">
        <v>29</v>
      </c>
      <c r="O697" t="s">
        <v>29</v>
      </c>
      <c r="P697" t="s">
        <v>29</v>
      </c>
      <c r="Q697" t="s">
        <v>29</v>
      </c>
      <c r="R697">
        <v>879</v>
      </c>
      <c r="S697">
        <v>22.24</v>
      </c>
      <c r="T697">
        <v>4.8</v>
      </c>
      <c r="U697">
        <v>4.3</v>
      </c>
      <c r="V697" t="s">
        <v>84</v>
      </c>
    </row>
    <row r="698" spans="1:22" x14ac:dyDescent="0.35">
      <c r="A698" s="1">
        <v>45500</v>
      </c>
      <c r="B698" t="s">
        <v>108</v>
      </c>
      <c r="C698" s="2">
        <v>0.63812500000000005</v>
      </c>
      <c r="D698" t="s">
        <v>1630</v>
      </c>
      <c r="E698" t="s">
        <v>41</v>
      </c>
      <c r="F698" t="s">
        <v>1631</v>
      </c>
      <c r="G698" t="s">
        <v>67</v>
      </c>
      <c r="H698" t="s">
        <v>214</v>
      </c>
      <c r="I698" t="s">
        <v>82</v>
      </c>
      <c r="J698">
        <v>5.4</v>
      </c>
      <c r="K698">
        <v>19</v>
      </c>
      <c r="L698" t="s">
        <v>29</v>
      </c>
      <c r="M698" t="s">
        <v>29</v>
      </c>
      <c r="N698" t="s">
        <v>29</v>
      </c>
      <c r="O698" t="s">
        <v>29</v>
      </c>
      <c r="P698" t="s">
        <v>29</v>
      </c>
      <c r="Q698" t="s">
        <v>29</v>
      </c>
      <c r="R698">
        <v>218</v>
      </c>
      <c r="S698">
        <v>23.13</v>
      </c>
      <c r="T698">
        <v>4.8</v>
      </c>
      <c r="U698">
        <v>4.5</v>
      </c>
      <c r="V698" t="s">
        <v>84</v>
      </c>
    </row>
    <row r="699" spans="1:22" x14ac:dyDescent="0.35">
      <c r="A699" s="1">
        <v>45409</v>
      </c>
      <c r="B699" t="s">
        <v>154</v>
      </c>
      <c r="C699" s="2">
        <v>0.76858796296296295</v>
      </c>
      <c r="D699" t="s">
        <v>1632</v>
      </c>
      <c r="E699" t="s">
        <v>41</v>
      </c>
      <c r="F699" t="s">
        <v>1633</v>
      </c>
      <c r="G699" t="s">
        <v>56</v>
      </c>
      <c r="H699" t="s">
        <v>28</v>
      </c>
      <c r="I699" t="s">
        <v>520</v>
      </c>
      <c r="J699">
        <v>4.5999999999999996</v>
      </c>
      <c r="K699">
        <v>39.5</v>
      </c>
      <c r="L699" t="s">
        <v>29</v>
      </c>
      <c r="M699" t="s">
        <v>29</v>
      </c>
      <c r="N699" t="s">
        <v>29</v>
      </c>
      <c r="O699" t="s">
        <v>29</v>
      </c>
      <c r="P699" t="s">
        <v>29</v>
      </c>
      <c r="Q699" t="s">
        <v>29</v>
      </c>
      <c r="R699">
        <v>165</v>
      </c>
      <c r="S699">
        <v>39.31</v>
      </c>
      <c r="T699">
        <v>4.3</v>
      </c>
      <c r="U699">
        <v>4.7</v>
      </c>
      <c r="V699" t="s">
        <v>84</v>
      </c>
    </row>
    <row r="700" spans="1:22" x14ac:dyDescent="0.35">
      <c r="A700" s="1">
        <v>45361</v>
      </c>
      <c r="B700" t="s">
        <v>22</v>
      </c>
      <c r="C700" s="2">
        <v>0.82671296296296293</v>
      </c>
      <c r="D700" t="s">
        <v>1634</v>
      </c>
      <c r="E700" t="s">
        <v>41</v>
      </c>
      <c r="F700" t="s">
        <v>1635</v>
      </c>
      <c r="G700" t="s">
        <v>43</v>
      </c>
      <c r="H700" t="s">
        <v>739</v>
      </c>
      <c r="I700" t="s">
        <v>238</v>
      </c>
      <c r="J700">
        <v>12.5</v>
      </c>
      <c r="K700">
        <v>23.2</v>
      </c>
      <c r="L700" t="s">
        <v>29</v>
      </c>
      <c r="M700" t="s">
        <v>29</v>
      </c>
      <c r="N700" t="s">
        <v>29</v>
      </c>
      <c r="O700" t="s">
        <v>29</v>
      </c>
      <c r="P700" t="s">
        <v>29</v>
      </c>
      <c r="Q700" t="s">
        <v>29</v>
      </c>
      <c r="R700">
        <v>221</v>
      </c>
      <c r="S700">
        <v>49.17</v>
      </c>
      <c r="T700">
        <v>3.7</v>
      </c>
      <c r="U700">
        <v>4.3</v>
      </c>
      <c r="V700" t="s">
        <v>84</v>
      </c>
    </row>
    <row r="701" spans="1:22" x14ac:dyDescent="0.35">
      <c r="A701" s="1">
        <v>45377</v>
      </c>
      <c r="B701" t="s">
        <v>22</v>
      </c>
      <c r="C701" s="2">
        <v>5.3275462962962962E-2</v>
      </c>
      <c r="D701" t="s">
        <v>1636</v>
      </c>
      <c r="E701" t="s">
        <v>41</v>
      </c>
      <c r="F701" t="s">
        <v>1637</v>
      </c>
      <c r="G701" t="s">
        <v>43</v>
      </c>
      <c r="H701" t="s">
        <v>714</v>
      </c>
      <c r="I701" t="s">
        <v>57</v>
      </c>
      <c r="J701">
        <v>5.4</v>
      </c>
      <c r="K701">
        <v>19</v>
      </c>
      <c r="L701" t="s">
        <v>29</v>
      </c>
      <c r="M701" t="s">
        <v>29</v>
      </c>
      <c r="N701" t="s">
        <v>29</v>
      </c>
      <c r="O701" t="s">
        <v>29</v>
      </c>
      <c r="P701" t="s">
        <v>29</v>
      </c>
      <c r="Q701" t="s">
        <v>29</v>
      </c>
      <c r="R701">
        <v>474</v>
      </c>
      <c r="S701">
        <v>46.22</v>
      </c>
      <c r="T701">
        <v>4.2</v>
      </c>
      <c r="U701">
        <v>4.5999999999999996</v>
      </c>
      <c r="V701" t="s">
        <v>149</v>
      </c>
    </row>
    <row r="702" spans="1:22" x14ac:dyDescent="0.35">
      <c r="A702" s="1">
        <v>45478</v>
      </c>
      <c r="B702" t="s">
        <v>108</v>
      </c>
      <c r="C702" s="2">
        <v>0.9616203703703704</v>
      </c>
      <c r="D702" t="s">
        <v>1638</v>
      </c>
      <c r="E702" t="s">
        <v>93</v>
      </c>
      <c r="F702" t="s">
        <v>1639</v>
      </c>
      <c r="G702" t="s">
        <v>43</v>
      </c>
      <c r="H702" t="s">
        <v>489</v>
      </c>
      <c r="I702" t="s">
        <v>474</v>
      </c>
      <c r="J702">
        <v>8.8000000000000007</v>
      </c>
      <c r="K702" t="s">
        <v>29</v>
      </c>
      <c r="L702" t="s">
        <v>29</v>
      </c>
      <c r="M702" t="s">
        <v>29</v>
      </c>
      <c r="N702">
        <v>1</v>
      </c>
      <c r="O702" t="s">
        <v>337</v>
      </c>
      <c r="P702" t="s">
        <v>29</v>
      </c>
      <c r="Q702" t="s">
        <v>29</v>
      </c>
      <c r="R702" t="s">
        <v>29</v>
      </c>
      <c r="S702" t="s">
        <v>29</v>
      </c>
      <c r="T702" t="s">
        <v>29</v>
      </c>
      <c r="U702" t="s">
        <v>29</v>
      </c>
      <c r="V702" t="s">
        <v>29</v>
      </c>
    </row>
    <row r="703" spans="1:22" x14ac:dyDescent="0.35">
      <c r="A703" s="1">
        <v>45356</v>
      </c>
      <c r="B703" t="s">
        <v>22</v>
      </c>
      <c r="C703" s="2">
        <v>0.58130787037037035</v>
      </c>
      <c r="D703" t="s">
        <v>1640</v>
      </c>
      <c r="E703" t="s">
        <v>41</v>
      </c>
      <c r="F703" t="s">
        <v>1641</v>
      </c>
      <c r="G703" t="s">
        <v>56</v>
      </c>
      <c r="H703" t="s">
        <v>221</v>
      </c>
      <c r="I703" t="s">
        <v>493</v>
      </c>
      <c r="J703">
        <v>2.6</v>
      </c>
      <c r="K703">
        <v>23.4</v>
      </c>
      <c r="L703" t="s">
        <v>29</v>
      </c>
      <c r="M703" t="s">
        <v>29</v>
      </c>
      <c r="N703" t="s">
        <v>29</v>
      </c>
      <c r="O703" t="s">
        <v>29</v>
      </c>
      <c r="P703" t="s">
        <v>29</v>
      </c>
      <c r="Q703" t="s">
        <v>29</v>
      </c>
      <c r="R703">
        <v>820</v>
      </c>
      <c r="S703">
        <v>22.06</v>
      </c>
      <c r="T703">
        <v>4</v>
      </c>
      <c r="U703">
        <v>4.4000000000000004</v>
      </c>
      <c r="V703" t="s">
        <v>38</v>
      </c>
    </row>
    <row r="704" spans="1:22" x14ac:dyDescent="0.35">
      <c r="A704" s="1">
        <v>45605</v>
      </c>
      <c r="B704" t="s">
        <v>30</v>
      </c>
      <c r="C704" s="2">
        <v>0.67480324074074072</v>
      </c>
      <c r="D704" t="s">
        <v>1642</v>
      </c>
      <c r="E704" t="s">
        <v>24</v>
      </c>
      <c r="F704" t="s">
        <v>1643</v>
      </c>
      <c r="G704" t="s">
        <v>50</v>
      </c>
      <c r="H704" t="s">
        <v>227</v>
      </c>
      <c r="I704" t="s">
        <v>193</v>
      </c>
      <c r="J704" t="s">
        <v>29</v>
      </c>
      <c r="K704" t="s">
        <v>29</v>
      </c>
      <c r="L704" t="s">
        <v>29</v>
      </c>
      <c r="M704" t="s">
        <v>29</v>
      </c>
      <c r="N704" t="s">
        <v>29</v>
      </c>
      <c r="O704" t="s">
        <v>29</v>
      </c>
      <c r="P704" t="s">
        <v>29</v>
      </c>
      <c r="Q704" t="s">
        <v>29</v>
      </c>
      <c r="R704" t="s">
        <v>29</v>
      </c>
      <c r="S704" t="s">
        <v>29</v>
      </c>
      <c r="T704" t="s">
        <v>29</v>
      </c>
      <c r="U704" t="s">
        <v>29</v>
      </c>
      <c r="V704" t="s">
        <v>29</v>
      </c>
    </row>
    <row r="705" spans="1:22" x14ac:dyDescent="0.35">
      <c r="A705" s="1">
        <v>45629</v>
      </c>
      <c r="B705" t="s">
        <v>78</v>
      </c>
      <c r="C705" s="2">
        <v>0.72969907407407408</v>
      </c>
      <c r="D705" t="s">
        <v>1644</v>
      </c>
      <c r="E705" t="s">
        <v>93</v>
      </c>
      <c r="F705" t="s">
        <v>1645</v>
      </c>
      <c r="G705" t="s">
        <v>43</v>
      </c>
      <c r="H705" t="s">
        <v>498</v>
      </c>
      <c r="I705" t="s">
        <v>407</v>
      </c>
      <c r="J705">
        <v>8.9</v>
      </c>
      <c r="K705" t="s">
        <v>29</v>
      </c>
      <c r="L705" t="s">
        <v>29</v>
      </c>
      <c r="M705" t="s">
        <v>29</v>
      </c>
      <c r="N705">
        <v>1</v>
      </c>
      <c r="O705" t="s">
        <v>115</v>
      </c>
      <c r="P705" t="s">
        <v>29</v>
      </c>
      <c r="Q705" t="s">
        <v>29</v>
      </c>
      <c r="R705" t="s">
        <v>29</v>
      </c>
      <c r="S705" t="s">
        <v>29</v>
      </c>
      <c r="T705" t="s">
        <v>29</v>
      </c>
      <c r="U705" t="s">
        <v>29</v>
      </c>
      <c r="V705" t="s">
        <v>29</v>
      </c>
    </row>
    <row r="706" spans="1:22" x14ac:dyDescent="0.35">
      <c r="A706" s="1">
        <v>45590</v>
      </c>
      <c r="B706" t="s">
        <v>47</v>
      </c>
      <c r="C706" s="2">
        <v>0.52309027777777772</v>
      </c>
      <c r="D706" t="s">
        <v>1646</v>
      </c>
      <c r="E706" t="s">
        <v>41</v>
      </c>
      <c r="F706" t="s">
        <v>1647</v>
      </c>
      <c r="G706" t="s">
        <v>56</v>
      </c>
      <c r="H706" t="s">
        <v>486</v>
      </c>
      <c r="I706" t="s">
        <v>106</v>
      </c>
      <c r="J706">
        <v>7.5</v>
      </c>
      <c r="K706">
        <v>40</v>
      </c>
      <c r="L706" t="s">
        <v>29</v>
      </c>
      <c r="M706" t="s">
        <v>29</v>
      </c>
      <c r="N706" t="s">
        <v>29</v>
      </c>
      <c r="O706" t="s">
        <v>29</v>
      </c>
      <c r="P706" t="s">
        <v>29</v>
      </c>
      <c r="Q706" t="s">
        <v>29</v>
      </c>
      <c r="R706">
        <v>358</v>
      </c>
      <c r="S706">
        <v>23.98</v>
      </c>
      <c r="T706">
        <v>4.3</v>
      </c>
      <c r="U706">
        <v>5</v>
      </c>
      <c r="V706" t="s">
        <v>84</v>
      </c>
    </row>
    <row r="707" spans="1:22" x14ac:dyDescent="0.35">
      <c r="A707" s="1">
        <v>45312</v>
      </c>
      <c r="B707" t="s">
        <v>150</v>
      </c>
      <c r="C707" s="2">
        <v>3.8900462962962963E-2</v>
      </c>
      <c r="D707" t="s">
        <v>1648</v>
      </c>
      <c r="E707" t="s">
        <v>93</v>
      </c>
      <c r="F707" t="s">
        <v>1649</v>
      </c>
      <c r="G707" t="s">
        <v>56</v>
      </c>
      <c r="H707" t="s">
        <v>177</v>
      </c>
      <c r="I707" t="s">
        <v>552</v>
      </c>
      <c r="J707">
        <v>3.8</v>
      </c>
      <c r="K707" t="s">
        <v>29</v>
      </c>
      <c r="L707" t="s">
        <v>29</v>
      </c>
      <c r="M707" t="s">
        <v>29</v>
      </c>
      <c r="N707">
        <v>1</v>
      </c>
      <c r="O707" t="s">
        <v>169</v>
      </c>
      <c r="P707" t="s">
        <v>29</v>
      </c>
      <c r="Q707" t="s">
        <v>29</v>
      </c>
      <c r="R707" t="s">
        <v>29</v>
      </c>
      <c r="S707" t="s">
        <v>29</v>
      </c>
      <c r="T707" t="s">
        <v>29</v>
      </c>
      <c r="U707" t="s">
        <v>29</v>
      </c>
      <c r="V707" t="s">
        <v>29</v>
      </c>
    </row>
    <row r="708" spans="1:22" x14ac:dyDescent="0.35">
      <c r="A708" s="1">
        <v>45562</v>
      </c>
      <c r="B708" t="s">
        <v>53</v>
      </c>
      <c r="C708" s="2">
        <v>0.13099537037037037</v>
      </c>
      <c r="D708" t="s">
        <v>1650</v>
      </c>
      <c r="E708" t="s">
        <v>41</v>
      </c>
      <c r="F708" t="s">
        <v>1651</v>
      </c>
      <c r="G708" t="s">
        <v>50</v>
      </c>
      <c r="H708" t="s">
        <v>531</v>
      </c>
      <c r="I708" t="s">
        <v>73</v>
      </c>
      <c r="J708">
        <v>4</v>
      </c>
      <c r="K708">
        <v>36.4</v>
      </c>
      <c r="L708" t="s">
        <v>29</v>
      </c>
      <c r="M708" t="s">
        <v>29</v>
      </c>
      <c r="N708" t="s">
        <v>29</v>
      </c>
      <c r="O708" t="s">
        <v>29</v>
      </c>
      <c r="P708" t="s">
        <v>29</v>
      </c>
      <c r="Q708" t="s">
        <v>29</v>
      </c>
      <c r="R708">
        <v>489</v>
      </c>
      <c r="S708">
        <v>45.72</v>
      </c>
      <c r="T708">
        <v>4.7</v>
      </c>
      <c r="U708">
        <v>4.9000000000000004</v>
      </c>
      <c r="V708" t="s">
        <v>38</v>
      </c>
    </row>
    <row r="709" spans="1:22" x14ac:dyDescent="0.35">
      <c r="A709" s="1">
        <v>45522</v>
      </c>
      <c r="B709" t="s">
        <v>39</v>
      </c>
      <c r="C709" s="2">
        <v>0.9212731481481482</v>
      </c>
      <c r="D709" t="s">
        <v>1652</v>
      </c>
      <c r="E709" t="s">
        <v>32</v>
      </c>
      <c r="F709" t="s">
        <v>1653</v>
      </c>
      <c r="G709" t="s">
        <v>67</v>
      </c>
      <c r="H709" t="s">
        <v>536</v>
      </c>
      <c r="I709" t="s">
        <v>35</v>
      </c>
      <c r="J709">
        <v>5.0999999999999996</v>
      </c>
      <c r="K709">
        <v>19.899999999999999</v>
      </c>
      <c r="L709" t="s">
        <v>29</v>
      </c>
      <c r="M709" t="s">
        <v>29</v>
      </c>
      <c r="N709" t="s">
        <v>29</v>
      </c>
      <c r="O709" t="s">
        <v>29</v>
      </c>
      <c r="P709">
        <v>1</v>
      </c>
      <c r="Q709" t="s">
        <v>83</v>
      </c>
      <c r="R709">
        <v>367</v>
      </c>
      <c r="S709">
        <v>5.57</v>
      </c>
      <c r="T709" t="s">
        <v>29</v>
      </c>
      <c r="U709" t="s">
        <v>29</v>
      </c>
      <c r="V709" t="s">
        <v>38</v>
      </c>
    </row>
    <row r="710" spans="1:22" x14ac:dyDescent="0.35">
      <c r="A710" s="1">
        <v>45375</v>
      </c>
      <c r="B710" t="s">
        <v>22</v>
      </c>
      <c r="C710" s="2">
        <v>0.33594907407407409</v>
      </c>
      <c r="D710" t="s">
        <v>1654</v>
      </c>
      <c r="E710" t="s">
        <v>32</v>
      </c>
      <c r="F710" t="s">
        <v>1655</v>
      </c>
      <c r="G710" t="s">
        <v>67</v>
      </c>
      <c r="H710" t="s">
        <v>520</v>
      </c>
      <c r="I710" t="s">
        <v>119</v>
      </c>
      <c r="J710">
        <v>8</v>
      </c>
      <c r="K710">
        <v>16.899999999999999</v>
      </c>
      <c r="L710" t="s">
        <v>29</v>
      </c>
      <c r="M710" t="s">
        <v>29</v>
      </c>
      <c r="N710" t="s">
        <v>29</v>
      </c>
      <c r="O710" t="s">
        <v>29</v>
      </c>
      <c r="P710">
        <v>1</v>
      </c>
      <c r="Q710" t="s">
        <v>83</v>
      </c>
      <c r="R710">
        <v>1682</v>
      </c>
      <c r="S710">
        <v>7.6</v>
      </c>
      <c r="T710" t="s">
        <v>29</v>
      </c>
      <c r="U710" t="s">
        <v>29</v>
      </c>
      <c r="V710" t="s">
        <v>46</v>
      </c>
    </row>
    <row r="711" spans="1:22" x14ac:dyDescent="0.35">
      <c r="A711" s="1">
        <v>45596</v>
      </c>
      <c r="B711" t="s">
        <v>47</v>
      </c>
      <c r="C711" s="2">
        <v>0.98392361111111115</v>
      </c>
      <c r="D711" t="s">
        <v>1656</v>
      </c>
      <c r="E711" t="s">
        <v>24</v>
      </c>
      <c r="F711" t="s">
        <v>1657</v>
      </c>
      <c r="G711" t="s">
        <v>67</v>
      </c>
      <c r="H711" t="s">
        <v>1035</v>
      </c>
      <c r="I711" t="s">
        <v>249</v>
      </c>
      <c r="J711" t="s">
        <v>29</v>
      </c>
      <c r="K711" t="s">
        <v>29</v>
      </c>
      <c r="L711" t="s">
        <v>29</v>
      </c>
      <c r="M711" t="s">
        <v>29</v>
      </c>
      <c r="N711" t="s">
        <v>29</v>
      </c>
      <c r="O711" t="s">
        <v>29</v>
      </c>
      <c r="P711" t="s">
        <v>29</v>
      </c>
      <c r="Q711" t="s">
        <v>29</v>
      </c>
      <c r="R711" t="s">
        <v>29</v>
      </c>
      <c r="S711" t="s">
        <v>29</v>
      </c>
      <c r="T711" t="s">
        <v>29</v>
      </c>
      <c r="U711" t="s">
        <v>29</v>
      </c>
      <c r="V711" t="s">
        <v>29</v>
      </c>
    </row>
    <row r="712" spans="1:22" x14ac:dyDescent="0.35">
      <c r="A712" s="1">
        <v>45537</v>
      </c>
      <c r="B712" t="s">
        <v>53</v>
      </c>
      <c r="C712" s="2">
        <v>0.60745370370370366</v>
      </c>
      <c r="D712" t="s">
        <v>1658</v>
      </c>
      <c r="E712" t="s">
        <v>41</v>
      </c>
      <c r="F712" t="s">
        <v>1659</v>
      </c>
      <c r="G712" t="s">
        <v>50</v>
      </c>
      <c r="H712" t="s">
        <v>366</v>
      </c>
      <c r="I712" t="s">
        <v>315</v>
      </c>
      <c r="J712">
        <v>4.3</v>
      </c>
      <c r="K712">
        <v>43.5</v>
      </c>
      <c r="L712" t="s">
        <v>29</v>
      </c>
      <c r="M712" t="s">
        <v>29</v>
      </c>
      <c r="N712" t="s">
        <v>29</v>
      </c>
      <c r="O712" t="s">
        <v>29</v>
      </c>
      <c r="P712" t="s">
        <v>29</v>
      </c>
      <c r="Q712" t="s">
        <v>29</v>
      </c>
      <c r="R712">
        <v>55</v>
      </c>
      <c r="S712">
        <v>3.02</v>
      </c>
      <c r="T712">
        <v>4.5999999999999996</v>
      </c>
      <c r="U712">
        <v>4.8</v>
      </c>
      <c r="V712" t="s">
        <v>107</v>
      </c>
    </row>
    <row r="713" spans="1:22" x14ac:dyDescent="0.35">
      <c r="A713" s="1">
        <v>45326</v>
      </c>
      <c r="B713" t="s">
        <v>59</v>
      </c>
      <c r="C713" s="2">
        <v>0.66825231481481484</v>
      </c>
      <c r="D713" t="s">
        <v>1660</v>
      </c>
      <c r="E713" t="s">
        <v>117</v>
      </c>
      <c r="F713" t="s">
        <v>1661</v>
      </c>
      <c r="G713" t="s">
        <v>67</v>
      </c>
      <c r="H713" t="s">
        <v>68</v>
      </c>
      <c r="I713" t="s">
        <v>136</v>
      </c>
      <c r="J713">
        <v>17.600000000000001</v>
      </c>
      <c r="K713" t="s">
        <v>29</v>
      </c>
      <c r="L713">
        <v>1</v>
      </c>
      <c r="M713" t="s">
        <v>490</v>
      </c>
      <c r="N713" t="s">
        <v>29</v>
      </c>
      <c r="O713" t="s">
        <v>29</v>
      </c>
      <c r="P713" t="s">
        <v>29</v>
      </c>
      <c r="Q713" t="s">
        <v>29</v>
      </c>
      <c r="R713" t="s">
        <v>29</v>
      </c>
      <c r="S713" t="s">
        <v>29</v>
      </c>
      <c r="T713" t="s">
        <v>29</v>
      </c>
      <c r="U713" t="s">
        <v>29</v>
      </c>
      <c r="V713" t="s">
        <v>29</v>
      </c>
    </row>
    <row r="714" spans="1:22" x14ac:dyDescent="0.35">
      <c r="A714" s="1">
        <v>45342</v>
      </c>
      <c r="B714" t="s">
        <v>59</v>
      </c>
      <c r="C714" s="2">
        <v>0.57549768518518518</v>
      </c>
      <c r="D714" t="s">
        <v>1662</v>
      </c>
      <c r="E714" t="s">
        <v>93</v>
      </c>
      <c r="F714" t="s">
        <v>1663</v>
      </c>
      <c r="G714" t="s">
        <v>50</v>
      </c>
      <c r="H714" t="s">
        <v>153</v>
      </c>
      <c r="I714" t="s">
        <v>293</v>
      </c>
      <c r="J714">
        <v>3.9</v>
      </c>
      <c r="K714" t="s">
        <v>29</v>
      </c>
      <c r="L714" t="s">
        <v>29</v>
      </c>
      <c r="M714" t="s">
        <v>29</v>
      </c>
      <c r="N714">
        <v>1</v>
      </c>
      <c r="O714" t="s">
        <v>337</v>
      </c>
      <c r="P714" t="s">
        <v>29</v>
      </c>
      <c r="Q714" t="s">
        <v>29</v>
      </c>
      <c r="R714" t="s">
        <v>29</v>
      </c>
      <c r="S714" t="s">
        <v>29</v>
      </c>
      <c r="T714" t="s">
        <v>29</v>
      </c>
      <c r="U714" t="s">
        <v>29</v>
      </c>
      <c r="V714" t="s">
        <v>29</v>
      </c>
    </row>
    <row r="715" spans="1:22" x14ac:dyDescent="0.35">
      <c r="A715" s="1">
        <v>45354</v>
      </c>
      <c r="B715" t="s">
        <v>22</v>
      </c>
      <c r="C715" s="2">
        <v>1.800925925925926E-2</v>
      </c>
      <c r="D715" t="s">
        <v>1664</v>
      </c>
      <c r="E715" t="s">
        <v>41</v>
      </c>
      <c r="F715" t="s">
        <v>1665</v>
      </c>
      <c r="G715" t="s">
        <v>34</v>
      </c>
      <c r="H715" t="s">
        <v>189</v>
      </c>
      <c r="I715" t="s">
        <v>463</v>
      </c>
      <c r="J715">
        <v>4.8</v>
      </c>
      <c r="K715">
        <v>29.3</v>
      </c>
      <c r="L715" t="s">
        <v>29</v>
      </c>
      <c r="M715" t="s">
        <v>29</v>
      </c>
      <c r="N715" t="s">
        <v>29</v>
      </c>
      <c r="O715" t="s">
        <v>29</v>
      </c>
      <c r="P715" t="s">
        <v>29</v>
      </c>
      <c r="Q715" t="s">
        <v>29</v>
      </c>
      <c r="R715">
        <v>395</v>
      </c>
      <c r="S715">
        <v>14.95</v>
      </c>
      <c r="T715">
        <v>4.5</v>
      </c>
      <c r="U715">
        <v>4.2</v>
      </c>
      <c r="V715" t="s">
        <v>38</v>
      </c>
    </row>
    <row r="716" spans="1:22" x14ac:dyDescent="0.35">
      <c r="A716" s="1">
        <v>45428</v>
      </c>
      <c r="B716" t="s">
        <v>122</v>
      </c>
      <c r="C716" s="2">
        <v>0.81609953703703708</v>
      </c>
      <c r="D716" t="s">
        <v>1666</v>
      </c>
      <c r="E716" t="s">
        <v>41</v>
      </c>
      <c r="F716" t="s">
        <v>1667</v>
      </c>
      <c r="G716" t="s">
        <v>43</v>
      </c>
      <c r="H716" t="s">
        <v>173</v>
      </c>
      <c r="I716" t="s">
        <v>143</v>
      </c>
      <c r="J716">
        <v>6.4</v>
      </c>
      <c r="K716">
        <v>21.2</v>
      </c>
      <c r="L716" t="s">
        <v>29</v>
      </c>
      <c r="M716" t="s">
        <v>29</v>
      </c>
      <c r="N716" t="s">
        <v>29</v>
      </c>
      <c r="O716" t="s">
        <v>29</v>
      </c>
      <c r="P716" t="s">
        <v>29</v>
      </c>
      <c r="Q716" t="s">
        <v>29</v>
      </c>
      <c r="R716">
        <v>69</v>
      </c>
      <c r="S716">
        <v>7.76</v>
      </c>
      <c r="T716">
        <v>4.4000000000000004</v>
      </c>
      <c r="U716">
        <v>4.7</v>
      </c>
      <c r="V716" t="s">
        <v>84</v>
      </c>
    </row>
    <row r="717" spans="1:22" x14ac:dyDescent="0.35">
      <c r="A717" s="1">
        <v>45549</v>
      </c>
      <c r="B717" t="s">
        <v>53</v>
      </c>
      <c r="C717" s="2">
        <v>0.65663194444444439</v>
      </c>
      <c r="D717" t="s">
        <v>1668</v>
      </c>
      <c r="E717" t="s">
        <v>117</v>
      </c>
      <c r="F717" t="s">
        <v>1669</v>
      </c>
      <c r="G717" t="s">
        <v>50</v>
      </c>
      <c r="H717" t="s">
        <v>312</v>
      </c>
      <c r="I717" t="s">
        <v>177</v>
      </c>
      <c r="J717">
        <v>10.6</v>
      </c>
      <c r="K717" t="s">
        <v>29</v>
      </c>
      <c r="L717">
        <v>1</v>
      </c>
      <c r="M717" t="s">
        <v>121</v>
      </c>
      <c r="N717" t="s">
        <v>29</v>
      </c>
      <c r="O717" t="s">
        <v>29</v>
      </c>
      <c r="P717" t="s">
        <v>29</v>
      </c>
      <c r="Q717" t="s">
        <v>29</v>
      </c>
      <c r="R717" t="s">
        <v>29</v>
      </c>
      <c r="S717" t="s">
        <v>29</v>
      </c>
      <c r="T717" t="s">
        <v>29</v>
      </c>
      <c r="U717" t="s">
        <v>29</v>
      </c>
      <c r="V717" t="s">
        <v>29</v>
      </c>
    </row>
    <row r="718" spans="1:22" x14ac:dyDescent="0.35">
      <c r="A718" s="1">
        <v>45624</v>
      </c>
      <c r="B718" t="s">
        <v>30</v>
      </c>
      <c r="C718" s="2">
        <v>0.27150462962962962</v>
      </c>
      <c r="D718" t="s">
        <v>1670</v>
      </c>
      <c r="E718" t="s">
        <v>41</v>
      </c>
      <c r="F718" t="s">
        <v>1671</v>
      </c>
      <c r="G718" t="s">
        <v>34</v>
      </c>
      <c r="H718" t="s">
        <v>441</v>
      </c>
      <c r="I718" t="s">
        <v>549</v>
      </c>
      <c r="J718">
        <v>14.6</v>
      </c>
      <c r="K718">
        <v>33.1</v>
      </c>
      <c r="L718" t="s">
        <v>29</v>
      </c>
      <c r="M718" t="s">
        <v>29</v>
      </c>
      <c r="N718" t="s">
        <v>29</v>
      </c>
      <c r="O718" t="s">
        <v>29</v>
      </c>
      <c r="P718" t="s">
        <v>29</v>
      </c>
      <c r="Q718" t="s">
        <v>29</v>
      </c>
      <c r="R718">
        <v>265</v>
      </c>
      <c r="S718">
        <v>7.95</v>
      </c>
      <c r="T718">
        <v>4.5</v>
      </c>
      <c r="U718">
        <v>4.7</v>
      </c>
      <c r="V718" t="s">
        <v>84</v>
      </c>
    </row>
    <row r="719" spans="1:22" x14ac:dyDescent="0.35">
      <c r="A719" s="1">
        <v>45591</v>
      </c>
      <c r="B719" t="s">
        <v>47</v>
      </c>
      <c r="C719" s="2">
        <v>0.67671296296296302</v>
      </c>
      <c r="D719" t="s">
        <v>1672</v>
      </c>
      <c r="E719" t="s">
        <v>93</v>
      </c>
      <c r="F719" t="s">
        <v>1673</v>
      </c>
      <c r="G719" t="s">
        <v>34</v>
      </c>
      <c r="H719" t="s">
        <v>172</v>
      </c>
      <c r="I719" t="s">
        <v>103</v>
      </c>
      <c r="J719">
        <v>7.6</v>
      </c>
      <c r="K719" t="s">
        <v>29</v>
      </c>
      <c r="L719" t="s">
        <v>29</v>
      </c>
      <c r="M719" t="s">
        <v>29</v>
      </c>
      <c r="N719">
        <v>1</v>
      </c>
      <c r="O719" t="s">
        <v>115</v>
      </c>
      <c r="P719" t="s">
        <v>29</v>
      </c>
      <c r="Q719" t="s">
        <v>29</v>
      </c>
      <c r="R719" t="s">
        <v>29</v>
      </c>
      <c r="S719" t="s">
        <v>29</v>
      </c>
      <c r="T719" t="s">
        <v>29</v>
      </c>
      <c r="U719" t="s">
        <v>29</v>
      </c>
      <c r="V719" t="s">
        <v>29</v>
      </c>
    </row>
    <row r="720" spans="1:22" x14ac:dyDescent="0.35">
      <c r="A720" s="1">
        <v>45410</v>
      </c>
      <c r="B720" t="s">
        <v>154</v>
      </c>
      <c r="C720" s="2">
        <v>0.76824074074074078</v>
      </c>
      <c r="D720" t="s">
        <v>1674</v>
      </c>
      <c r="E720" t="s">
        <v>41</v>
      </c>
      <c r="F720" t="s">
        <v>1675</v>
      </c>
      <c r="G720" t="s">
        <v>56</v>
      </c>
      <c r="H720" t="s">
        <v>582</v>
      </c>
      <c r="I720" t="s">
        <v>44</v>
      </c>
      <c r="J720">
        <v>3</v>
      </c>
      <c r="K720">
        <v>43.9</v>
      </c>
      <c r="L720" t="s">
        <v>29</v>
      </c>
      <c r="M720" t="s">
        <v>29</v>
      </c>
      <c r="N720" t="s">
        <v>29</v>
      </c>
      <c r="O720" t="s">
        <v>29</v>
      </c>
      <c r="P720" t="s">
        <v>29</v>
      </c>
      <c r="Q720" t="s">
        <v>29</v>
      </c>
      <c r="R720">
        <v>302</v>
      </c>
      <c r="S720">
        <v>44.57</v>
      </c>
      <c r="T720">
        <v>4.7</v>
      </c>
      <c r="U720">
        <v>4.5999999999999996</v>
      </c>
      <c r="V720" t="s">
        <v>38</v>
      </c>
    </row>
    <row r="721" spans="1:22" x14ac:dyDescent="0.35">
      <c r="A721" s="1">
        <v>45572</v>
      </c>
      <c r="B721" t="s">
        <v>47</v>
      </c>
      <c r="C721" s="2">
        <v>0.80109953703703707</v>
      </c>
      <c r="D721" t="s">
        <v>1676</v>
      </c>
      <c r="E721" t="s">
        <v>41</v>
      </c>
      <c r="F721" t="s">
        <v>1677</v>
      </c>
      <c r="G721" t="s">
        <v>34</v>
      </c>
      <c r="H721" t="s">
        <v>281</v>
      </c>
      <c r="I721" t="s">
        <v>377</v>
      </c>
      <c r="J721">
        <v>14.3</v>
      </c>
      <c r="K721">
        <v>23.9</v>
      </c>
      <c r="L721" t="s">
        <v>29</v>
      </c>
      <c r="M721" t="s">
        <v>29</v>
      </c>
      <c r="N721" t="s">
        <v>29</v>
      </c>
      <c r="O721" t="s">
        <v>29</v>
      </c>
      <c r="P721" t="s">
        <v>29</v>
      </c>
      <c r="Q721" t="s">
        <v>29</v>
      </c>
      <c r="R721">
        <v>464</v>
      </c>
      <c r="S721">
        <v>10.81</v>
      </c>
      <c r="T721">
        <v>4.0999999999999996</v>
      </c>
      <c r="U721">
        <v>4.4000000000000004</v>
      </c>
      <c r="V721" t="s">
        <v>38</v>
      </c>
    </row>
    <row r="722" spans="1:22" x14ac:dyDescent="0.35">
      <c r="A722" s="1">
        <v>45588</v>
      </c>
      <c r="B722" t="s">
        <v>47</v>
      </c>
      <c r="C722" s="2">
        <v>0.24211805555555554</v>
      </c>
      <c r="D722" t="s">
        <v>1678</v>
      </c>
      <c r="E722" t="s">
        <v>32</v>
      </c>
      <c r="F722" t="s">
        <v>1679</v>
      </c>
      <c r="G722" t="s">
        <v>67</v>
      </c>
      <c r="H722" t="s">
        <v>44</v>
      </c>
      <c r="I722" t="s">
        <v>180</v>
      </c>
      <c r="J722">
        <v>9.1999999999999993</v>
      </c>
      <c r="K722">
        <v>24.3</v>
      </c>
      <c r="L722" t="s">
        <v>29</v>
      </c>
      <c r="M722" t="s">
        <v>29</v>
      </c>
      <c r="N722" t="s">
        <v>29</v>
      </c>
      <c r="O722" t="s">
        <v>29</v>
      </c>
      <c r="P722">
        <v>1</v>
      </c>
      <c r="Q722" t="s">
        <v>83</v>
      </c>
      <c r="R722">
        <v>545</v>
      </c>
      <c r="S722">
        <v>8.39</v>
      </c>
      <c r="T722" t="s">
        <v>29</v>
      </c>
      <c r="U722" t="s">
        <v>29</v>
      </c>
      <c r="V722" t="s">
        <v>149</v>
      </c>
    </row>
    <row r="723" spans="1:22" x14ac:dyDescent="0.35">
      <c r="A723" s="1">
        <v>45455</v>
      </c>
      <c r="B723" t="s">
        <v>64</v>
      </c>
      <c r="C723" s="2">
        <v>0.7638194444444445</v>
      </c>
      <c r="D723" t="s">
        <v>1680</v>
      </c>
      <c r="E723" t="s">
        <v>41</v>
      </c>
      <c r="F723" t="s">
        <v>1681</v>
      </c>
      <c r="G723" t="s">
        <v>56</v>
      </c>
      <c r="H723" t="s">
        <v>332</v>
      </c>
      <c r="I723" t="s">
        <v>454</v>
      </c>
      <c r="J723">
        <v>2.7</v>
      </c>
      <c r="K723">
        <v>30.7</v>
      </c>
      <c r="L723" t="s">
        <v>29</v>
      </c>
      <c r="M723" t="s">
        <v>29</v>
      </c>
      <c r="N723" t="s">
        <v>29</v>
      </c>
      <c r="O723" t="s">
        <v>29</v>
      </c>
      <c r="P723" t="s">
        <v>29</v>
      </c>
      <c r="Q723" t="s">
        <v>29</v>
      </c>
      <c r="R723">
        <v>224</v>
      </c>
      <c r="S723">
        <v>24.44</v>
      </c>
      <c r="T723">
        <v>4.2</v>
      </c>
      <c r="U723">
        <v>4.2</v>
      </c>
      <c r="V723" t="s">
        <v>84</v>
      </c>
    </row>
    <row r="724" spans="1:22" x14ac:dyDescent="0.35">
      <c r="A724" s="1">
        <v>45300</v>
      </c>
      <c r="B724" t="s">
        <v>150</v>
      </c>
      <c r="C724" s="2">
        <v>0.60412037037037036</v>
      </c>
      <c r="D724" t="s">
        <v>1682</v>
      </c>
      <c r="E724" t="s">
        <v>41</v>
      </c>
      <c r="F724" t="s">
        <v>1683</v>
      </c>
      <c r="G724" t="s">
        <v>43</v>
      </c>
      <c r="H724" t="s">
        <v>238</v>
      </c>
      <c r="I724" t="s">
        <v>180</v>
      </c>
      <c r="J724">
        <v>9.1</v>
      </c>
      <c r="K724">
        <v>41.4</v>
      </c>
      <c r="L724" t="s">
        <v>29</v>
      </c>
      <c r="M724" t="s">
        <v>29</v>
      </c>
      <c r="N724" t="s">
        <v>29</v>
      </c>
      <c r="O724" t="s">
        <v>29</v>
      </c>
      <c r="P724" t="s">
        <v>29</v>
      </c>
      <c r="Q724" t="s">
        <v>29</v>
      </c>
      <c r="R724">
        <v>237</v>
      </c>
      <c r="S724">
        <v>23.63</v>
      </c>
      <c r="T724">
        <v>4.3</v>
      </c>
      <c r="U724">
        <v>4.9000000000000004</v>
      </c>
      <c r="V724" t="s">
        <v>38</v>
      </c>
    </row>
    <row r="725" spans="1:22" x14ac:dyDescent="0.35">
      <c r="A725" s="1">
        <v>45514</v>
      </c>
      <c r="B725" t="s">
        <v>39</v>
      </c>
      <c r="C725" s="2">
        <v>0.58491898148148147</v>
      </c>
      <c r="D725" t="s">
        <v>1684</v>
      </c>
      <c r="E725" t="s">
        <v>41</v>
      </c>
      <c r="F725" t="s">
        <v>1685</v>
      </c>
      <c r="G725" t="s">
        <v>43</v>
      </c>
      <c r="H725" t="s">
        <v>935</v>
      </c>
      <c r="I725" t="s">
        <v>172</v>
      </c>
      <c r="J725">
        <v>10.7</v>
      </c>
      <c r="K725">
        <v>36.700000000000003</v>
      </c>
      <c r="L725" t="s">
        <v>29</v>
      </c>
      <c r="M725" t="s">
        <v>29</v>
      </c>
      <c r="N725" t="s">
        <v>29</v>
      </c>
      <c r="O725" t="s">
        <v>29</v>
      </c>
      <c r="P725" t="s">
        <v>29</v>
      </c>
      <c r="Q725" t="s">
        <v>29</v>
      </c>
      <c r="R725">
        <v>699</v>
      </c>
      <c r="S725">
        <v>48.74</v>
      </c>
      <c r="T725">
        <v>4.3</v>
      </c>
      <c r="U725">
        <v>4.4000000000000004</v>
      </c>
      <c r="V725" t="s">
        <v>38</v>
      </c>
    </row>
    <row r="726" spans="1:22" x14ac:dyDescent="0.35">
      <c r="A726" s="1">
        <v>45576</v>
      </c>
      <c r="B726" t="s">
        <v>47</v>
      </c>
      <c r="C726" s="2">
        <v>0.72773148148148148</v>
      </c>
      <c r="D726" t="s">
        <v>1686</v>
      </c>
      <c r="E726" t="s">
        <v>41</v>
      </c>
      <c r="F726" t="s">
        <v>1687</v>
      </c>
      <c r="G726" t="s">
        <v>50</v>
      </c>
      <c r="H726" t="s">
        <v>267</v>
      </c>
      <c r="I726" t="s">
        <v>186</v>
      </c>
      <c r="J726">
        <v>8.1999999999999993</v>
      </c>
      <c r="K726">
        <v>21.8</v>
      </c>
      <c r="L726" t="s">
        <v>29</v>
      </c>
      <c r="M726" t="s">
        <v>29</v>
      </c>
      <c r="N726" t="s">
        <v>29</v>
      </c>
      <c r="O726" t="s">
        <v>29</v>
      </c>
      <c r="P726" t="s">
        <v>29</v>
      </c>
      <c r="Q726" t="s">
        <v>29</v>
      </c>
      <c r="R726">
        <v>158</v>
      </c>
      <c r="S726">
        <v>26.74</v>
      </c>
      <c r="T726">
        <v>3.2</v>
      </c>
      <c r="U726">
        <v>5</v>
      </c>
      <c r="V726" t="s">
        <v>107</v>
      </c>
    </row>
    <row r="727" spans="1:22" x14ac:dyDescent="0.35">
      <c r="A727" s="1">
        <v>45429</v>
      </c>
      <c r="B727" t="s">
        <v>122</v>
      </c>
      <c r="C727" s="2">
        <v>0.88466435185185188</v>
      </c>
      <c r="D727" t="s">
        <v>1688</v>
      </c>
      <c r="E727" t="s">
        <v>117</v>
      </c>
      <c r="F727" t="s">
        <v>1689</v>
      </c>
      <c r="G727" t="s">
        <v>50</v>
      </c>
      <c r="H727" t="s">
        <v>102</v>
      </c>
      <c r="I727" t="s">
        <v>435</v>
      </c>
      <c r="J727">
        <v>14.1</v>
      </c>
      <c r="K727" t="s">
        <v>29</v>
      </c>
      <c r="L727">
        <v>1</v>
      </c>
      <c r="M727" t="s">
        <v>420</v>
      </c>
      <c r="N727" t="s">
        <v>29</v>
      </c>
      <c r="O727" t="s">
        <v>29</v>
      </c>
      <c r="P727" t="s">
        <v>29</v>
      </c>
      <c r="Q727" t="s">
        <v>29</v>
      </c>
      <c r="R727" t="s">
        <v>29</v>
      </c>
      <c r="S727" t="s">
        <v>29</v>
      </c>
      <c r="T727" t="s">
        <v>29</v>
      </c>
      <c r="U727" t="s">
        <v>29</v>
      </c>
      <c r="V727" t="s">
        <v>29</v>
      </c>
    </row>
    <row r="728" spans="1:22" x14ac:dyDescent="0.35">
      <c r="A728" s="1">
        <v>45558</v>
      </c>
      <c r="B728" t="s">
        <v>53</v>
      </c>
      <c r="C728" s="2">
        <v>0.56836805555555558</v>
      </c>
      <c r="D728" t="s">
        <v>1690</v>
      </c>
      <c r="E728" t="s">
        <v>93</v>
      </c>
      <c r="F728" t="s">
        <v>1691</v>
      </c>
      <c r="G728" t="s">
        <v>50</v>
      </c>
      <c r="H728" t="s">
        <v>180</v>
      </c>
      <c r="I728" t="s">
        <v>126</v>
      </c>
      <c r="J728">
        <v>5.8</v>
      </c>
      <c r="K728" t="s">
        <v>29</v>
      </c>
      <c r="L728" t="s">
        <v>29</v>
      </c>
      <c r="M728" t="s">
        <v>29</v>
      </c>
      <c r="N728">
        <v>1</v>
      </c>
      <c r="O728" t="s">
        <v>169</v>
      </c>
      <c r="P728" t="s">
        <v>29</v>
      </c>
      <c r="Q728" t="s">
        <v>29</v>
      </c>
      <c r="R728" t="s">
        <v>29</v>
      </c>
      <c r="S728" t="s">
        <v>29</v>
      </c>
      <c r="T728" t="s">
        <v>29</v>
      </c>
      <c r="U728" t="s">
        <v>29</v>
      </c>
      <c r="V728" t="s">
        <v>29</v>
      </c>
    </row>
    <row r="729" spans="1:22" x14ac:dyDescent="0.35">
      <c r="A729" s="1">
        <v>45639</v>
      </c>
      <c r="B729" t="s">
        <v>78</v>
      </c>
      <c r="C729" s="2">
        <v>0.80414351851851851</v>
      </c>
      <c r="D729" t="s">
        <v>1692</v>
      </c>
      <c r="E729" t="s">
        <v>41</v>
      </c>
      <c r="F729" t="s">
        <v>1693</v>
      </c>
      <c r="G729" t="s">
        <v>43</v>
      </c>
      <c r="H729" t="s">
        <v>552</v>
      </c>
      <c r="I729" t="s">
        <v>320</v>
      </c>
      <c r="J729">
        <v>7.3</v>
      </c>
      <c r="K729">
        <v>36.5</v>
      </c>
      <c r="L729" t="s">
        <v>29</v>
      </c>
      <c r="M729" t="s">
        <v>29</v>
      </c>
      <c r="N729" t="s">
        <v>29</v>
      </c>
      <c r="O729" t="s">
        <v>29</v>
      </c>
      <c r="P729" t="s">
        <v>29</v>
      </c>
      <c r="Q729" t="s">
        <v>29</v>
      </c>
      <c r="R729">
        <v>202</v>
      </c>
      <c r="S729">
        <v>37.39</v>
      </c>
      <c r="T729">
        <v>3.7</v>
      </c>
      <c r="U729">
        <v>4.2</v>
      </c>
      <c r="V729" t="s">
        <v>38</v>
      </c>
    </row>
    <row r="730" spans="1:22" x14ac:dyDescent="0.35">
      <c r="A730" s="1">
        <v>45427</v>
      </c>
      <c r="B730" t="s">
        <v>122</v>
      </c>
      <c r="C730" s="2">
        <v>0.8467824074074074</v>
      </c>
      <c r="D730" t="s">
        <v>1694</v>
      </c>
      <c r="E730" t="s">
        <v>117</v>
      </c>
      <c r="F730" t="s">
        <v>1695</v>
      </c>
      <c r="G730" t="s">
        <v>67</v>
      </c>
      <c r="H730" t="s">
        <v>221</v>
      </c>
      <c r="I730" t="s">
        <v>111</v>
      </c>
      <c r="J730">
        <v>15.7</v>
      </c>
      <c r="K730" t="s">
        <v>29</v>
      </c>
      <c r="L730">
        <v>1</v>
      </c>
      <c r="M730" t="s">
        <v>378</v>
      </c>
      <c r="N730" t="s">
        <v>29</v>
      </c>
      <c r="O730" t="s">
        <v>29</v>
      </c>
      <c r="P730" t="s">
        <v>29</v>
      </c>
      <c r="Q730" t="s">
        <v>29</v>
      </c>
      <c r="R730" t="s">
        <v>29</v>
      </c>
      <c r="S730" t="s">
        <v>29</v>
      </c>
      <c r="T730" t="s">
        <v>29</v>
      </c>
      <c r="U730" t="s">
        <v>29</v>
      </c>
      <c r="V730" t="s">
        <v>29</v>
      </c>
    </row>
    <row r="731" spans="1:22" x14ac:dyDescent="0.35">
      <c r="A731" s="1">
        <v>45307</v>
      </c>
      <c r="B731" t="s">
        <v>150</v>
      </c>
      <c r="C731" s="2">
        <v>0.70064814814814813</v>
      </c>
      <c r="D731" t="s">
        <v>1696</v>
      </c>
      <c r="E731" t="s">
        <v>24</v>
      </c>
      <c r="F731" t="s">
        <v>1697</v>
      </c>
      <c r="G731" t="s">
        <v>34</v>
      </c>
      <c r="H731" t="s">
        <v>489</v>
      </c>
      <c r="I731" t="s">
        <v>582</v>
      </c>
      <c r="J731" t="s">
        <v>29</v>
      </c>
      <c r="K731" t="s">
        <v>29</v>
      </c>
      <c r="L731" t="s">
        <v>29</v>
      </c>
      <c r="M731" t="s">
        <v>29</v>
      </c>
      <c r="N731" t="s">
        <v>29</v>
      </c>
      <c r="O731" t="s">
        <v>29</v>
      </c>
      <c r="P731" t="s">
        <v>29</v>
      </c>
      <c r="Q731" t="s">
        <v>29</v>
      </c>
      <c r="R731" t="s">
        <v>29</v>
      </c>
      <c r="S731" t="s">
        <v>29</v>
      </c>
      <c r="T731" t="s">
        <v>29</v>
      </c>
      <c r="U731" t="s">
        <v>29</v>
      </c>
      <c r="V731" t="s">
        <v>29</v>
      </c>
    </row>
    <row r="732" spans="1:22" x14ac:dyDescent="0.35">
      <c r="A732" s="1">
        <v>45436</v>
      </c>
      <c r="B732" t="s">
        <v>122</v>
      </c>
      <c r="C732" s="2">
        <v>0.40361111111111109</v>
      </c>
      <c r="D732" t="s">
        <v>1698</v>
      </c>
      <c r="E732" t="s">
        <v>41</v>
      </c>
      <c r="F732" t="s">
        <v>1699</v>
      </c>
      <c r="G732" t="s">
        <v>67</v>
      </c>
      <c r="H732" t="s">
        <v>173</v>
      </c>
      <c r="I732" t="s">
        <v>320</v>
      </c>
      <c r="J732">
        <v>9.3000000000000007</v>
      </c>
      <c r="K732">
        <v>17.3</v>
      </c>
      <c r="L732" t="s">
        <v>29</v>
      </c>
      <c r="M732" t="s">
        <v>29</v>
      </c>
      <c r="N732" t="s">
        <v>29</v>
      </c>
      <c r="O732" t="s">
        <v>29</v>
      </c>
      <c r="P732" t="s">
        <v>29</v>
      </c>
      <c r="Q732" t="s">
        <v>29</v>
      </c>
      <c r="R732">
        <v>798</v>
      </c>
      <c r="S732">
        <v>13.98</v>
      </c>
      <c r="T732">
        <v>4.7</v>
      </c>
      <c r="U732">
        <v>4.4000000000000004</v>
      </c>
      <c r="V732" t="s">
        <v>38</v>
      </c>
    </row>
    <row r="733" spans="1:22" x14ac:dyDescent="0.35">
      <c r="A733" s="1">
        <v>45337</v>
      </c>
      <c r="B733" t="s">
        <v>59</v>
      </c>
      <c r="C733" s="2">
        <v>9.4780092592592596E-2</v>
      </c>
      <c r="D733" t="s">
        <v>1700</v>
      </c>
      <c r="E733" t="s">
        <v>41</v>
      </c>
      <c r="F733" t="s">
        <v>1701</v>
      </c>
      <c r="G733" t="s">
        <v>43</v>
      </c>
      <c r="H733" t="s">
        <v>95</v>
      </c>
      <c r="I733" t="s">
        <v>560</v>
      </c>
      <c r="J733">
        <v>9.5</v>
      </c>
      <c r="K733">
        <v>41.6</v>
      </c>
      <c r="L733" t="s">
        <v>29</v>
      </c>
      <c r="M733" t="s">
        <v>29</v>
      </c>
      <c r="N733" t="s">
        <v>29</v>
      </c>
      <c r="O733" t="s">
        <v>29</v>
      </c>
      <c r="P733" t="s">
        <v>29</v>
      </c>
      <c r="Q733" t="s">
        <v>29</v>
      </c>
      <c r="R733">
        <v>264</v>
      </c>
      <c r="S733">
        <v>34.07</v>
      </c>
      <c r="T733">
        <v>3.9</v>
      </c>
      <c r="U733">
        <v>3.1</v>
      </c>
      <c r="V733" t="s">
        <v>46</v>
      </c>
    </row>
    <row r="734" spans="1:22" x14ac:dyDescent="0.35">
      <c r="A734" s="1">
        <v>45601</v>
      </c>
      <c r="B734" t="s">
        <v>30</v>
      </c>
      <c r="C734" s="2">
        <v>0.44870370370370372</v>
      </c>
      <c r="D734" t="s">
        <v>1702</v>
      </c>
      <c r="E734" t="s">
        <v>41</v>
      </c>
      <c r="F734" t="s">
        <v>1703</v>
      </c>
      <c r="G734" t="s">
        <v>34</v>
      </c>
      <c r="H734" t="s">
        <v>198</v>
      </c>
      <c r="I734" t="s">
        <v>1704</v>
      </c>
      <c r="J734">
        <v>10.9</v>
      </c>
      <c r="K734">
        <v>18.8</v>
      </c>
      <c r="L734" t="s">
        <v>29</v>
      </c>
      <c r="M734" t="s">
        <v>29</v>
      </c>
      <c r="N734" t="s">
        <v>29</v>
      </c>
      <c r="O734" t="s">
        <v>29</v>
      </c>
      <c r="P734" t="s">
        <v>29</v>
      </c>
      <c r="Q734" t="s">
        <v>29</v>
      </c>
      <c r="R734">
        <v>324</v>
      </c>
      <c r="S734">
        <v>43.53</v>
      </c>
      <c r="T734">
        <v>4.4000000000000004</v>
      </c>
      <c r="U734">
        <v>4.7</v>
      </c>
      <c r="V734" t="s">
        <v>38</v>
      </c>
    </row>
    <row r="735" spans="1:22" x14ac:dyDescent="0.35">
      <c r="A735" s="1">
        <v>45318</v>
      </c>
      <c r="B735" t="s">
        <v>150</v>
      </c>
      <c r="C735" s="2">
        <v>0.90296296296296297</v>
      </c>
      <c r="D735" t="s">
        <v>1705</v>
      </c>
      <c r="E735" t="s">
        <v>41</v>
      </c>
      <c r="F735" t="s">
        <v>1706</v>
      </c>
      <c r="G735" t="s">
        <v>67</v>
      </c>
      <c r="H735" t="s">
        <v>173</v>
      </c>
      <c r="I735" t="s">
        <v>340</v>
      </c>
      <c r="J735">
        <v>10.9</v>
      </c>
      <c r="K735">
        <v>43.5</v>
      </c>
      <c r="L735" t="s">
        <v>29</v>
      </c>
      <c r="M735" t="s">
        <v>29</v>
      </c>
      <c r="N735" t="s">
        <v>29</v>
      </c>
      <c r="O735" t="s">
        <v>29</v>
      </c>
      <c r="P735" t="s">
        <v>29</v>
      </c>
      <c r="Q735" t="s">
        <v>29</v>
      </c>
      <c r="R735">
        <v>500</v>
      </c>
      <c r="S735">
        <v>36.770000000000003</v>
      </c>
      <c r="T735">
        <v>4.2</v>
      </c>
      <c r="U735">
        <v>4.5999999999999996</v>
      </c>
      <c r="V735" t="s">
        <v>38</v>
      </c>
    </row>
    <row r="736" spans="1:22" x14ac:dyDescent="0.35">
      <c r="A736" s="1">
        <v>45528</v>
      </c>
      <c r="B736" t="s">
        <v>39</v>
      </c>
      <c r="C736" s="2">
        <v>0.83657407407407403</v>
      </c>
      <c r="D736" t="s">
        <v>1707</v>
      </c>
      <c r="E736" t="s">
        <v>41</v>
      </c>
      <c r="F736" t="s">
        <v>1708</v>
      </c>
      <c r="G736" t="s">
        <v>56</v>
      </c>
      <c r="H736" t="s">
        <v>442</v>
      </c>
      <c r="I736" t="s">
        <v>312</v>
      </c>
      <c r="J736">
        <v>9.4</v>
      </c>
      <c r="K736">
        <v>44.9</v>
      </c>
      <c r="L736" t="s">
        <v>29</v>
      </c>
      <c r="M736" t="s">
        <v>29</v>
      </c>
      <c r="N736" t="s">
        <v>29</v>
      </c>
      <c r="O736" t="s">
        <v>29</v>
      </c>
      <c r="P736" t="s">
        <v>29</v>
      </c>
      <c r="Q736" t="s">
        <v>29</v>
      </c>
      <c r="R736">
        <v>440</v>
      </c>
      <c r="S736">
        <v>28.46</v>
      </c>
      <c r="T736">
        <v>4.3</v>
      </c>
      <c r="U736">
        <v>3.6</v>
      </c>
      <c r="V736" t="s">
        <v>38</v>
      </c>
    </row>
    <row r="737" spans="1:22" x14ac:dyDescent="0.35">
      <c r="A737" s="1">
        <v>45425</v>
      </c>
      <c r="B737" t="s">
        <v>122</v>
      </c>
      <c r="C737" s="2">
        <v>0.7981597222222222</v>
      </c>
      <c r="D737" t="s">
        <v>1709</v>
      </c>
      <c r="E737" t="s">
        <v>93</v>
      </c>
      <c r="F737" t="s">
        <v>1710</v>
      </c>
      <c r="G737" t="s">
        <v>34</v>
      </c>
      <c r="H737" t="s">
        <v>511</v>
      </c>
      <c r="I737" t="s">
        <v>435</v>
      </c>
      <c r="J737">
        <v>5.5</v>
      </c>
      <c r="K737" t="s">
        <v>29</v>
      </c>
      <c r="L737" t="s">
        <v>29</v>
      </c>
      <c r="M737" t="s">
        <v>29</v>
      </c>
      <c r="N737">
        <v>1</v>
      </c>
      <c r="O737" t="s">
        <v>337</v>
      </c>
      <c r="P737" t="s">
        <v>29</v>
      </c>
      <c r="Q737" t="s">
        <v>29</v>
      </c>
      <c r="R737" t="s">
        <v>29</v>
      </c>
      <c r="S737" t="s">
        <v>29</v>
      </c>
      <c r="T737" t="s">
        <v>29</v>
      </c>
      <c r="U737" t="s">
        <v>29</v>
      </c>
      <c r="V737" t="s">
        <v>29</v>
      </c>
    </row>
    <row r="738" spans="1:22" x14ac:dyDescent="0.35">
      <c r="A738" s="1">
        <v>45614</v>
      </c>
      <c r="B738" t="s">
        <v>30</v>
      </c>
      <c r="C738" s="2">
        <v>0.63782407407407404</v>
      </c>
      <c r="D738" t="s">
        <v>1711</v>
      </c>
      <c r="E738" t="s">
        <v>41</v>
      </c>
      <c r="F738" t="s">
        <v>1712</v>
      </c>
      <c r="G738" t="s">
        <v>43</v>
      </c>
      <c r="H738" t="s">
        <v>211</v>
      </c>
      <c r="I738" t="s">
        <v>248</v>
      </c>
      <c r="J738">
        <v>12.1</v>
      </c>
      <c r="K738">
        <v>37.700000000000003</v>
      </c>
      <c r="L738" t="s">
        <v>29</v>
      </c>
      <c r="M738" t="s">
        <v>29</v>
      </c>
      <c r="N738" t="s">
        <v>29</v>
      </c>
      <c r="O738" t="s">
        <v>29</v>
      </c>
      <c r="P738" t="s">
        <v>29</v>
      </c>
      <c r="Q738" t="s">
        <v>29</v>
      </c>
      <c r="R738">
        <v>460</v>
      </c>
      <c r="S738">
        <v>33.840000000000003</v>
      </c>
      <c r="T738">
        <v>4.0999999999999996</v>
      </c>
      <c r="U738">
        <v>4.5</v>
      </c>
      <c r="V738" t="s">
        <v>38</v>
      </c>
    </row>
    <row r="739" spans="1:22" x14ac:dyDescent="0.35">
      <c r="A739" s="1">
        <v>45552</v>
      </c>
      <c r="B739" t="s">
        <v>53</v>
      </c>
      <c r="C739" s="2">
        <v>0.7575925925925926</v>
      </c>
      <c r="D739" t="s">
        <v>1713</v>
      </c>
      <c r="E739" t="s">
        <v>24</v>
      </c>
      <c r="F739" t="s">
        <v>1714</v>
      </c>
      <c r="G739" t="s">
        <v>34</v>
      </c>
      <c r="H739" t="s">
        <v>140</v>
      </c>
      <c r="I739" t="s">
        <v>190</v>
      </c>
      <c r="J739" t="s">
        <v>29</v>
      </c>
      <c r="K739" t="s">
        <v>29</v>
      </c>
      <c r="L739" t="s">
        <v>29</v>
      </c>
      <c r="M739" t="s">
        <v>29</v>
      </c>
      <c r="N739" t="s">
        <v>29</v>
      </c>
      <c r="O739" t="s">
        <v>29</v>
      </c>
      <c r="P739" t="s">
        <v>29</v>
      </c>
      <c r="Q739" t="s">
        <v>29</v>
      </c>
      <c r="R739" t="s">
        <v>29</v>
      </c>
      <c r="S739" t="s">
        <v>29</v>
      </c>
      <c r="T739" t="s">
        <v>29</v>
      </c>
      <c r="U739" t="s">
        <v>29</v>
      </c>
      <c r="V739" t="s">
        <v>29</v>
      </c>
    </row>
    <row r="740" spans="1:22" x14ac:dyDescent="0.35">
      <c r="A740" s="1">
        <v>45437</v>
      </c>
      <c r="B740" t="s">
        <v>122</v>
      </c>
      <c r="C740" s="2">
        <v>0.62376157407407407</v>
      </c>
      <c r="D740" t="s">
        <v>1715</v>
      </c>
      <c r="E740" t="s">
        <v>32</v>
      </c>
      <c r="F740" t="s">
        <v>1716</v>
      </c>
      <c r="G740" t="s">
        <v>50</v>
      </c>
      <c r="H740" t="s">
        <v>111</v>
      </c>
      <c r="I740" t="s">
        <v>132</v>
      </c>
      <c r="J740">
        <v>9.5</v>
      </c>
      <c r="K740">
        <v>29.2</v>
      </c>
      <c r="L740" t="s">
        <v>29</v>
      </c>
      <c r="M740" t="s">
        <v>29</v>
      </c>
      <c r="N740" t="s">
        <v>29</v>
      </c>
      <c r="O740" t="s">
        <v>29</v>
      </c>
      <c r="P740">
        <v>1</v>
      </c>
      <c r="Q740" t="s">
        <v>37</v>
      </c>
      <c r="R740">
        <v>374</v>
      </c>
      <c r="S740">
        <v>11.17</v>
      </c>
      <c r="T740" t="s">
        <v>29</v>
      </c>
      <c r="U740" t="s">
        <v>29</v>
      </c>
      <c r="V740" t="s">
        <v>149</v>
      </c>
    </row>
    <row r="741" spans="1:22" x14ac:dyDescent="0.35">
      <c r="A741" s="1">
        <v>45359</v>
      </c>
      <c r="B741" t="s">
        <v>22</v>
      </c>
      <c r="C741" s="2">
        <v>0.36785879629629631</v>
      </c>
      <c r="D741" t="s">
        <v>1717</v>
      </c>
      <c r="E741" t="s">
        <v>93</v>
      </c>
      <c r="F741" t="s">
        <v>1718</v>
      </c>
      <c r="G741" t="s">
        <v>34</v>
      </c>
      <c r="H741" t="s">
        <v>315</v>
      </c>
      <c r="I741" t="s">
        <v>369</v>
      </c>
      <c r="J741">
        <v>10.5</v>
      </c>
      <c r="K741" t="s">
        <v>29</v>
      </c>
      <c r="L741" t="s">
        <v>29</v>
      </c>
      <c r="M741" t="s">
        <v>29</v>
      </c>
      <c r="N741">
        <v>1</v>
      </c>
      <c r="O741" t="s">
        <v>115</v>
      </c>
      <c r="P741" t="s">
        <v>29</v>
      </c>
      <c r="Q741" t="s">
        <v>29</v>
      </c>
      <c r="R741" t="s">
        <v>29</v>
      </c>
      <c r="S741" t="s">
        <v>29</v>
      </c>
      <c r="T741" t="s">
        <v>29</v>
      </c>
      <c r="U741" t="s">
        <v>29</v>
      </c>
      <c r="V741" t="s">
        <v>29</v>
      </c>
    </row>
    <row r="742" spans="1:22" x14ac:dyDescent="0.35">
      <c r="A742" s="1">
        <v>45498</v>
      </c>
      <c r="B742" t="s">
        <v>108</v>
      </c>
      <c r="C742" s="2">
        <v>0.37207175925925928</v>
      </c>
      <c r="D742" t="s">
        <v>1719</v>
      </c>
      <c r="E742" t="s">
        <v>41</v>
      </c>
      <c r="F742" t="s">
        <v>1720</v>
      </c>
      <c r="G742" t="s">
        <v>56</v>
      </c>
      <c r="H742" t="s">
        <v>536</v>
      </c>
      <c r="I742" t="s">
        <v>77</v>
      </c>
      <c r="J742">
        <v>12.3</v>
      </c>
      <c r="K742">
        <v>37.9</v>
      </c>
      <c r="L742" t="s">
        <v>29</v>
      </c>
      <c r="M742" t="s">
        <v>29</v>
      </c>
      <c r="N742" t="s">
        <v>29</v>
      </c>
      <c r="O742" t="s">
        <v>29</v>
      </c>
      <c r="P742" t="s">
        <v>29</v>
      </c>
      <c r="Q742" t="s">
        <v>29</v>
      </c>
      <c r="R742">
        <v>1940</v>
      </c>
      <c r="S742">
        <v>27.6</v>
      </c>
      <c r="T742">
        <v>4.0999999999999996</v>
      </c>
      <c r="U742">
        <v>4.3</v>
      </c>
      <c r="V742" t="s">
        <v>84</v>
      </c>
    </row>
    <row r="743" spans="1:22" x14ac:dyDescent="0.35">
      <c r="A743" s="1">
        <v>45458</v>
      </c>
      <c r="B743" t="s">
        <v>64</v>
      </c>
      <c r="C743" s="2">
        <v>0.95605324074074072</v>
      </c>
      <c r="D743" t="s">
        <v>1721</v>
      </c>
      <c r="E743" t="s">
        <v>41</v>
      </c>
      <c r="F743" t="s">
        <v>1722</v>
      </c>
      <c r="G743" t="s">
        <v>43</v>
      </c>
      <c r="H743" t="s">
        <v>474</v>
      </c>
      <c r="I743" t="s">
        <v>140</v>
      </c>
      <c r="J743">
        <v>2.6</v>
      </c>
      <c r="K743">
        <v>35.299999999999997</v>
      </c>
      <c r="L743" t="s">
        <v>29</v>
      </c>
      <c r="M743" t="s">
        <v>29</v>
      </c>
      <c r="N743" t="s">
        <v>29</v>
      </c>
      <c r="O743" t="s">
        <v>29</v>
      </c>
      <c r="P743" t="s">
        <v>29</v>
      </c>
      <c r="Q743" t="s">
        <v>29</v>
      </c>
      <c r="R743">
        <v>1216</v>
      </c>
      <c r="S743">
        <v>44.04</v>
      </c>
      <c r="T743">
        <v>4.3</v>
      </c>
      <c r="U743">
        <v>3.3</v>
      </c>
      <c r="V743" t="s">
        <v>38</v>
      </c>
    </row>
    <row r="744" spans="1:22" x14ac:dyDescent="0.35">
      <c r="A744" s="1">
        <v>45335</v>
      </c>
      <c r="B744" t="s">
        <v>59</v>
      </c>
      <c r="C744" s="2">
        <v>0.44658564814814816</v>
      </c>
      <c r="D744" t="s">
        <v>1723</v>
      </c>
      <c r="E744" t="s">
        <v>41</v>
      </c>
      <c r="F744" t="s">
        <v>1724</v>
      </c>
      <c r="G744" t="s">
        <v>67</v>
      </c>
      <c r="H744" t="s">
        <v>613</v>
      </c>
      <c r="I744" t="s">
        <v>627</v>
      </c>
      <c r="J744">
        <v>10.3</v>
      </c>
      <c r="K744">
        <v>33.299999999999997</v>
      </c>
      <c r="L744" t="s">
        <v>29</v>
      </c>
      <c r="M744" t="s">
        <v>29</v>
      </c>
      <c r="N744" t="s">
        <v>29</v>
      </c>
      <c r="O744" t="s">
        <v>29</v>
      </c>
      <c r="P744" t="s">
        <v>29</v>
      </c>
      <c r="Q744" t="s">
        <v>29</v>
      </c>
      <c r="R744">
        <v>187</v>
      </c>
      <c r="S744">
        <v>40.04</v>
      </c>
      <c r="T744">
        <v>4.3</v>
      </c>
      <c r="U744">
        <v>4.2</v>
      </c>
      <c r="V744" t="s">
        <v>38</v>
      </c>
    </row>
    <row r="745" spans="1:22" x14ac:dyDescent="0.35">
      <c r="A745" s="1">
        <v>45585</v>
      </c>
      <c r="B745" t="s">
        <v>47</v>
      </c>
      <c r="C745" s="2">
        <v>0.90532407407407411</v>
      </c>
      <c r="D745" t="s">
        <v>1725</v>
      </c>
      <c r="E745" t="s">
        <v>41</v>
      </c>
      <c r="F745" t="s">
        <v>1726</v>
      </c>
      <c r="G745" t="s">
        <v>43</v>
      </c>
      <c r="H745" t="s">
        <v>262</v>
      </c>
      <c r="I745" t="s">
        <v>324</v>
      </c>
      <c r="J745">
        <v>6.4</v>
      </c>
      <c r="K745">
        <v>17.2</v>
      </c>
      <c r="L745" t="s">
        <v>29</v>
      </c>
      <c r="M745" t="s">
        <v>29</v>
      </c>
      <c r="N745" t="s">
        <v>29</v>
      </c>
      <c r="O745" t="s">
        <v>29</v>
      </c>
      <c r="P745" t="s">
        <v>29</v>
      </c>
      <c r="Q745" t="s">
        <v>29</v>
      </c>
      <c r="R745">
        <v>478</v>
      </c>
      <c r="S745">
        <v>48.62</v>
      </c>
      <c r="T745">
        <v>4.2</v>
      </c>
      <c r="U745">
        <v>3.2</v>
      </c>
      <c r="V745" t="s">
        <v>38</v>
      </c>
    </row>
    <row r="746" spans="1:22" x14ac:dyDescent="0.35">
      <c r="A746" s="1">
        <v>45656</v>
      </c>
      <c r="B746" t="s">
        <v>78</v>
      </c>
      <c r="C746" s="2">
        <v>0.83289351851851856</v>
      </c>
      <c r="D746" t="s">
        <v>1727</v>
      </c>
      <c r="E746" t="s">
        <v>41</v>
      </c>
      <c r="F746" t="s">
        <v>1728</v>
      </c>
      <c r="G746" t="s">
        <v>67</v>
      </c>
      <c r="H746" t="s">
        <v>270</v>
      </c>
      <c r="I746" t="s">
        <v>102</v>
      </c>
      <c r="J746">
        <v>3.2</v>
      </c>
      <c r="K746">
        <v>34.4</v>
      </c>
      <c r="L746" t="s">
        <v>29</v>
      </c>
      <c r="M746" t="s">
        <v>29</v>
      </c>
      <c r="N746" t="s">
        <v>29</v>
      </c>
      <c r="O746" t="s">
        <v>29</v>
      </c>
      <c r="P746" t="s">
        <v>29</v>
      </c>
      <c r="Q746" t="s">
        <v>29</v>
      </c>
      <c r="R746">
        <v>791</v>
      </c>
      <c r="S746">
        <v>6.07</v>
      </c>
      <c r="T746">
        <v>4.0999999999999996</v>
      </c>
      <c r="U746">
        <v>4</v>
      </c>
      <c r="V746" t="s">
        <v>149</v>
      </c>
    </row>
    <row r="747" spans="1:22" x14ac:dyDescent="0.35">
      <c r="A747" s="1">
        <v>45347</v>
      </c>
      <c r="B747" t="s">
        <v>59</v>
      </c>
      <c r="C747" s="2">
        <v>0.26658564814814817</v>
      </c>
      <c r="D747" t="s">
        <v>1729</v>
      </c>
      <c r="E747" t="s">
        <v>41</v>
      </c>
      <c r="F747" t="s">
        <v>1730</v>
      </c>
      <c r="G747" t="s">
        <v>34</v>
      </c>
      <c r="H747" t="s">
        <v>332</v>
      </c>
      <c r="I747" t="s">
        <v>549</v>
      </c>
      <c r="J747">
        <v>12</v>
      </c>
      <c r="K747">
        <v>44.2</v>
      </c>
      <c r="L747" t="s">
        <v>29</v>
      </c>
      <c r="M747" t="s">
        <v>29</v>
      </c>
      <c r="N747" t="s">
        <v>29</v>
      </c>
      <c r="O747" t="s">
        <v>29</v>
      </c>
      <c r="P747" t="s">
        <v>29</v>
      </c>
      <c r="Q747" t="s">
        <v>29</v>
      </c>
      <c r="R747">
        <v>636</v>
      </c>
      <c r="S747">
        <v>15.26</v>
      </c>
      <c r="T747">
        <v>4.3</v>
      </c>
      <c r="U747">
        <v>4.5999999999999996</v>
      </c>
      <c r="V747" t="s">
        <v>38</v>
      </c>
    </row>
    <row r="748" spans="1:22" x14ac:dyDescent="0.35">
      <c r="A748" s="1">
        <v>45355</v>
      </c>
      <c r="B748" t="s">
        <v>22</v>
      </c>
      <c r="C748" s="2">
        <v>0.23982638888888888</v>
      </c>
      <c r="D748" t="s">
        <v>1731</v>
      </c>
      <c r="E748" t="s">
        <v>41</v>
      </c>
      <c r="F748" t="s">
        <v>1732</v>
      </c>
      <c r="G748" t="s">
        <v>26</v>
      </c>
      <c r="H748" t="s">
        <v>800</v>
      </c>
      <c r="I748" t="s">
        <v>186</v>
      </c>
      <c r="J748">
        <v>2.1</v>
      </c>
      <c r="K748">
        <v>17.3</v>
      </c>
      <c r="L748" t="s">
        <v>29</v>
      </c>
      <c r="M748" t="s">
        <v>29</v>
      </c>
      <c r="N748" t="s">
        <v>29</v>
      </c>
      <c r="O748" t="s">
        <v>29</v>
      </c>
      <c r="P748" t="s">
        <v>29</v>
      </c>
      <c r="Q748" t="s">
        <v>29</v>
      </c>
      <c r="R748">
        <v>499</v>
      </c>
      <c r="S748">
        <v>36.76</v>
      </c>
      <c r="T748">
        <v>4.5999999999999996</v>
      </c>
      <c r="U748">
        <v>4.2</v>
      </c>
      <c r="V748" t="s">
        <v>38</v>
      </c>
    </row>
    <row r="749" spans="1:22" x14ac:dyDescent="0.35">
      <c r="A749" s="1">
        <v>45328</v>
      </c>
      <c r="B749" t="s">
        <v>59</v>
      </c>
      <c r="C749" s="2">
        <v>0.69505787037037037</v>
      </c>
      <c r="D749" t="s">
        <v>1733</v>
      </c>
      <c r="E749" t="s">
        <v>93</v>
      </c>
      <c r="F749" t="s">
        <v>1734</v>
      </c>
      <c r="G749" t="s">
        <v>67</v>
      </c>
      <c r="H749" t="s">
        <v>254</v>
      </c>
      <c r="I749" t="s">
        <v>36</v>
      </c>
      <c r="J749">
        <v>4.9000000000000004</v>
      </c>
      <c r="K749" t="s">
        <v>29</v>
      </c>
      <c r="L749" t="s">
        <v>29</v>
      </c>
      <c r="M749" t="s">
        <v>29</v>
      </c>
      <c r="N749">
        <v>1</v>
      </c>
      <c r="O749" t="s">
        <v>337</v>
      </c>
      <c r="P749" t="s">
        <v>29</v>
      </c>
      <c r="Q749" t="s">
        <v>29</v>
      </c>
      <c r="R749" t="s">
        <v>29</v>
      </c>
      <c r="S749" t="s">
        <v>29</v>
      </c>
      <c r="T749" t="s">
        <v>29</v>
      </c>
      <c r="U749" t="s">
        <v>29</v>
      </c>
      <c r="V749" t="s">
        <v>29</v>
      </c>
    </row>
    <row r="750" spans="1:22" x14ac:dyDescent="0.35">
      <c r="A750" s="1">
        <v>45300</v>
      </c>
      <c r="B750" t="s">
        <v>150</v>
      </c>
      <c r="C750" s="2">
        <v>0.47930555555555554</v>
      </c>
      <c r="D750" t="s">
        <v>1735</v>
      </c>
      <c r="E750" t="s">
        <v>93</v>
      </c>
      <c r="F750" t="s">
        <v>1736</v>
      </c>
      <c r="G750" t="s">
        <v>56</v>
      </c>
      <c r="H750" t="s">
        <v>340</v>
      </c>
      <c r="I750" t="s">
        <v>332</v>
      </c>
      <c r="J750">
        <v>5.3</v>
      </c>
      <c r="K750" t="s">
        <v>29</v>
      </c>
      <c r="L750" t="s">
        <v>29</v>
      </c>
      <c r="M750" t="s">
        <v>29</v>
      </c>
      <c r="N750">
        <v>1</v>
      </c>
      <c r="O750" t="s">
        <v>97</v>
      </c>
      <c r="P750" t="s">
        <v>29</v>
      </c>
      <c r="Q750" t="s">
        <v>29</v>
      </c>
      <c r="R750" t="s">
        <v>29</v>
      </c>
      <c r="S750" t="s">
        <v>29</v>
      </c>
      <c r="T750" t="s">
        <v>29</v>
      </c>
      <c r="U750" t="s">
        <v>29</v>
      </c>
      <c r="V750" t="s">
        <v>29</v>
      </c>
    </row>
    <row r="751" spans="1:22" x14ac:dyDescent="0.35">
      <c r="A751" s="1">
        <v>45325</v>
      </c>
      <c r="B751" t="s">
        <v>59</v>
      </c>
      <c r="C751" s="2">
        <v>0.12039351851851852</v>
      </c>
      <c r="D751" t="s">
        <v>1737</v>
      </c>
      <c r="E751" t="s">
        <v>41</v>
      </c>
      <c r="F751" t="s">
        <v>1738</v>
      </c>
      <c r="G751" t="s">
        <v>50</v>
      </c>
      <c r="H751" t="s">
        <v>590</v>
      </c>
      <c r="I751" t="s">
        <v>822</v>
      </c>
      <c r="J751">
        <v>10.9</v>
      </c>
      <c r="K751">
        <v>37.700000000000003</v>
      </c>
      <c r="L751" t="s">
        <v>29</v>
      </c>
      <c r="M751" t="s">
        <v>29</v>
      </c>
      <c r="N751" t="s">
        <v>29</v>
      </c>
      <c r="O751" t="s">
        <v>29</v>
      </c>
      <c r="P751" t="s">
        <v>29</v>
      </c>
      <c r="Q751" t="s">
        <v>29</v>
      </c>
      <c r="R751">
        <v>1350</v>
      </c>
      <c r="S751">
        <v>11.48</v>
      </c>
      <c r="T751">
        <v>4.5</v>
      </c>
      <c r="U751">
        <v>4.9000000000000004</v>
      </c>
      <c r="V751" t="s">
        <v>107</v>
      </c>
    </row>
    <row r="752" spans="1:22" x14ac:dyDescent="0.35">
      <c r="A752" s="1">
        <v>45595</v>
      </c>
      <c r="B752" t="s">
        <v>47</v>
      </c>
      <c r="C752" s="2">
        <v>0.70005787037037037</v>
      </c>
      <c r="D752" t="s">
        <v>1739</v>
      </c>
      <c r="E752" t="s">
        <v>41</v>
      </c>
      <c r="F752" t="s">
        <v>1740</v>
      </c>
      <c r="G752" t="s">
        <v>26</v>
      </c>
      <c r="H752" t="s">
        <v>114</v>
      </c>
      <c r="I752" t="s">
        <v>280</v>
      </c>
      <c r="J752">
        <v>2.9</v>
      </c>
      <c r="K752">
        <v>31.8</v>
      </c>
      <c r="L752" t="s">
        <v>29</v>
      </c>
      <c r="M752" t="s">
        <v>29</v>
      </c>
      <c r="N752" t="s">
        <v>29</v>
      </c>
      <c r="O752" t="s">
        <v>29</v>
      </c>
      <c r="P752" t="s">
        <v>29</v>
      </c>
      <c r="Q752" t="s">
        <v>29</v>
      </c>
      <c r="R752">
        <v>461</v>
      </c>
      <c r="S752">
        <v>12.59</v>
      </c>
      <c r="T752">
        <v>4.4000000000000004</v>
      </c>
      <c r="U752">
        <v>4.7</v>
      </c>
      <c r="V752" t="s">
        <v>38</v>
      </c>
    </row>
    <row r="753" spans="1:22" x14ac:dyDescent="0.35">
      <c r="A753" s="1">
        <v>45303</v>
      </c>
      <c r="B753" t="s">
        <v>150</v>
      </c>
      <c r="C753" s="2">
        <v>0.58326388888888892</v>
      </c>
      <c r="D753" t="s">
        <v>1741</v>
      </c>
      <c r="E753" t="s">
        <v>41</v>
      </c>
      <c r="F753" t="s">
        <v>1742</v>
      </c>
      <c r="G753" t="s">
        <v>67</v>
      </c>
      <c r="H753" t="s">
        <v>73</v>
      </c>
      <c r="I753" t="s">
        <v>235</v>
      </c>
      <c r="J753">
        <v>7.9</v>
      </c>
      <c r="K753">
        <v>44.7</v>
      </c>
      <c r="L753" t="s">
        <v>29</v>
      </c>
      <c r="M753" t="s">
        <v>29</v>
      </c>
      <c r="N753" t="s">
        <v>29</v>
      </c>
      <c r="O753" t="s">
        <v>29</v>
      </c>
      <c r="P753" t="s">
        <v>29</v>
      </c>
      <c r="Q753" t="s">
        <v>29</v>
      </c>
      <c r="R753">
        <v>170</v>
      </c>
      <c r="S753">
        <v>31.74</v>
      </c>
      <c r="T753">
        <v>4.4000000000000004</v>
      </c>
      <c r="U753">
        <v>4.5</v>
      </c>
      <c r="V753" t="s">
        <v>149</v>
      </c>
    </row>
    <row r="754" spans="1:22" x14ac:dyDescent="0.35">
      <c r="A754" s="1">
        <v>45343</v>
      </c>
      <c r="B754" t="s">
        <v>59</v>
      </c>
      <c r="C754" s="2">
        <v>0.95165509259259262</v>
      </c>
      <c r="D754" t="s">
        <v>1743</v>
      </c>
      <c r="E754" t="s">
        <v>93</v>
      </c>
      <c r="F754" t="s">
        <v>1744</v>
      </c>
      <c r="G754" t="s">
        <v>67</v>
      </c>
      <c r="H754" t="s">
        <v>239</v>
      </c>
      <c r="I754" t="s">
        <v>158</v>
      </c>
      <c r="J754">
        <v>7.2</v>
      </c>
      <c r="K754" t="s">
        <v>29</v>
      </c>
      <c r="L754" t="s">
        <v>29</v>
      </c>
      <c r="M754" t="s">
        <v>29</v>
      </c>
      <c r="N754">
        <v>1</v>
      </c>
      <c r="O754" t="s">
        <v>97</v>
      </c>
      <c r="P754" t="s">
        <v>29</v>
      </c>
      <c r="Q754" t="s">
        <v>29</v>
      </c>
      <c r="R754" t="s">
        <v>29</v>
      </c>
      <c r="S754" t="s">
        <v>29</v>
      </c>
      <c r="T754" t="s">
        <v>29</v>
      </c>
      <c r="U754" t="s">
        <v>29</v>
      </c>
      <c r="V754" t="s">
        <v>29</v>
      </c>
    </row>
    <row r="755" spans="1:22" x14ac:dyDescent="0.35">
      <c r="A755" s="1">
        <v>45508</v>
      </c>
      <c r="B755" t="s">
        <v>39</v>
      </c>
      <c r="C755" s="2">
        <v>0.73337962962962966</v>
      </c>
      <c r="D755" t="s">
        <v>1745</v>
      </c>
      <c r="E755" t="s">
        <v>93</v>
      </c>
      <c r="F755" t="s">
        <v>1746</v>
      </c>
      <c r="G755" t="s">
        <v>43</v>
      </c>
      <c r="H755" t="s">
        <v>391</v>
      </c>
      <c r="I755" t="s">
        <v>536</v>
      </c>
      <c r="J755">
        <v>7</v>
      </c>
      <c r="K755" t="s">
        <v>29</v>
      </c>
      <c r="L755" t="s">
        <v>29</v>
      </c>
      <c r="M755" t="s">
        <v>29</v>
      </c>
      <c r="N755">
        <v>1</v>
      </c>
      <c r="O755" t="s">
        <v>97</v>
      </c>
      <c r="P755" t="s">
        <v>29</v>
      </c>
      <c r="Q755" t="s">
        <v>29</v>
      </c>
      <c r="R755" t="s">
        <v>29</v>
      </c>
      <c r="S755" t="s">
        <v>29</v>
      </c>
      <c r="T755" t="s">
        <v>29</v>
      </c>
      <c r="U755" t="s">
        <v>29</v>
      </c>
      <c r="V755" t="s">
        <v>29</v>
      </c>
    </row>
    <row r="756" spans="1:22" x14ac:dyDescent="0.35">
      <c r="A756" s="1">
        <v>45486</v>
      </c>
      <c r="B756" t="s">
        <v>108</v>
      </c>
      <c r="C756" s="2">
        <v>0.66968749999999999</v>
      </c>
      <c r="D756" t="s">
        <v>1747</v>
      </c>
      <c r="E756" t="s">
        <v>24</v>
      </c>
      <c r="F756" t="s">
        <v>1748</v>
      </c>
      <c r="G756" t="s">
        <v>34</v>
      </c>
      <c r="H756" t="s">
        <v>386</v>
      </c>
      <c r="I756" t="s">
        <v>68</v>
      </c>
      <c r="J756" t="s">
        <v>29</v>
      </c>
      <c r="K756" t="s">
        <v>29</v>
      </c>
      <c r="L756" t="s">
        <v>29</v>
      </c>
      <c r="M756" t="s">
        <v>29</v>
      </c>
      <c r="N756" t="s">
        <v>29</v>
      </c>
      <c r="O756" t="s">
        <v>29</v>
      </c>
      <c r="P756" t="s">
        <v>29</v>
      </c>
      <c r="Q756" t="s">
        <v>29</v>
      </c>
      <c r="R756" t="s">
        <v>29</v>
      </c>
      <c r="S756" t="s">
        <v>29</v>
      </c>
      <c r="T756" t="s">
        <v>29</v>
      </c>
      <c r="U756" t="s">
        <v>29</v>
      </c>
      <c r="V756" t="s">
        <v>29</v>
      </c>
    </row>
    <row r="757" spans="1:22" x14ac:dyDescent="0.35">
      <c r="A757" s="1">
        <v>45409</v>
      </c>
      <c r="B757" t="s">
        <v>154</v>
      </c>
      <c r="C757" s="2">
        <v>0.95416666666666672</v>
      </c>
      <c r="D757" t="s">
        <v>1749</v>
      </c>
      <c r="E757" t="s">
        <v>41</v>
      </c>
      <c r="F757" t="s">
        <v>1750</v>
      </c>
      <c r="G757" t="s">
        <v>34</v>
      </c>
      <c r="H757" t="s">
        <v>201</v>
      </c>
      <c r="I757" t="s">
        <v>147</v>
      </c>
      <c r="J757">
        <v>10.8</v>
      </c>
      <c r="K757">
        <v>37.799999999999997</v>
      </c>
      <c r="L757" t="s">
        <v>29</v>
      </c>
      <c r="M757" t="s">
        <v>29</v>
      </c>
      <c r="N757" t="s">
        <v>29</v>
      </c>
      <c r="O757" t="s">
        <v>29</v>
      </c>
      <c r="P757" t="s">
        <v>29</v>
      </c>
      <c r="Q757" t="s">
        <v>29</v>
      </c>
      <c r="R757">
        <v>558</v>
      </c>
      <c r="S757">
        <v>38.700000000000003</v>
      </c>
      <c r="T757">
        <v>4.2</v>
      </c>
      <c r="U757">
        <v>4.9000000000000004</v>
      </c>
      <c r="V757" t="s">
        <v>38</v>
      </c>
    </row>
    <row r="758" spans="1:22" x14ac:dyDescent="0.35">
      <c r="A758" s="1">
        <v>45326</v>
      </c>
      <c r="B758" t="s">
        <v>59</v>
      </c>
      <c r="C758" s="2">
        <v>0.31984953703703706</v>
      </c>
      <c r="D758" t="s">
        <v>1751</v>
      </c>
      <c r="E758" t="s">
        <v>41</v>
      </c>
      <c r="F758" t="s">
        <v>1752</v>
      </c>
      <c r="G758" t="s">
        <v>43</v>
      </c>
      <c r="H758" t="s">
        <v>102</v>
      </c>
      <c r="I758" t="s">
        <v>190</v>
      </c>
      <c r="J758">
        <v>12.1</v>
      </c>
      <c r="K758">
        <v>32.4</v>
      </c>
      <c r="L758" t="s">
        <v>29</v>
      </c>
      <c r="M758" t="s">
        <v>29</v>
      </c>
      <c r="N758" t="s">
        <v>29</v>
      </c>
      <c r="O758" t="s">
        <v>29</v>
      </c>
      <c r="P758" t="s">
        <v>29</v>
      </c>
      <c r="Q758" t="s">
        <v>29</v>
      </c>
      <c r="R758">
        <v>288</v>
      </c>
      <c r="S758">
        <v>4.38</v>
      </c>
      <c r="T758">
        <v>4.2</v>
      </c>
      <c r="U758">
        <v>3.7</v>
      </c>
      <c r="V758" t="s">
        <v>38</v>
      </c>
    </row>
    <row r="759" spans="1:22" x14ac:dyDescent="0.35">
      <c r="A759" s="1">
        <v>45369</v>
      </c>
      <c r="B759" t="s">
        <v>22</v>
      </c>
      <c r="C759" s="2">
        <v>0.45582175925925927</v>
      </c>
      <c r="D759" t="s">
        <v>1753</v>
      </c>
      <c r="E759" t="s">
        <v>117</v>
      </c>
      <c r="F759" t="s">
        <v>1754</v>
      </c>
      <c r="G759" t="s">
        <v>56</v>
      </c>
      <c r="H759" t="s">
        <v>819</v>
      </c>
      <c r="I759" t="s">
        <v>290</v>
      </c>
      <c r="J759">
        <v>10</v>
      </c>
      <c r="K759" t="s">
        <v>29</v>
      </c>
      <c r="L759">
        <v>1</v>
      </c>
      <c r="M759" t="s">
        <v>121</v>
      </c>
      <c r="N759" t="s">
        <v>29</v>
      </c>
      <c r="O759" t="s">
        <v>29</v>
      </c>
      <c r="P759" t="s">
        <v>29</v>
      </c>
      <c r="Q759" t="s">
        <v>29</v>
      </c>
      <c r="R759" t="s">
        <v>29</v>
      </c>
      <c r="S759" t="s">
        <v>29</v>
      </c>
      <c r="T759" t="s">
        <v>29</v>
      </c>
      <c r="U759" t="s">
        <v>29</v>
      </c>
      <c r="V759" t="s">
        <v>29</v>
      </c>
    </row>
    <row r="760" spans="1:22" x14ac:dyDescent="0.35">
      <c r="A760" s="1">
        <v>45444</v>
      </c>
      <c r="B760" t="s">
        <v>64</v>
      </c>
      <c r="C760" s="2">
        <v>0.67265046296296294</v>
      </c>
      <c r="D760" t="s">
        <v>1755</v>
      </c>
      <c r="E760" t="s">
        <v>93</v>
      </c>
      <c r="F760" t="s">
        <v>1756</v>
      </c>
      <c r="G760" t="s">
        <v>34</v>
      </c>
      <c r="H760" t="s">
        <v>391</v>
      </c>
      <c r="I760" t="s">
        <v>62</v>
      </c>
      <c r="J760">
        <v>9</v>
      </c>
      <c r="K760" t="s">
        <v>29</v>
      </c>
      <c r="L760" t="s">
        <v>29</v>
      </c>
      <c r="M760" t="s">
        <v>29</v>
      </c>
      <c r="N760">
        <v>1</v>
      </c>
      <c r="O760" t="s">
        <v>97</v>
      </c>
      <c r="P760" t="s">
        <v>29</v>
      </c>
      <c r="Q760" t="s">
        <v>29</v>
      </c>
      <c r="R760" t="s">
        <v>29</v>
      </c>
      <c r="S760" t="s">
        <v>29</v>
      </c>
      <c r="T760" t="s">
        <v>29</v>
      </c>
      <c r="U760" t="s">
        <v>29</v>
      </c>
      <c r="V760" t="s">
        <v>29</v>
      </c>
    </row>
    <row r="761" spans="1:22" x14ac:dyDescent="0.35">
      <c r="A761" s="1">
        <v>45460</v>
      </c>
      <c r="B761" t="s">
        <v>64</v>
      </c>
      <c r="C761" s="2">
        <v>0.31351851851851853</v>
      </c>
      <c r="D761" t="s">
        <v>1757</v>
      </c>
      <c r="E761" t="s">
        <v>41</v>
      </c>
      <c r="F761" t="s">
        <v>1758</v>
      </c>
      <c r="G761" t="s">
        <v>56</v>
      </c>
      <c r="H761" t="s">
        <v>280</v>
      </c>
      <c r="I761" t="s">
        <v>270</v>
      </c>
      <c r="J761">
        <v>9.4</v>
      </c>
      <c r="K761">
        <v>29.5</v>
      </c>
      <c r="L761" t="s">
        <v>29</v>
      </c>
      <c r="M761" t="s">
        <v>29</v>
      </c>
      <c r="N761" t="s">
        <v>29</v>
      </c>
      <c r="O761" t="s">
        <v>29</v>
      </c>
      <c r="P761" t="s">
        <v>29</v>
      </c>
      <c r="Q761" t="s">
        <v>29</v>
      </c>
      <c r="R761">
        <v>133</v>
      </c>
      <c r="S761">
        <v>29.31</v>
      </c>
      <c r="T761">
        <v>4.4000000000000004</v>
      </c>
      <c r="U761">
        <v>4.8</v>
      </c>
      <c r="V761" t="s">
        <v>149</v>
      </c>
    </row>
    <row r="762" spans="1:22" x14ac:dyDescent="0.35">
      <c r="A762" s="1">
        <v>45404</v>
      </c>
      <c r="B762" t="s">
        <v>154</v>
      </c>
      <c r="C762" s="2">
        <v>0.27732638888888889</v>
      </c>
      <c r="D762" t="s">
        <v>1759</v>
      </c>
      <c r="E762" t="s">
        <v>41</v>
      </c>
      <c r="F762" t="s">
        <v>1760</v>
      </c>
      <c r="G762" t="s">
        <v>50</v>
      </c>
      <c r="H762" t="s">
        <v>95</v>
      </c>
      <c r="I762" t="s">
        <v>62</v>
      </c>
      <c r="J762">
        <v>12.5</v>
      </c>
      <c r="K762">
        <v>28.5</v>
      </c>
      <c r="L762" t="s">
        <v>29</v>
      </c>
      <c r="M762" t="s">
        <v>29</v>
      </c>
      <c r="N762" t="s">
        <v>29</v>
      </c>
      <c r="O762" t="s">
        <v>29</v>
      </c>
      <c r="P762" t="s">
        <v>29</v>
      </c>
      <c r="Q762" t="s">
        <v>29</v>
      </c>
      <c r="R762">
        <v>123</v>
      </c>
      <c r="S762">
        <v>2.35</v>
      </c>
      <c r="T762">
        <v>3.9</v>
      </c>
      <c r="U762">
        <v>4.5999999999999996</v>
      </c>
      <c r="V762" t="s">
        <v>84</v>
      </c>
    </row>
    <row r="763" spans="1:22" x14ac:dyDescent="0.35">
      <c r="A763" s="1">
        <v>45453</v>
      </c>
      <c r="B763" t="s">
        <v>64</v>
      </c>
      <c r="C763" s="2">
        <v>0.28129629629629632</v>
      </c>
      <c r="D763" t="s">
        <v>1761</v>
      </c>
      <c r="E763" t="s">
        <v>24</v>
      </c>
      <c r="F763" t="s">
        <v>1762</v>
      </c>
      <c r="G763" t="s">
        <v>34</v>
      </c>
      <c r="H763" t="s">
        <v>333</v>
      </c>
      <c r="I763" t="s">
        <v>549</v>
      </c>
      <c r="J763" t="s">
        <v>29</v>
      </c>
      <c r="K763" t="s">
        <v>29</v>
      </c>
      <c r="L763" t="s">
        <v>29</v>
      </c>
      <c r="M763" t="s">
        <v>29</v>
      </c>
      <c r="N763" t="s">
        <v>29</v>
      </c>
      <c r="O763" t="s">
        <v>29</v>
      </c>
      <c r="P763" t="s">
        <v>29</v>
      </c>
      <c r="Q763" t="s">
        <v>29</v>
      </c>
      <c r="R763" t="s">
        <v>29</v>
      </c>
      <c r="S763" t="s">
        <v>29</v>
      </c>
      <c r="T763" t="s">
        <v>29</v>
      </c>
      <c r="U763" t="s">
        <v>29</v>
      </c>
      <c r="V763" t="s">
        <v>29</v>
      </c>
    </row>
    <row r="764" spans="1:22" x14ac:dyDescent="0.35">
      <c r="A764" s="1">
        <v>45412</v>
      </c>
      <c r="B764" t="s">
        <v>154</v>
      </c>
      <c r="C764" s="2">
        <v>0.62577546296296294</v>
      </c>
      <c r="D764" t="s">
        <v>1763</v>
      </c>
      <c r="E764" t="s">
        <v>41</v>
      </c>
      <c r="F764" t="s">
        <v>1764</v>
      </c>
      <c r="G764" t="s">
        <v>43</v>
      </c>
      <c r="H764" t="s">
        <v>520</v>
      </c>
      <c r="I764" t="s">
        <v>102</v>
      </c>
      <c r="J764">
        <v>3.3</v>
      </c>
      <c r="K764">
        <v>30.3</v>
      </c>
      <c r="L764" t="s">
        <v>29</v>
      </c>
      <c r="M764" t="s">
        <v>29</v>
      </c>
      <c r="N764" t="s">
        <v>29</v>
      </c>
      <c r="O764" t="s">
        <v>29</v>
      </c>
      <c r="P764" t="s">
        <v>29</v>
      </c>
      <c r="Q764" t="s">
        <v>29</v>
      </c>
      <c r="R764">
        <v>629</v>
      </c>
      <c r="S764">
        <v>41.18</v>
      </c>
      <c r="T764">
        <v>4.2</v>
      </c>
      <c r="U764">
        <v>4.2</v>
      </c>
      <c r="V764" t="s">
        <v>107</v>
      </c>
    </row>
    <row r="765" spans="1:22" x14ac:dyDescent="0.35">
      <c r="A765" s="1">
        <v>45604</v>
      </c>
      <c r="B765" t="s">
        <v>30</v>
      </c>
      <c r="C765" s="2">
        <v>0.86924768518518514</v>
      </c>
      <c r="D765" t="s">
        <v>1765</v>
      </c>
      <c r="E765" t="s">
        <v>41</v>
      </c>
      <c r="F765" t="s">
        <v>1766</v>
      </c>
      <c r="G765" t="s">
        <v>50</v>
      </c>
      <c r="H765" t="s">
        <v>277</v>
      </c>
      <c r="I765" t="s">
        <v>463</v>
      </c>
      <c r="J765">
        <v>12.7</v>
      </c>
      <c r="K765">
        <v>40.700000000000003</v>
      </c>
      <c r="L765" t="s">
        <v>29</v>
      </c>
      <c r="M765" t="s">
        <v>29</v>
      </c>
      <c r="N765" t="s">
        <v>29</v>
      </c>
      <c r="O765" t="s">
        <v>29</v>
      </c>
      <c r="P765" t="s">
        <v>29</v>
      </c>
      <c r="Q765" t="s">
        <v>29</v>
      </c>
      <c r="R765">
        <v>201</v>
      </c>
      <c r="S765">
        <v>49.37</v>
      </c>
      <c r="T765">
        <v>4.5</v>
      </c>
      <c r="U765">
        <v>4.0999999999999996</v>
      </c>
      <c r="V765" t="s">
        <v>84</v>
      </c>
    </row>
    <row r="766" spans="1:22" x14ac:dyDescent="0.35">
      <c r="A766" s="1">
        <v>45381</v>
      </c>
      <c r="B766" t="s">
        <v>22</v>
      </c>
      <c r="C766" s="2">
        <v>0.55880787037037039</v>
      </c>
      <c r="D766" t="s">
        <v>1767</v>
      </c>
      <c r="E766" t="s">
        <v>41</v>
      </c>
      <c r="F766" t="s">
        <v>1768</v>
      </c>
      <c r="G766" t="s">
        <v>50</v>
      </c>
      <c r="H766" t="s">
        <v>822</v>
      </c>
      <c r="I766" t="s">
        <v>425</v>
      </c>
      <c r="J766">
        <v>3.8</v>
      </c>
      <c r="K766">
        <v>29.7</v>
      </c>
      <c r="L766" t="s">
        <v>29</v>
      </c>
      <c r="M766" t="s">
        <v>29</v>
      </c>
      <c r="N766" t="s">
        <v>29</v>
      </c>
      <c r="O766" t="s">
        <v>29</v>
      </c>
      <c r="P766" t="s">
        <v>29</v>
      </c>
      <c r="Q766" t="s">
        <v>29</v>
      </c>
      <c r="R766">
        <v>419</v>
      </c>
      <c r="S766">
        <v>38.83</v>
      </c>
      <c r="T766">
        <v>3.8</v>
      </c>
      <c r="U766">
        <v>4.3</v>
      </c>
      <c r="V766" t="s">
        <v>84</v>
      </c>
    </row>
    <row r="767" spans="1:22" x14ac:dyDescent="0.35">
      <c r="A767" s="1">
        <v>45374</v>
      </c>
      <c r="B767" t="s">
        <v>22</v>
      </c>
      <c r="C767" s="2">
        <v>0.22952546296296297</v>
      </c>
      <c r="D767" t="s">
        <v>1769</v>
      </c>
      <c r="E767" t="s">
        <v>41</v>
      </c>
      <c r="F767" t="s">
        <v>1770</v>
      </c>
      <c r="G767" t="s">
        <v>34</v>
      </c>
      <c r="H767" t="s">
        <v>369</v>
      </c>
      <c r="I767" t="s">
        <v>498</v>
      </c>
      <c r="J767">
        <v>6.7</v>
      </c>
      <c r="K767">
        <v>32.9</v>
      </c>
      <c r="L767" t="s">
        <v>29</v>
      </c>
      <c r="M767" t="s">
        <v>29</v>
      </c>
      <c r="N767" t="s">
        <v>29</v>
      </c>
      <c r="O767" t="s">
        <v>29</v>
      </c>
      <c r="P767" t="s">
        <v>29</v>
      </c>
      <c r="Q767" t="s">
        <v>29</v>
      </c>
      <c r="R767">
        <v>759</v>
      </c>
      <c r="S767">
        <v>7.37</v>
      </c>
      <c r="T767">
        <v>4.5999999999999996</v>
      </c>
      <c r="U767">
        <v>4.2</v>
      </c>
      <c r="V767" t="s">
        <v>46</v>
      </c>
    </row>
    <row r="768" spans="1:22" x14ac:dyDescent="0.35">
      <c r="A768" s="1">
        <v>45626</v>
      </c>
      <c r="B768" t="s">
        <v>30</v>
      </c>
      <c r="C768" s="2">
        <v>0.61888888888888893</v>
      </c>
      <c r="D768" t="s">
        <v>1771</v>
      </c>
      <c r="E768" t="s">
        <v>41</v>
      </c>
      <c r="F768" t="s">
        <v>1772</v>
      </c>
      <c r="G768" t="s">
        <v>43</v>
      </c>
      <c r="H768" t="s">
        <v>129</v>
      </c>
      <c r="I768" t="s">
        <v>63</v>
      </c>
      <c r="J768">
        <v>14.7</v>
      </c>
      <c r="K768">
        <v>29.5</v>
      </c>
      <c r="L768" t="s">
        <v>29</v>
      </c>
      <c r="M768" t="s">
        <v>29</v>
      </c>
      <c r="N768" t="s">
        <v>29</v>
      </c>
      <c r="O768" t="s">
        <v>29</v>
      </c>
      <c r="P768" t="s">
        <v>29</v>
      </c>
      <c r="Q768" t="s">
        <v>29</v>
      </c>
      <c r="R768">
        <v>399</v>
      </c>
      <c r="S768">
        <v>48.69</v>
      </c>
      <c r="T768">
        <v>4.2</v>
      </c>
      <c r="U768">
        <v>4.7</v>
      </c>
      <c r="V768" t="s">
        <v>149</v>
      </c>
    </row>
    <row r="769" spans="1:22" x14ac:dyDescent="0.35">
      <c r="A769" s="1">
        <v>45397</v>
      </c>
      <c r="B769" t="s">
        <v>154</v>
      </c>
      <c r="C769" s="2">
        <v>0.37656250000000002</v>
      </c>
      <c r="D769" t="s">
        <v>1773</v>
      </c>
      <c r="E769" t="s">
        <v>41</v>
      </c>
      <c r="F769" t="s">
        <v>1774</v>
      </c>
      <c r="G769" t="s">
        <v>67</v>
      </c>
      <c r="H769" t="s">
        <v>76</v>
      </c>
      <c r="I769" t="s">
        <v>391</v>
      </c>
      <c r="J769">
        <v>6.5</v>
      </c>
      <c r="K769">
        <v>42.3</v>
      </c>
      <c r="L769" t="s">
        <v>29</v>
      </c>
      <c r="M769" t="s">
        <v>29</v>
      </c>
      <c r="N769" t="s">
        <v>29</v>
      </c>
      <c r="O769" t="s">
        <v>29</v>
      </c>
      <c r="P769" t="s">
        <v>29</v>
      </c>
      <c r="Q769" t="s">
        <v>29</v>
      </c>
      <c r="R769">
        <v>276</v>
      </c>
      <c r="S769">
        <v>18.510000000000002</v>
      </c>
      <c r="T769">
        <v>4.5999999999999996</v>
      </c>
      <c r="U769">
        <v>4.3</v>
      </c>
      <c r="V769" t="s">
        <v>38</v>
      </c>
    </row>
    <row r="770" spans="1:22" x14ac:dyDescent="0.35">
      <c r="A770" s="1">
        <v>45487</v>
      </c>
      <c r="B770" t="s">
        <v>108</v>
      </c>
      <c r="C770" s="2">
        <v>0.48934027777777778</v>
      </c>
      <c r="D770" t="s">
        <v>1775</v>
      </c>
      <c r="E770" t="s">
        <v>41</v>
      </c>
      <c r="F770" t="s">
        <v>1776</v>
      </c>
      <c r="G770" t="s">
        <v>56</v>
      </c>
      <c r="H770" t="s">
        <v>245</v>
      </c>
      <c r="I770" t="s">
        <v>340</v>
      </c>
      <c r="J770">
        <v>3.3</v>
      </c>
      <c r="K770">
        <v>25.7</v>
      </c>
      <c r="L770" t="s">
        <v>29</v>
      </c>
      <c r="M770" t="s">
        <v>29</v>
      </c>
      <c r="N770" t="s">
        <v>29</v>
      </c>
      <c r="O770" t="s">
        <v>29</v>
      </c>
      <c r="P770" t="s">
        <v>29</v>
      </c>
      <c r="Q770" t="s">
        <v>29</v>
      </c>
      <c r="R770">
        <v>1354</v>
      </c>
      <c r="S770">
        <v>36.020000000000003</v>
      </c>
      <c r="T770">
        <v>3.8</v>
      </c>
      <c r="U770">
        <v>3.6</v>
      </c>
      <c r="V770" t="s">
        <v>84</v>
      </c>
    </row>
    <row r="771" spans="1:22" x14ac:dyDescent="0.35">
      <c r="A771" s="1">
        <v>45590</v>
      </c>
      <c r="B771" t="s">
        <v>47</v>
      </c>
      <c r="C771" s="2">
        <v>0.38009259259259259</v>
      </c>
      <c r="D771" t="s">
        <v>1777</v>
      </c>
      <c r="E771" t="s">
        <v>41</v>
      </c>
      <c r="F771" t="s">
        <v>1778</v>
      </c>
      <c r="G771" t="s">
        <v>56</v>
      </c>
      <c r="H771" t="s">
        <v>493</v>
      </c>
      <c r="I771" t="s">
        <v>68</v>
      </c>
      <c r="J771">
        <v>13.3</v>
      </c>
      <c r="K771">
        <v>16</v>
      </c>
      <c r="L771" t="s">
        <v>29</v>
      </c>
      <c r="M771" t="s">
        <v>29</v>
      </c>
      <c r="N771" t="s">
        <v>29</v>
      </c>
      <c r="O771" t="s">
        <v>29</v>
      </c>
      <c r="P771" t="s">
        <v>29</v>
      </c>
      <c r="Q771" t="s">
        <v>29</v>
      </c>
      <c r="R771">
        <v>529</v>
      </c>
      <c r="S771">
        <v>7.92</v>
      </c>
      <c r="T771">
        <v>3.2</v>
      </c>
      <c r="U771">
        <v>4.0999999999999996</v>
      </c>
      <c r="V771" t="s">
        <v>46</v>
      </c>
    </row>
    <row r="772" spans="1:22" x14ac:dyDescent="0.35">
      <c r="A772" s="1">
        <v>45310</v>
      </c>
      <c r="B772" t="s">
        <v>150</v>
      </c>
      <c r="C772" s="2">
        <v>0.86635416666666665</v>
      </c>
      <c r="D772" t="s">
        <v>1779</v>
      </c>
      <c r="E772" t="s">
        <v>117</v>
      </c>
      <c r="F772" t="s">
        <v>1780</v>
      </c>
      <c r="G772" t="s">
        <v>43</v>
      </c>
      <c r="H772" t="s">
        <v>137</v>
      </c>
      <c r="I772" t="s">
        <v>63</v>
      </c>
      <c r="J772">
        <v>7</v>
      </c>
      <c r="K772" t="s">
        <v>29</v>
      </c>
      <c r="L772">
        <v>1</v>
      </c>
      <c r="M772" t="s">
        <v>121</v>
      </c>
      <c r="N772" t="s">
        <v>29</v>
      </c>
      <c r="O772" t="s">
        <v>29</v>
      </c>
      <c r="P772" t="s">
        <v>29</v>
      </c>
      <c r="Q772" t="s">
        <v>29</v>
      </c>
      <c r="R772" t="s">
        <v>29</v>
      </c>
      <c r="S772" t="s">
        <v>29</v>
      </c>
      <c r="T772" t="s">
        <v>29</v>
      </c>
      <c r="U772" t="s">
        <v>29</v>
      </c>
      <c r="V772" t="s">
        <v>29</v>
      </c>
    </row>
    <row r="773" spans="1:22" x14ac:dyDescent="0.35">
      <c r="A773" s="1">
        <v>45564</v>
      </c>
      <c r="B773" t="s">
        <v>53</v>
      </c>
      <c r="C773" s="2">
        <v>0.62262731481481481</v>
      </c>
      <c r="D773" t="s">
        <v>1781</v>
      </c>
      <c r="E773" t="s">
        <v>93</v>
      </c>
      <c r="F773" t="s">
        <v>1782</v>
      </c>
      <c r="G773" t="s">
        <v>146</v>
      </c>
      <c r="H773" t="s">
        <v>161</v>
      </c>
      <c r="I773" t="s">
        <v>69</v>
      </c>
      <c r="J773">
        <v>3.5</v>
      </c>
      <c r="K773" t="s">
        <v>29</v>
      </c>
      <c r="L773" t="s">
        <v>29</v>
      </c>
      <c r="M773" t="s">
        <v>29</v>
      </c>
      <c r="N773">
        <v>1</v>
      </c>
      <c r="O773" t="s">
        <v>169</v>
      </c>
      <c r="P773" t="s">
        <v>29</v>
      </c>
      <c r="Q773" t="s">
        <v>29</v>
      </c>
      <c r="R773" t="s">
        <v>29</v>
      </c>
      <c r="S773" t="s">
        <v>29</v>
      </c>
      <c r="T773" t="s">
        <v>29</v>
      </c>
      <c r="U773" t="s">
        <v>29</v>
      </c>
      <c r="V773" t="s">
        <v>29</v>
      </c>
    </row>
    <row r="774" spans="1:22" x14ac:dyDescent="0.35">
      <c r="A774" s="1">
        <v>45552</v>
      </c>
      <c r="B774" t="s">
        <v>53</v>
      </c>
      <c r="C774" s="2">
        <v>0.8069560185185185</v>
      </c>
      <c r="D774" t="s">
        <v>1783</v>
      </c>
      <c r="E774" t="s">
        <v>41</v>
      </c>
      <c r="F774" t="s">
        <v>1784</v>
      </c>
      <c r="G774" t="s">
        <v>43</v>
      </c>
      <c r="H774" t="s">
        <v>531</v>
      </c>
      <c r="I774" t="s">
        <v>63</v>
      </c>
      <c r="J774">
        <v>12.1</v>
      </c>
      <c r="K774">
        <v>16.399999999999999</v>
      </c>
      <c r="L774" t="s">
        <v>29</v>
      </c>
      <c r="M774" t="s">
        <v>29</v>
      </c>
      <c r="N774" t="s">
        <v>29</v>
      </c>
      <c r="O774" t="s">
        <v>29</v>
      </c>
      <c r="P774" t="s">
        <v>29</v>
      </c>
      <c r="Q774" t="s">
        <v>29</v>
      </c>
      <c r="R774">
        <v>306</v>
      </c>
      <c r="S774">
        <v>20.57</v>
      </c>
      <c r="T774">
        <v>3.7</v>
      </c>
      <c r="U774">
        <v>4.5999999999999996</v>
      </c>
      <c r="V774" t="s">
        <v>38</v>
      </c>
    </row>
    <row r="775" spans="1:22" x14ac:dyDescent="0.35">
      <c r="A775" s="1">
        <v>45544</v>
      </c>
      <c r="B775" t="s">
        <v>53</v>
      </c>
      <c r="C775" s="2">
        <v>0.60098379629629628</v>
      </c>
      <c r="D775" t="s">
        <v>1785</v>
      </c>
      <c r="E775" t="s">
        <v>41</v>
      </c>
      <c r="F775" t="s">
        <v>1786</v>
      </c>
      <c r="G775" t="s">
        <v>26</v>
      </c>
      <c r="H775" t="s">
        <v>148</v>
      </c>
      <c r="I775" t="s">
        <v>57</v>
      </c>
      <c r="J775">
        <v>7.1</v>
      </c>
      <c r="K775">
        <v>38.200000000000003</v>
      </c>
      <c r="L775" t="s">
        <v>29</v>
      </c>
      <c r="M775" t="s">
        <v>29</v>
      </c>
      <c r="N775" t="s">
        <v>29</v>
      </c>
      <c r="O775" t="s">
        <v>29</v>
      </c>
      <c r="P775" t="s">
        <v>29</v>
      </c>
      <c r="Q775" t="s">
        <v>29</v>
      </c>
      <c r="R775">
        <v>535</v>
      </c>
      <c r="S775">
        <v>49.73</v>
      </c>
      <c r="T775">
        <v>4.5</v>
      </c>
      <c r="U775">
        <v>4.9000000000000004</v>
      </c>
      <c r="V775" t="s">
        <v>84</v>
      </c>
    </row>
    <row r="776" spans="1:22" x14ac:dyDescent="0.35">
      <c r="A776" s="1">
        <v>45395</v>
      </c>
      <c r="B776" t="s">
        <v>154</v>
      </c>
      <c r="C776" s="2">
        <v>0.64605324074074078</v>
      </c>
      <c r="D776" t="s">
        <v>1787</v>
      </c>
      <c r="E776" t="s">
        <v>41</v>
      </c>
      <c r="F776" t="s">
        <v>1788</v>
      </c>
      <c r="G776" t="s">
        <v>43</v>
      </c>
      <c r="H776" t="s">
        <v>73</v>
      </c>
      <c r="I776" t="s">
        <v>858</v>
      </c>
      <c r="J776">
        <v>2.2000000000000002</v>
      </c>
      <c r="K776">
        <v>30.5</v>
      </c>
      <c r="L776" t="s">
        <v>29</v>
      </c>
      <c r="M776" t="s">
        <v>29</v>
      </c>
      <c r="N776" t="s">
        <v>29</v>
      </c>
      <c r="O776" t="s">
        <v>29</v>
      </c>
      <c r="P776" t="s">
        <v>29</v>
      </c>
      <c r="Q776" t="s">
        <v>29</v>
      </c>
      <c r="R776">
        <v>200</v>
      </c>
      <c r="S776">
        <v>26.7</v>
      </c>
      <c r="T776">
        <v>3.9</v>
      </c>
      <c r="U776">
        <v>4.8</v>
      </c>
      <c r="V776" t="s">
        <v>84</v>
      </c>
    </row>
    <row r="777" spans="1:22" x14ac:dyDescent="0.35">
      <c r="A777" s="1">
        <v>45642</v>
      </c>
      <c r="B777" t="s">
        <v>78</v>
      </c>
      <c r="C777" s="2">
        <v>0.82474537037037032</v>
      </c>
      <c r="D777" t="s">
        <v>1789</v>
      </c>
      <c r="E777" t="s">
        <v>41</v>
      </c>
      <c r="F777" t="s">
        <v>1790</v>
      </c>
      <c r="G777" t="s">
        <v>67</v>
      </c>
      <c r="H777" t="s">
        <v>221</v>
      </c>
      <c r="I777" t="s">
        <v>161</v>
      </c>
      <c r="J777">
        <v>10.7</v>
      </c>
      <c r="K777">
        <v>17.100000000000001</v>
      </c>
      <c r="L777" t="s">
        <v>29</v>
      </c>
      <c r="M777" t="s">
        <v>29</v>
      </c>
      <c r="N777" t="s">
        <v>29</v>
      </c>
      <c r="O777" t="s">
        <v>29</v>
      </c>
      <c r="P777" t="s">
        <v>29</v>
      </c>
      <c r="Q777" t="s">
        <v>29</v>
      </c>
      <c r="R777">
        <v>362</v>
      </c>
      <c r="S777">
        <v>38.89</v>
      </c>
      <c r="T777">
        <v>4.4000000000000004</v>
      </c>
      <c r="U777">
        <v>4.8</v>
      </c>
      <c r="V777" t="s">
        <v>149</v>
      </c>
    </row>
    <row r="778" spans="1:22" x14ac:dyDescent="0.35">
      <c r="A778" s="1">
        <v>45497</v>
      </c>
      <c r="B778" t="s">
        <v>108</v>
      </c>
      <c r="C778" s="2">
        <v>0.92730324074074078</v>
      </c>
      <c r="D778" t="s">
        <v>1791</v>
      </c>
      <c r="E778" t="s">
        <v>41</v>
      </c>
      <c r="F778" t="s">
        <v>1792</v>
      </c>
      <c r="G778" t="s">
        <v>43</v>
      </c>
      <c r="H778" t="s">
        <v>346</v>
      </c>
      <c r="I778" t="s">
        <v>68</v>
      </c>
      <c r="J778">
        <v>8.6</v>
      </c>
      <c r="K778">
        <v>23</v>
      </c>
      <c r="L778" t="s">
        <v>29</v>
      </c>
      <c r="M778" t="s">
        <v>29</v>
      </c>
      <c r="N778" t="s">
        <v>29</v>
      </c>
      <c r="O778" t="s">
        <v>29</v>
      </c>
      <c r="P778" t="s">
        <v>29</v>
      </c>
      <c r="Q778" t="s">
        <v>29</v>
      </c>
      <c r="R778">
        <v>337</v>
      </c>
      <c r="S778">
        <v>30.05</v>
      </c>
      <c r="T778">
        <v>4.5999999999999996</v>
      </c>
      <c r="U778">
        <v>4.8</v>
      </c>
      <c r="V778" t="s">
        <v>84</v>
      </c>
    </row>
    <row r="779" spans="1:22" x14ac:dyDescent="0.35">
      <c r="A779" s="1">
        <v>45309</v>
      </c>
      <c r="B779" t="s">
        <v>150</v>
      </c>
      <c r="C779" s="2">
        <v>0.4557060185185185</v>
      </c>
      <c r="D779" t="s">
        <v>1793</v>
      </c>
      <c r="E779" t="s">
        <v>41</v>
      </c>
      <c r="F779" t="s">
        <v>1794</v>
      </c>
      <c r="G779" t="s">
        <v>56</v>
      </c>
      <c r="H779" t="s">
        <v>315</v>
      </c>
      <c r="I779" t="s">
        <v>161</v>
      </c>
      <c r="J779">
        <v>5.6</v>
      </c>
      <c r="K779">
        <v>41.7</v>
      </c>
      <c r="L779" t="s">
        <v>29</v>
      </c>
      <c r="M779" t="s">
        <v>29</v>
      </c>
      <c r="N779" t="s">
        <v>29</v>
      </c>
      <c r="O779" t="s">
        <v>29</v>
      </c>
      <c r="P779" t="s">
        <v>29</v>
      </c>
      <c r="Q779" t="s">
        <v>29</v>
      </c>
      <c r="R779">
        <v>558</v>
      </c>
      <c r="S779">
        <v>26.69</v>
      </c>
      <c r="T779">
        <v>4.0999999999999996</v>
      </c>
      <c r="U779">
        <v>4.3</v>
      </c>
      <c r="V779" t="s">
        <v>84</v>
      </c>
    </row>
    <row r="780" spans="1:22" x14ac:dyDescent="0.35">
      <c r="A780" s="1">
        <v>45478</v>
      </c>
      <c r="B780" t="s">
        <v>108</v>
      </c>
      <c r="C780" s="2">
        <v>0.72356481481481483</v>
      </c>
      <c r="D780" t="s">
        <v>1795</v>
      </c>
      <c r="E780" t="s">
        <v>41</v>
      </c>
      <c r="F780" t="s">
        <v>1796</v>
      </c>
      <c r="G780" t="s">
        <v>56</v>
      </c>
      <c r="H780" t="s">
        <v>148</v>
      </c>
      <c r="I780" t="s">
        <v>45</v>
      </c>
      <c r="J780">
        <v>2.9</v>
      </c>
      <c r="K780">
        <v>16.2</v>
      </c>
      <c r="L780" t="s">
        <v>29</v>
      </c>
      <c r="M780" t="s">
        <v>29</v>
      </c>
      <c r="N780" t="s">
        <v>29</v>
      </c>
      <c r="O780" t="s">
        <v>29</v>
      </c>
      <c r="P780" t="s">
        <v>29</v>
      </c>
      <c r="Q780" t="s">
        <v>29</v>
      </c>
      <c r="R780">
        <v>800</v>
      </c>
      <c r="S780">
        <v>48.89</v>
      </c>
      <c r="T780">
        <v>4.2</v>
      </c>
      <c r="U780">
        <v>4.5</v>
      </c>
      <c r="V780" t="s">
        <v>38</v>
      </c>
    </row>
    <row r="781" spans="1:22" x14ac:dyDescent="0.35">
      <c r="A781" s="1">
        <v>45592</v>
      </c>
      <c r="B781" t="s">
        <v>47</v>
      </c>
      <c r="C781" s="2">
        <v>0.90106481481481482</v>
      </c>
      <c r="D781" t="s">
        <v>1797</v>
      </c>
      <c r="E781" t="s">
        <v>41</v>
      </c>
      <c r="F781" t="s">
        <v>1798</v>
      </c>
      <c r="G781" t="s">
        <v>34</v>
      </c>
      <c r="H781" t="s">
        <v>58</v>
      </c>
      <c r="I781" t="s">
        <v>248</v>
      </c>
      <c r="J781">
        <v>11.3</v>
      </c>
      <c r="K781">
        <v>24.1</v>
      </c>
      <c r="L781" t="s">
        <v>29</v>
      </c>
      <c r="M781" t="s">
        <v>29</v>
      </c>
      <c r="N781" t="s">
        <v>29</v>
      </c>
      <c r="O781" t="s">
        <v>29</v>
      </c>
      <c r="P781" t="s">
        <v>29</v>
      </c>
      <c r="Q781" t="s">
        <v>29</v>
      </c>
      <c r="R781">
        <v>654</v>
      </c>
      <c r="S781">
        <v>49.07</v>
      </c>
      <c r="T781">
        <v>4.9000000000000004</v>
      </c>
      <c r="U781">
        <v>3.9</v>
      </c>
      <c r="V781" t="s">
        <v>38</v>
      </c>
    </row>
    <row r="782" spans="1:22" x14ac:dyDescent="0.35">
      <c r="A782" s="1">
        <v>45520</v>
      </c>
      <c r="B782" t="s">
        <v>39</v>
      </c>
      <c r="C782" s="2">
        <v>0.76677083333333329</v>
      </c>
      <c r="D782" t="s">
        <v>1799</v>
      </c>
      <c r="E782" t="s">
        <v>41</v>
      </c>
      <c r="F782" t="s">
        <v>1800</v>
      </c>
      <c r="G782" t="s">
        <v>56</v>
      </c>
      <c r="H782" t="s">
        <v>881</v>
      </c>
      <c r="I782" t="s">
        <v>95</v>
      </c>
      <c r="J782">
        <v>13</v>
      </c>
      <c r="K782">
        <v>23.3</v>
      </c>
      <c r="L782" t="s">
        <v>29</v>
      </c>
      <c r="M782" t="s">
        <v>29</v>
      </c>
      <c r="N782" t="s">
        <v>29</v>
      </c>
      <c r="O782" t="s">
        <v>29</v>
      </c>
      <c r="P782" t="s">
        <v>29</v>
      </c>
      <c r="Q782" t="s">
        <v>29</v>
      </c>
      <c r="R782">
        <v>171</v>
      </c>
      <c r="S782">
        <v>16.41</v>
      </c>
      <c r="T782">
        <v>4.2</v>
      </c>
      <c r="U782">
        <v>4</v>
      </c>
      <c r="V782" t="s">
        <v>38</v>
      </c>
    </row>
    <row r="783" spans="1:22" x14ac:dyDescent="0.35">
      <c r="A783" s="1">
        <v>45372</v>
      </c>
      <c r="B783" t="s">
        <v>22</v>
      </c>
      <c r="C783" s="2">
        <v>0.86312500000000003</v>
      </c>
      <c r="D783" t="s">
        <v>1801</v>
      </c>
      <c r="E783" t="s">
        <v>41</v>
      </c>
      <c r="F783" t="s">
        <v>1802</v>
      </c>
      <c r="G783" t="s">
        <v>26</v>
      </c>
      <c r="H783" t="s">
        <v>239</v>
      </c>
      <c r="I783" t="s">
        <v>91</v>
      </c>
      <c r="J783">
        <v>7.1</v>
      </c>
      <c r="K783">
        <v>25.4</v>
      </c>
      <c r="L783" t="s">
        <v>29</v>
      </c>
      <c r="M783" t="s">
        <v>29</v>
      </c>
      <c r="N783" t="s">
        <v>29</v>
      </c>
      <c r="O783" t="s">
        <v>29</v>
      </c>
      <c r="P783" t="s">
        <v>29</v>
      </c>
      <c r="Q783" t="s">
        <v>29</v>
      </c>
      <c r="R783">
        <v>471</v>
      </c>
      <c r="S783">
        <v>49.85</v>
      </c>
      <c r="T783">
        <v>4.8</v>
      </c>
      <c r="U783">
        <v>4.5</v>
      </c>
      <c r="V783" t="s">
        <v>38</v>
      </c>
    </row>
    <row r="784" spans="1:22" x14ac:dyDescent="0.35">
      <c r="A784" s="1">
        <v>45556</v>
      </c>
      <c r="B784" t="s">
        <v>53</v>
      </c>
      <c r="C784" s="2">
        <v>0.96082175925925928</v>
      </c>
      <c r="D784" t="s">
        <v>1803</v>
      </c>
      <c r="E784" t="s">
        <v>24</v>
      </c>
      <c r="F784" t="s">
        <v>1804</v>
      </c>
      <c r="G784" t="s">
        <v>43</v>
      </c>
      <c r="H784" t="s">
        <v>153</v>
      </c>
      <c r="I784" t="s">
        <v>555</v>
      </c>
      <c r="J784" t="s">
        <v>29</v>
      </c>
      <c r="K784" t="s">
        <v>29</v>
      </c>
      <c r="L784" t="s">
        <v>29</v>
      </c>
      <c r="M784" t="s">
        <v>29</v>
      </c>
      <c r="N784" t="s">
        <v>29</v>
      </c>
      <c r="O784" t="s">
        <v>29</v>
      </c>
      <c r="P784" t="s">
        <v>29</v>
      </c>
      <c r="Q784" t="s">
        <v>29</v>
      </c>
      <c r="R784" t="s">
        <v>29</v>
      </c>
      <c r="S784" t="s">
        <v>29</v>
      </c>
      <c r="T784" t="s">
        <v>29</v>
      </c>
      <c r="U784" t="s">
        <v>29</v>
      </c>
      <c r="V784" t="s">
        <v>29</v>
      </c>
    </row>
    <row r="785" spans="1:22" x14ac:dyDescent="0.35">
      <c r="A785" s="1">
        <v>45396</v>
      </c>
      <c r="B785" t="s">
        <v>154</v>
      </c>
      <c r="C785" s="2">
        <v>0.38851851851851854</v>
      </c>
      <c r="D785" t="s">
        <v>1805</v>
      </c>
      <c r="E785" t="s">
        <v>93</v>
      </c>
      <c r="F785" t="s">
        <v>1806</v>
      </c>
      <c r="G785" t="s">
        <v>43</v>
      </c>
      <c r="H785" t="s">
        <v>536</v>
      </c>
      <c r="I785" t="s">
        <v>249</v>
      </c>
      <c r="J785">
        <v>8.8000000000000007</v>
      </c>
      <c r="K785" t="s">
        <v>29</v>
      </c>
      <c r="L785" t="s">
        <v>29</v>
      </c>
      <c r="M785" t="s">
        <v>29</v>
      </c>
      <c r="N785">
        <v>1</v>
      </c>
      <c r="O785" t="s">
        <v>115</v>
      </c>
      <c r="P785" t="s">
        <v>29</v>
      </c>
      <c r="Q785" t="s">
        <v>29</v>
      </c>
      <c r="R785" t="s">
        <v>29</v>
      </c>
      <c r="S785" t="s">
        <v>29</v>
      </c>
      <c r="T785" t="s">
        <v>29</v>
      </c>
      <c r="U785" t="s">
        <v>29</v>
      </c>
      <c r="V785" t="s">
        <v>29</v>
      </c>
    </row>
    <row r="786" spans="1:22" x14ac:dyDescent="0.35">
      <c r="A786" s="1">
        <v>45622</v>
      </c>
      <c r="B786" t="s">
        <v>30</v>
      </c>
      <c r="C786" s="2">
        <v>0.87517361111111114</v>
      </c>
      <c r="D786" t="s">
        <v>1807</v>
      </c>
      <c r="E786" t="s">
        <v>41</v>
      </c>
      <c r="F786" t="s">
        <v>1808</v>
      </c>
      <c r="G786" t="s">
        <v>50</v>
      </c>
      <c r="H786" t="s">
        <v>531</v>
      </c>
      <c r="I786" t="s">
        <v>441</v>
      </c>
      <c r="J786">
        <v>7.7</v>
      </c>
      <c r="K786">
        <v>41</v>
      </c>
      <c r="L786" t="s">
        <v>29</v>
      </c>
      <c r="M786" t="s">
        <v>29</v>
      </c>
      <c r="N786" t="s">
        <v>29</v>
      </c>
      <c r="O786" t="s">
        <v>29</v>
      </c>
      <c r="P786" t="s">
        <v>29</v>
      </c>
      <c r="Q786" t="s">
        <v>29</v>
      </c>
      <c r="R786">
        <v>326</v>
      </c>
      <c r="S786">
        <v>36.43</v>
      </c>
      <c r="T786">
        <v>3.9</v>
      </c>
      <c r="U786">
        <v>3.7</v>
      </c>
      <c r="V786" t="s">
        <v>38</v>
      </c>
    </row>
    <row r="787" spans="1:22" x14ac:dyDescent="0.35">
      <c r="A787" s="1">
        <v>45478</v>
      </c>
      <c r="B787" t="s">
        <v>108</v>
      </c>
      <c r="C787" s="2">
        <v>0.61657407407407405</v>
      </c>
      <c r="D787" t="s">
        <v>1809</v>
      </c>
      <c r="E787" t="s">
        <v>41</v>
      </c>
      <c r="F787" t="s">
        <v>1810</v>
      </c>
      <c r="G787" t="s">
        <v>34</v>
      </c>
      <c r="H787" t="s">
        <v>360</v>
      </c>
      <c r="I787" t="s">
        <v>555</v>
      </c>
      <c r="J787">
        <v>4.5999999999999996</v>
      </c>
      <c r="K787">
        <v>21</v>
      </c>
      <c r="L787" t="s">
        <v>29</v>
      </c>
      <c r="M787" t="s">
        <v>29</v>
      </c>
      <c r="N787" t="s">
        <v>29</v>
      </c>
      <c r="O787" t="s">
        <v>29</v>
      </c>
      <c r="P787" t="s">
        <v>29</v>
      </c>
      <c r="Q787" t="s">
        <v>29</v>
      </c>
      <c r="R787">
        <v>142</v>
      </c>
      <c r="S787">
        <v>12.32</v>
      </c>
      <c r="T787">
        <v>4.5</v>
      </c>
      <c r="U787">
        <v>4.5999999999999996</v>
      </c>
      <c r="V787" t="s">
        <v>38</v>
      </c>
    </row>
    <row r="788" spans="1:22" x14ac:dyDescent="0.35">
      <c r="A788" s="1">
        <v>45372</v>
      </c>
      <c r="B788" t="s">
        <v>22</v>
      </c>
      <c r="C788" s="2">
        <v>0.85436342592592596</v>
      </c>
      <c r="D788" t="s">
        <v>1811</v>
      </c>
      <c r="E788" t="s">
        <v>41</v>
      </c>
      <c r="F788" t="s">
        <v>1812</v>
      </c>
      <c r="G788" t="s">
        <v>56</v>
      </c>
      <c r="H788" t="s">
        <v>486</v>
      </c>
      <c r="I788" t="s">
        <v>153</v>
      </c>
      <c r="J788">
        <v>14.2</v>
      </c>
      <c r="K788">
        <v>35</v>
      </c>
      <c r="L788" t="s">
        <v>29</v>
      </c>
      <c r="M788" t="s">
        <v>29</v>
      </c>
      <c r="N788" t="s">
        <v>29</v>
      </c>
      <c r="O788" t="s">
        <v>29</v>
      </c>
      <c r="P788" t="s">
        <v>29</v>
      </c>
      <c r="Q788" t="s">
        <v>29</v>
      </c>
      <c r="R788">
        <v>234</v>
      </c>
      <c r="S788">
        <v>21.61</v>
      </c>
      <c r="T788">
        <v>4.9000000000000004</v>
      </c>
      <c r="U788">
        <v>5</v>
      </c>
      <c r="V788" t="s">
        <v>84</v>
      </c>
    </row>
    <row r="789" spans="1:22" x14ac:dyDescent="0.35">
      <c r="A789" s="1">
        <v>45632</v>
      </c>
      <c r="B789" t="s">
        <v>78</v>
      </c>
      <c r="C789" s="2">
        <v>0.93053240740740739</v>
      </c>
      <c r="D789" t="s">
        <v>1813</v>
      </c>
      <c r="E789" t="s">
        <v>32</v>
      </c>
      <c r="F789" t="s">
        <v>1814</v>
      </c>
      <c r="G789" t="s">
        <v>67</v>
      </c>
      <c r="H789" t="s">
        <v>161</v>
      </c>
      <c r="I789" t="s">
        <v>511</v>
      </c>
      <c r="J789">
        <v>8.8000000000000007</v>
      </c>
      <c r="K789">
        <v>20.8</v>
      </c>
      <c r="L789" t="s">
        <v>29</v>
      </c>
      <c r="M789" t="s">
        <v>29</v>
      </c>
      <c r="N789" t="s">
        <v>29</v>
      </c>
      <c r="O789" t="s">
        <v>29</v>
      </c>
      <c r="P789">
        <v>1</v>
      </c>
      <c r="Q789" t="s">
        <v>302</v>
      </c>
      <c r="R789">
        <v>483</v>
      </c>
      <c r="S789">
        <v>3.88</v>
      </c>
      <c r="T789" t="s">
        <v>29</v>
      </c>
      <c r="U789" t="s">
        <v>29</v>
      </c>
      <c r="V789" t="s">
        <v>107</v>
      </c>
    </row>
    <row r="790" spans="1:22" x14ac:dyDescent="0.35">
      <c r="A790" s="1">
        <v>45383</v>
      </c>
      <c r="B790" t="s">
        <v>154</v>
      </c>
      <c r="C790" s="2">
        <v>0.74384259259259256</v>
      </c>
      <c r="D790" t="s">
        <v>1815</v>
      </c>
      <c r="E790" t="s">
        <v>41</v>
      </c>
      <c r="F790" t="s">
        <v>1816</v>
      </c>
      <c r="G790" t="s">
        <v>50</v>
      </c>
      <c r="H790" t="s">
        <v>374</v>
      </c>
      <c r="I790" t="s">
        <v>198</v>
      </c>
      <c r="J790">
        <v>5.3</v>
      </c>
      <c r="K790">
        <v>21.1</v>
      </c>
      <c r="L790" t="s">
        <v>29</v>
      </c>
      <c r="M790" t="s">
        <v>29</v>
      </c>
      <c r="N790" t="s">
        <v>29</v>
      </c>
      <c r="O790" t="s">
        <v>29</v>
      </c>
      <c r="P790" t="s">
        <v>29</v>
      </c>
      <c r="Q790" t="s">
        <v>29</v>
      </c>
      <c r="R790">
        <v>203</v>
      </c>
      <c r="S790">
        <v>14.94</v>
      </c>
      <c r="T790">
        <v>3.8</v>
      </c>
      <c r="U790">
        <v>5</v>
      </c>
      <c r="V790" t="s">
        <v>38</v>
      </c>
    </row>
    <row r="791" spans="1:22" x14ac:dyDescent="0.35">
      <c r="A791" s="1">
        <v>45626</v>
      </c>
      <c r="B791" t="s">
        <v>30</v>
      </c>
      <c r="C791" s="2">
        <v>0.85092592592592597</v>
      </c>
      <c r="D791" t="s">
        <v>1817</v>
      </c>
      <c r="E791" t="s">
        <v>41</v>
      </c>
      <c r="F791" t="s">
        <v>1818</v>
      </c>
      <c r="G791" t="s">
        <v>67</v>
      </c>
      <c r="H791" t="s">
        <v>343</v>
      </c>
      <c r="I791" t="s">
        <v>819</v>
      </c>
      <c r="J791">
        <v>5.2</v>
      </c>
      <c r="K791">
        <v>18.7</v>
      </c>
      <c r="L791" t="s">
        <v>29</v>
      </c>
      <c r="M791" t="s">
        <v>29</v>
      </c>
      <c r="N791" t="s">
        <v>29</v>
      </c>
      <c r="O791" t="s">
        <v>29</v>
      </c>
      <c r="P791" t="s">
        <v>29</v>
      </c>
      <c r="Q791" t="s">
        <v>29</v>
      </c>
      <c r="R791">
        <v>1117</v>
      </c>
      <c r="S791">
        <v>7.03</v>
      </c>
      <c r="T791">
        <v>3.7</v>
      </c>
      <c r="U791">
        <v>4.7</v>
      </c>
      <c r="V791" t="s">
        <v>38</v>
      </c>
    </row>
    <row r="792" spans="1:22" x14ac:dyDescent="0.35">
      <c r="A792" s="1">
        <v>45492</v>
      </c>
      <c r="B792" t="s">
        <v>108</v>
      </c>
      <c r="C792" s="2">
        <v>4.5879629629629631E-2</v>
      </c>
      <c r="D792" t="s">
        <v>1819</v>
      </c>
      <c r="E792" t="s">
        <v>41</v>
      </c>
      <c r="F792" t="s">
        <v>1820</v>
      </c>
      <c r="G792" t="s">
        <v>34</v>
      </c>
      <c r="H792" t="s">
        <v>744</v>
      </c>
      <c r="I792" t="s">
        <v>665</v>
      </c>
      <c r="J792">
        <v>2.2999999999999998</v>
      </c>
      <c r="K792">
        <v>16.5</v>
      </c>
      <c r="L792" t="s">
        <v>29</v>
      </c>
      <c r="M792" t="s">
        <v>29</v>
      </c>
      <c r="N792" t="s">
        <v>29</v>
      </c>
      <c r="O792" t="s">
        <v>29</v>
      </c>
      <c r="P792" t="s">
        <v>29</v>
      </c>
      <c r="Q792" t="s">
        <v>29</v>
      </c>
      <c r="R792">
        <v>394</v>
      </c>
      <c r="S792">
        <v>37.69</v>
      </c>
      <c r="T792">
        <v>4.9000000000000004</v>
      </c>
      <c r="U792">
        <v>4.4000000000000004</v>
      </c>
      <c r="V792" t="s">
        <v>84</v>
      </c>
    </row>
    <row r="793" spans="1:22" x14ac:dyDescent="0.35">
      <c r="A793" s="1">
        <v>45518</v>
      </c>
      <c r="B793" t="s">
        <v>39</v>
      </c>
      <c r="C793" s="2">
        <v>0.78045138888888888</v>
      </c>
      <c r="D793" t="s">
        <v>1821</v>
      </c>
      <c r="E793" t="s">
        <v>24</v>
      </c>
      <c r="F793" t="s">
        <v>1822</v>
      </c>
      <c r="G793" t="s">
        <v>56</v>
      </c>
      <c r="H793" t="s">
        <v>477</v>
      </c>
      <c r="I793" t="s">
        <v>197</v>
      </c>
      <c r="J793" t="s">
        <v>29</v>
      </c>
      <c r="K793" t="s">
        <v>29</v>
      </c>
      <c r="L793" t="s">
        <v>29</v>
      </c>
      <c r="M793" t="s">
        <v>29</v>
      </c>
      <c r="N793" t="s">
        <v>29</v>
      </c>
      <c r="O793" t="s">
        <v>29</v>
      </c>
      <c r="P793" t="s">
        <v>29</v>
      </c>
      <c r="Q793" t="s">
        <v>29</v>
      </c>
      <c r="R793" t="s">
        <v>29</v>
      </c>
      <c r="S793" t="s">
        <v>29</v>
      </c>
      <c r="T793" t="s">
        <v>29</v>
      </c>
      <c r="U793" t="s">
        <v>29</v>
      </c>
      <c r="V793" t="s">
        <v>29</v>
      </c>
    </row>
    <row r="794" spans="1:22" x14ac:dyDescent="0.35">
      <c r="A794" s="1">
        <v>45466</v>
      </c>
      <c r="B794" t="s">
        <v>64</v>
      </c>
      <c r="C794" s="2">
        <v>0.29153935185185187</v>
      </c>
      <c r="D794" t="s">
        <v>1823</v>
      </c>
      <c r="E794" t="s">
        <v>41</v>
      </c>
      <c r="F794" t="s">
        <v>1824</v>
      </c>
      <c r="G794" t="s">
        <v>50</v>
      </c>
      <c r="H794" t="s">
        <v>136</v>
      </c>
      <c r="I794" t="s">
        <v>133</v>
      </c>
      <c r="J794">
        <v>8</v>
      </c>
      <c r="K794">
        <v>16.899999999999999</v>
      </c>
      <c r="L794" t="s">
        <v>29</v>
      </c>
      <c r="M794" t="s">
        <v>29</v>
      </c>
      <c r="N794" t="s">
        <v>29</v>
      </c>
      <c r="O794" t="s">
        <v>29</v>
      </c>
      <c r="P794" t="s">
        <v>29</v>
      </c>
      <c r="Q794" t="s">
        <v>29</v>
      </c>
      <c r="R794">
        <v>354</v>
      </c>
      <c r="S794">
        <v>41.21</v>
      </c>
      <c r="T794">
        <v>4.5999999999999996</v>
      </c>
      <c r="U794">
        <v>4.8</v>
      </c>
      <c r="V794" t="s">
        <v>38</v>
      </c>
    </row>
    <row r="795" spans="1:22" x14ac:dyDescent="0.35">
      <c r="A795" s="1">
        <v>45305</v>
      </c>
      <c r="B795" t="s">
        <v>150</v>
      </c>
      <c r="C795" s="2">
        <v>0.86138888888888887</v>
      </c>
      <c r="D795" t="s">
        <v>1825</v>
      </c>
      <c r="E795" t="s">
        <v>93</v>
      </c>
      <c r="F795" t="s">
        <v>1826</v>
      </c>
      <c r="G795" t="s">
        <v>56</v>
      </c>
      <c r="H795" t="s">
        <v>235</v>
      </c>
      <c r="I795" t="s">
        <v>77</v>
      </c>
      <c r="J795">
        <v>9.1999999999999993</v>
      </c>
      <c r="K795" t="s">
        <v>29</v>
      </c>
      <c r="L795" t="s">
        <v>29</v>
      </c>
      <c r="M795" t="s">
        <v>29</v>
      </c>
      <c r="N795">
        <v>1</v>
      </c>
      <c r="O795" t="s">
        <v>169</v>
      </c>
      <c r="P795" t="s">
        <v>29</v>
      </c>
      <c r="Q795" t="s">
        <v>29</v>
      </c>
      <c r="R795" t="s">
        <v>29</v>
      </c>
      <c r="S795" t="s">
        <v>29</v>
      </c>
      <c r="T795" t="s">
        <v>29</v>
      </c>
      <c r="U795" t="s">
        <v>29</v>
      </c>
      <c r="V795" t="s">
        <v>29</v>
      </c>
    </row>
    <row r="796" spans="1:22" x14ac:dyDescent="0.35">
      <c r="A796" s="1">
        <v>45440</v>
      </c>
      <c r="B796" t="s">
        <v>122</v>
      </c>
      <c r="C796" s="2">
        <v>0.68873842592592593</v>
      </c>
      <c r="D796" t="s">
        <v>1827</v>
      </c>
      <c r="E796" t="s">
        <v>41</v>
      </c>
      <c r="F796" t="s">
        <v>1828</v>
      </c>
      <c r="G796" t="s">
        <v>50</v>
      </c>
      <c r="H796" t="s">
        <v>585</v>
      </c>
      <c r="I796" t="s">
        <v>137</v>
      </c>
      <c r="J796">
        <v>10.1</v>
      </c>
      <c r="K796">
        <v>24.9</v>
      </c>
      <c r="L796" t="s">
        <v>29</v>
      </c>
      <c r="M796" t="s">
        <v>29</v>
      </c>
      <c r="N796" t="s">
        <v>29</v>
      </c>
      <c r="O796" t="s">
        <v>29</v>
      </c>
      <c r="P796" t="s">
        <v>29</v>
      </c>
      <c r="Q796" t="s">
        <v>29</v>
      </c>
      <c r="R796">
        <v>184</v>
      </c>
      <c r="S796">
        <v>29.02</v>
      </c>
      <c r="T796">
        <v>3.7</v>
      </c>
      <c r="U796">
        <v>4.0999999999999996</v>
      </c>
      <c r="V796" t="s">
        <v>38</v>
      </c>
    </row>
    <row r="797" spans="1:22" x14ac:dyDescent="0.35">
      <c r="A797" s="1">
        <v>45633</v>
      </c>
      <c r="B797" t="s">
        <v>78</v>
      </c>
      <c r="C797" s="2">
        <v>0.59657407407407403</v>
      </c>
      <c r="D797" t="s">
        <v>1829</v>
      </c>
      <c r="E797" t="s">
        <v>41</v>
      </c>
      <c r="F797" t="s">
        <v>1830</v>
      </c>
      <c r="G797" t="s">
        <v>56</v>
      </c>
      <c r="H797" t="s">
        <v>95</v>
      </c>
      <c r="I797" t="s">
        <v>280</v>
      </c>
      <c r="J797">
        <v>5.8</v>
      </c>
      <c r="K797">
        <v>28.3</v>
      </c>
      <c r="L797" t="s">
        <v>29</v>
      </c>
      <c r="M797" t="s">
        <v>29</v>
      </c>
      <c r="N797" t="s">
        <v>29</v>
      </c>
      <c r="O797" t="s">
        <v>29</v>
      </c>
      <c r="P797" t="s">
        <v>29</v>
      </c>
      <c r="Q797" t="s">
        <v>29</v>
      </c>
      <c r="R797">
        <v>163</v>
      </c>
      <c r="S797">
        <v>13.87</v>
      </c>
      <c r="T797">
        <v>4.5999999999999996</v>
      </c>
      <c r="U797">
        <v>3</v>
      </c>
      <c r="V797" t="s">
        <v>84</v>
      </c>
    </row>
    <row r="798" spans="1:22" x14ac:dyDescent="0.35">
      <c r="A798" s="1">
        <v>45527</v>
      </c>
      <c r="B798" t="s">
        <v>39</v>
      </c>
      <c r="C798" s="2">
        <v>0.52508101851851852</v>
      </c>
      <c r="D798" t="s">
        <v>1831</v>
      </c>
      <c r="E798" t="s">
        <v>41</v>
      </c>
      <c r="F798" t="s">
        <v>1832</v>
      </c>
      <c r="G798" t="s">
        <v>34</v>
      </c>
      <c r="H798" t="s">
        <v>27</v>
      </c>
      <c r="I798" t="s">
        <v>486</v>
      </c>
      <c r="J798">
        <v>9.9</v>
      </c>
      <c r="K798">
        <v>36.1</v>
      </c>
      <c r="L798" t="s">
        <v>29</v>
      </c>
      <c r="M798" t="s">
        <v>29</v>
      </c>
      <c r="N798" t="s">
        <v>29</v>
      </c>
      <c r="O798" t="s">
        <v>29</v>
      </c>
      <c r="P798" t="s">
        <v>29</v>
      </c>
      <c r="Q798" t="s">
        <v>29</v>
      </c>
      <c r="R798">
        <v>221</v>
      </c>
      <c r="S798">
        <v>41.05</v>
      </c>
      <c r="T798">
        <v>4.5999999999999996</v>
      </c>
      <c r="U798">
        <v>4.0999999999999996</v>
      </c>
      <c r="V798" t="s">
        <v>46</v>
      </c>
    </row>
    <row r="799" spans="1:22" x14ac:dyDescent="0.35">
      <c r="A799" s="1">
        <v>45420</v>
      </c>
      <c r="B799" t="s">
        <v>122</v>
      </c>
      <c r="C799" s="2">
        <v>0.4813425925925926</v>
      </c>
      <c r="D799" t="s">
        <v>1833</v>
      </c>
      <c r="E799" t="s">
        <v>41</v>
      </c>
      <c r="F799" t="s">
        <v>1834</v>
      </c>
      <c r="G799" t="s">
        <v>43</v>
      </c>
      <c r="H799" t="s">
        <v>315</v>
      </c>
      <c r="I799" t="s">
        <v>333</v>
      </c>
      <c r="J799">
        <v>2.6</v>
      </c>
      <c r="K799">
        <v>21.6</v>
      </c>
      <c r="L799" t="s">
        <v>29</v>
      </c>
      <c r="M799" t="s">
        <v>29</v>
      </c>
      <c r="N799" t="s">
        <v>29</v>
      </c>
      <c r="O799" t="s">
        <v>29</v>
      </c>
      <c r="P799" t="s">
        <v>29</v>
      </c>
      <c r="Q799" t="s">
        <v>29</v>
      </c>
      <c r="R799">
        <v>994</v>
      </c>
      <c r="S799">
        <v>7.78</v>
      </c>
      <c r="T799">
        <v>4.0999999999999996</v>
      </c>
      <c r="U799">
        <v>4.2</v>
      </c>
      <c r="V799" t="s">
        <v>149</v>
      </c>
    </row>
    <row r="800" spans="1:22" x14ac:dyDescent="0.35">
      <c r="A800" s="1">
        <v>45642</v>
      </c>
      <c r="B800" t="s">
        <v>78</v>
      </c>
      <c r="C800" s="2">
        <v>0.8678703703703704</v>
      </c>
      <c r="D800" t="s">
        <v>1835</v>
      </c>
      <c r="E800" t="s">
        <v>41</v>
      </c>
      <c r="F800" t="s">
        <v>1836</v>
      </c>
      <c r="G800" t="s">
        <v>43</v>
      </c>
      <c r="H800" t="s">
        <v>442</v>
      </c>
      <c r="I800" t="s">
        <v>133</v>
      </c>
      <c r="J800">
        <v>12.3</v>
      </c>
      <c r="K800">
        <v>43.2</v>
      </c>
      <c r="L800" t="s">
        <v>29</v>
      </c>
      <c r="M800" t="s">
        <v>29</v>
      </c>
      <c r="N800" t="s">
        <v>29</v>
      </c>
      <c r="O800" t="s">
        <v>29</v>
      </c>
      <c r="P800" t="s">
        <v>29</v>
      </c>
      <c r="Q800" t="s">
        <v>29</v>
      </c>
      <c r="R800">
        <v>266</v>
      </c>
      <c r="S800">
        <v>36.270000000000003</v>
      </c>
      <c r="T800">
        <v>3.9</v>
      </c>
      <c r="U800">
        <v>4.5</v>
      </c>
      <c r="V800" t="s">
        <v>38</v>
      </c>
    </row>
    <row r="801" spans="1:22" x14ac:dyDescent="0.35">
      <c r="A801" s="1">
        <v>45392</v>
      </c>
      <c r="B801" t="s">
        <v>154</v>
      </c>
      <c r="C801" s="2">
        <v>0.34709490740740739</v>
      </c>
      <c r="D801" t="s">
        <v>1837</v>
      </c>
      <c r="E801" t="s">
        <v>93</v>
      </c>
      <c r="F801" t="s">
        <v>1838</v>
      </c>
      <c r="G801" t="s">
        <v>67</v>
      </c>
      <c r="H801" t="s">
        <v>323</v>
      </c>
      <c r="I801" t="s">
        <v>183</v>
      </c>
      <c r="J801">
        <v>6.3</v>
      </c>
      <c r="K801" t="s">
        <v>29</v>
      </c>
      <c r="L801" t="s">
        <v>29</v>
      </c>
      <c r="M801" t="s">
        <v>29</v>
      </c>
      <c r="N801">
        <v>1</v>
      </c>
      <c r="O801" t="s">
        <v>169</v>
      </c>
      <c r="P801" t="s">
        <v>29</v>
      </c>
      <c r="Q801" t="s">
        <v>29</v>
      </c>
      <c r="R801" t="s">
        <v>29</v>
      </c>
      <c r="S801" t="s">
        <v>29</v>
      </c>
      <c r="T801" t="s">
        <v>29</v>
      </c>
      <c r="U801" t="s">
        <v>29</v>
      </c>
      <c r="V801" t="s">
        <v>29</v>
      </c>
    </row>
    <row r="802" spans="1:22" x14ac:dyDescent="0.35">
      <c r="A802" s="1">
        <v>45421</v>
      </c>
      <c r="B802" t="s">
        <v>122</v>
      </c>
      <c r="C802" s="2">
        <v>0.60309027777777779</v>
      </c>
      <c r="D802" t="s">
        <v>1839</v>
      </c>
      <c r="E802" t="s">
        <v>93</v>
      </c>
      <c r="F802" t="s">
        <v>1840</v>
      </c>
      <c r="G802" t="s">
        <v>50</v>
      </c>
      <c r="H802" t="s">
        <v>486</v>
      </c>
      <c r="I802" t="s">
        <v>536</v>
      </c>
      <c r="J802">
        <v>6.2</v>
      </c>
      <c r="K802" t="s">
        <v>29</v>
      </c>
      <c r="L802" t="s">
        <v>29</v>
      </c>
      <c r="M802" t="s">
        <v>29</v>
      </c>
      <c r="N802">
        <v>1</v>
      </c>
      <c r="O802" t="s">
        <v>337</v>
      </c>
      <c r="P802" t="s">
        <v>29</v>
      </c>
      <c r="Q802" t="s">
        <v>29</v>
      </c>
      <c r="R802" t="s">
        <v>29</v>
      </c>
      <c r="S802" t="s">
        <v>29</v>
      </c>
      <c r="T802" t="s">
        <v>29</v>
      </c>
      <c r="U802" t="s">
        <v>29</v>
      </c>
      <c r="V802" t="s">
        <v>29</v>
      </c>
    </row>
    <row r="803" spans="1:22" x14ac:dyDescent="0.35">
      <c r="A803" s="1">
        <v>45383</v>
      </c>
      <c r="B803" t="s">
        <v>154</v>
      </c>
      <c r="C803" s="2">
        <v>0.7135069444444444</v>
      </c>
      <c r="D803" t="s">
        <v>1841</v>
      </c>
      <c r="E803" t="s">
        <v>24</v>
      </c>
      <c r="F803" t="s">
        <v>1842</v>
      </c>
      <c r="G803" t="s">
        <v>34</v>
      </c>
      <c r="H803" t="s">
        <v>58</v>
      </c>
      <c r="I803" t="s">
        <v>1035</v>
      </c>
      <c r="J803" t="s">
        <v>29</v>
      </c>
      <c r="K803" t="s">
        <v>29</v>
      </c>
      <c r="L803" t="s">
        <v>29</v>
      </c>
      <c r="M803" t="s">
        <v>29</v>
      </c>
      <c r="N803" t="s">
        <v>29</v>
      </c>
      <c r="O803" t="s">
        <v>29</v>
      </c>
      <c r="P803" t="s">
        <v>29</v>
      </c>
      <c r="Q803" t="s">
        <v>29</v>
      </c>
      <c r="R803" t="s">
        <v>29</v>
      </c>
      <c r="S803" t="s">
        <v>29</v>
      </c>
      <c r="T803" t="s">
        <v>29</v>
      </c>
      <c r="U803" t="s">
        <v>29</v>
      </c>
      <c r="V803" t="s">
        <v>29</v>
      </c>
    </row>
    <row r="804" spans="1:22" x14ac:dyDescent="0.35">
      <c r="A804" s="1">
        <v>45385</v>
      </c>
      <c r="B804" t="s">
        <v>154</v>
      </c>
      <c r="C804" s="2">
        <v>0.50912037037037039</v>
      </c>
      <c r="D804" t="s">
        <v>1843</v>
      </c>
      <c r="E804" t="s">
        <v>41</v>
      </c>
      <c r="F804" t="s">
        <v>1844</v>
      </c>
      <c r="G804" t="s">
        <v>56</v>
      </c>
      <c r="H804" t="s">
        <v>442</v>
      </c>
      <c r="I804" t="s">
        <v>565</v>
      </c>
      <c r="J804">
        <v>10.9</v>
      </c>
      <c r="K804">
        <v>19.600000000000001</v>
      </c>
      <c r="L804" t="s">
        <v>29</v>
      </c>
      <c r="M804" t="s">
        <v>29</v>
      </c>
      <c r="N804" t="s">
        <v>29</v>
      </c>
      <c r="O804" t="s">
        <v>29</v>
      </c>
      <c r="P804" t="s">
        <v>29</v>
      </c>
      <c r="Q804" t="s">
        <v>29</v>
      </c>
      <c r="R804">
        <v>111</v>
      </c>
      <c r="S804">
        <v>16.940000000000001</v>
      </c>
      <c r="T804">
        <v>3.9</v>
      </c>
      <c r="U804">
        <v>4.4000000000000004</v>
      </c>
      <c r="V804" t="s">
        <v>84</v>
      </c>
    </row>
    <row r="805" spans="1:22" x14ac:dyDescent="0.35">
      <c r="A805" s="1">
        <v>45376</v>
      </c>
      <c r="B805" t="s">
        <v>22</v>
      </c>
      <c r="C805" s="2">
        <v>0.91865740740740742</v>
      </c>
      <c r="D805" t="s">
        <v>1845</v>
      </c>
      <c r="E805" t="s">
        <v>41</v>
      </c>
      <c r="F805" t="s">
        <v>1846</v>
      </c>
      <c r="G805" t="s">
        <v>50</v>
      </c>
      <c r="H805" t="s">
        <v>227</v>
      </c>
      <c r="I805" t="s">
        <v>486</v>
      </c>
      <c r="J805">
        <v>3.5</v>
      </c>
      <c r="K805">
        <v>28</v>
      </c>
      <c r="L805" t="s">
        <v>29</v>
      </c>
      <c r="M805" t="s">
        <v>29</v>
      </c>
      <c r="N805" t="s">
        <v>29</v>
      </c>
      <c r="O805" t="s">
        <v>29</v>
      </c>
      <c r="P805" t="s">
        <v>29</v>
      </c>
      <c r="Q805" t="s">
        <v>29</v>
      </c>
      <c r="R805">
        <v>442</v>
      </c>
      <c r="S805">
        <v>38.08</v>
      </c>
      <c r="T805">
        <v>4.5999999999999996</v>
      </c>
      <c r="U805">
        <v>4.3</v>
      </c>
      <c r="V805" t="s">
        <v>38</v>
      </c>
    </row>
    <row r="806" spans="1:22" x14ac:dyDescent="0.35">
      <c r="A806" s="1">
        <v>45578</v>
      </c>
      <c r="B806" t="s">
        <v>47</v>
      </c>
      <c r="C806" s="2">
        <v>0.76081018518518517</v>
      </c>
      <c r="D806" t="s">
        <v>1847</v>
      </c>
      <c r="E806" t="s">
        <v>117</v>
      </c>
      <c r="F806" t="s">
        <v>1848</v>
      </c>
      <c r="G806" t="s">
        <v>67</v>
      </c>
      <c r="H806" t="s">
        <v>511</v>
      </c>
      <c r="I806" t="s">
        <v>95</v>
      </c>
      <c r="J806">
        <v>15</v>
      </c>
      <c r="K806" t="s">
        <v>29</v>
      </c>
      <c r="L806">
        <v>1</v>
      </c>
      <c r="M806" t="s">
        <v>121</v>
      </c>
      <c r="N806" t="s">
        <v>29</v>
      </c>
      <c r="O806" t="s">
        <v>29</v>
      </c>
      <c r="P806" t="s">
        <v>29</v>
      </c>
      <c r="Q806" t="s">
        <v>29</v>
      </c>
      <c r="R806" t="s">
        <v>29</v>
      </c>
      <c r="S806" t="s">
        <v>29</v>
      </c>
      <c r="T806" t="s">
        <v>29</v>
      </c>
      <c r="U806" t="s">
        <v>29</v>
      </c>
      <c r="V806" t="s">
        <v>29</v>
      </c>
    </row>
    <row r="807" spans="1:22" x14ac:dyDescent="0.35">
      <c r="A807" s="1">
        <v>45518</v>
      </c>
      <c r="B807" t="s">
        <v>39</v>
      </c>
      <c r="C807" s="2">
        <v>0.76598379629629632</v>
      </c>
      <c r="D807" t="s">
        <v>1849</v>
      </c>
      <c r="E807" t="s">
        <v>41</v>
      </c>
      <c r="F807" t="s">
        <v>1850</v>
      </c>
      <c r="G807" t="s">
        <v>43</v>
      </c>
      <c r="H807" t="s">
        <v>82</v>
      </c>
      <c r="I807" t="s">
        <v>822</v>
      </c>
      <c r="J807">
        <v>15</v>
      </c>
      <c r="K807">
        <v>24.2</v>
      </c>
      <c r="L807" t="s">
        <v>29</v>
      </c>
      <c r="M807" t="s">
        <v>29</v>
      </c>
      <c r="N807" t="s">
        <v>29</v>
      </c>
      <c r="O807" t="s">
        <v>29</v>
      </c>
      <c r="P807" t="s">
        <v>29</v>
      </c>
      <c r="Q807" t="s">
        <v>29</v>
      </c>
      <c r="R807">
        <v>169</v>
      </c>
      <c r="S807">
        <v>7.46</v>
      </c>
      <c r="T807">
        <v>4.5</v>
      </c>
      <c r="U807">
        <v>4.0999999999999996</v>
      </c>
      <c r="V807" t="s">
        <v>38</v>
      </c>
    </row>
    <row r="808" spans="1:22" x14ac:dyDescent="0.35">
      <c r="A808" s="1">
        <v>45342</v>
      </c>
      <c r="B808" t="s">
        <v>59</v>
      </c>
      <c r="C808" s="2">
        <v>0.86480324074074078</v>
      </c>
      <c r="D808" t="s">
        <v>1851</v>
      </c>
      <c r="E808" t="s">
        <v>41</v>
      </c>
      <c r="F808" t="s">
        <v>1852</v>
      </c>
      <c r="G808" t="s">
        <v>43</v>
      </c>
      <c r="H808" t="s">
        <v>27</v>
      </c>
      <c r="I808" t="s">
        <v>202</v>
      </c>
      <c r="J808">
        <v>3.7</v>
      </c>
      <c r="K808">
        <v>23.8</v>
      </c>
      <c r="L808" t="s">
        <v>29</v>
      </c>
      <c r="M808" t="s">
        <v>29</v>
      </c>
      <c r="N808" t="s">
        <v>29</v>
      </c>
      <c r="O808" t="s">
        <v>29</v>
      </c>
      <c r="P808" t="s">
        <v>29</v>
      </c>
      <c r="Q808" t="s">
        <v>29</v>
      </c>
      <c r="R808">
        <v>98</v>
      </c>
      <c r="S808">
        <v>20.8</v>
      </c>
      <c r="T808">
        <v>4.4000000000000004</v>
      </c>
      <c r="U808">
        <v>3.7</v>
      </c>
      <c r="V808" t="s">
        <v>46</v>
      </c>
    </row>
    <row r="809" spans="1:22" x14ac:dyDescent="0.35">
      <c r="A809" s="1">
        <v>45430</v>
      </c>
      <c r="B809" t="s">
        <v>122</v>
      </c>
      <c r="C809" s="2">
        <v>0.45677083333333335</v>
      </c>
      <c r="D809" t="s">
        <v>1853</v>
      </c>
      <c r="E809" t="s">
        <v>24</v>
      </c>
      <c r="F809" t="s">
        <v>1854</v>
      </c>
      <c r="G809" t="s">
        <v>50</v>
      </c>
      <c r="H809" t="s">
        <v>262</v>
      </c>
      <c r="I809" t="s">
        <v>202</v>
      </c>
      <c r="J809" t="s">
        <v>29</v>
      </c>
      <c r="K809" t="s">
        <v>29</v>
      </c>
      <c r="L809" t="s">
        <v>29</v>
      </c>
      <c r="M809" t="s">
        <v>29</v>
      </c>
      <c r="N809" t="s">
        <v>29</v>
      </c>
      <c r="O809" t="s">
        <v>29</v>
      </c>
      <c r="P809" t="s">
        <v>29</v>
      </c>
      <c r="Q809" t="s">
        <v>29</v>
      </c>
      <c r="R809" t="s">
        <v>29</v>
      </c>
      <c r="S809" t="s">
        <v>29</v>
      </c>
      <c r="T809" t="s">
        <v>29</v>
      </c>
      <c r="U809" t="s">
        <v>29</v>
      </c>
      <c r="V809" t="s">
        <v>29</v>
      </c>
    </row>
    <row r="810" spans="1:22" x14ac:dyDescent="0.35">
      <c r="A810" s="1">
        <v>45418</v>
      </c>
      <c r="B810" t="s">
        <v>122</v>
      </c>
      <c r="C810" s="2">
        <v>0.77587962962962964</v>
      </c>
      <c r="D810" t="s">
        <v>1855</v>
      </c>
      <c r="E810" t="s">
        <v>93</v>
      </c>
      <c r="F810" t="s">
        <v>1856</v>
      </c>
      <c r="G810" t="s">
        <v>34</v>
      </c>
      <c r="H810" t="s">
        <v>560</v>
      </c>
      <c r="I810" t="s">
        <v>822</v>
      </c>
      <c r="J810">
        <v>5</v>
      </c>
      <c r="K810" t="s">
        <v>29</v>
      </c>
      <c r="L810" t="s">
        <v>29</v>
      </c>
      <c r="M810" t="s">
        <v>29</v>
      </c>
      <c r="N810">
        <v>1</v>
      </c>
      <c r="O810" t="s">
        <v>337</v>
      </c>
      <c r="P810" t="s">
        <v>29</v>
      </c>
      <c r="Q810" t="s">
        <v>29</v>
      </c>
      <c r="R810" t="s">
        <v>29</v>
      </c>
      <c r="S810" t="s">
        <v>29</v>
      </c>
      <c r="T810" t="s">
        <v>29</v>
      </c>
      <c r="U810" t="s">
        <v>29</v>
      </c>
      <c r="V810" t="s">
        <v>29</v>
      </c>
    </row>
    <row r="811" spans="1:22" x14ac:dyDescent="0.35">
      <c r="A811" s="1">
        <v>45319</v>
      </c>
      <c r="B811" t="s">
        <v>150</v>
      </c>
      <c r="C811" s="2">
        <v>0.47118055555555555</v>
      </c>
      <c r="D811" t="s">
        <v>1857</v>
      </c>
      <c r="E811" t="s">
        <v>41</v>
      </c>
      <c r="F811" t="s">
        <v>1858</v>
      </c>
      <c r="G811" t="s">
        <v>43</v>
      </c>
      <c r="H811" t="s">
        <v>714</v>
      </c>
      <c r="I811" t="s">
        <v>474</v>
      </c>
      <c r="J811">
        <v>13.7</v>
      </c>
      <c r="K811">
        <v>29</v>
      </c>
      <c r="L811" t="s">
        <v>29</v>
      </c>
      <c r="M811" t="s">
        <v>29</v>
      </c>
      <c r="N811" t="s">
        <v>29</v>
      </c>
      <c r="O811" t="s">
        <v>29</v>
      </c>
      <c r="P811" t="s">
        <v>29</v>
      </c>
      <c r="Q811" t="s">
        <v>29</v>
      </c>
      <c r="R811">
        <v>1311</v>
      </c>
      <c r="S811">
        <v>8.24</v>
      </c>
      <c r="T811">
        <v>4.2</v>
      </c>
      <c r="U811">
        <v>4.0999999999999996</v>
      </c>
      <c r="V811" t="s">
        <v>38</v>
      </c>
    </row>
    <row r="812" spans="1:22" x14ac:dyDescent="0.35">
      <c r="A812" s="1">
        <v>45470</v>
      </c>
      <c r="B812" t="s">
        <v>64</v>
      </c>
      <c r="C812" s="2">
        <v>0.48780092592592594</v>
      </c>
      <c r="D812" t="s">
        <v>1859</v>
      </c>
      <c r="E812" t="s">
        <v>41</v>
      </c>
      <c r="F812" t="s">
        <v>1860</v>
      </c>
      <c r="G812" t="s">
        <v>50</v>
      </c>
      <c r="H812" t="s">
        <v>183</v>
      </c>
      <c r="I812" t="s">
        <v>227</v>
      </c>
      <c r="J812">
        <v>3.7</v>
      </c>
      <c r="K812">
        <v>34.200000000000003</v>
      </c>
      <c r="L812" t="s">
        <v>29</v>
      </c>
      <c r="M812" t="s">
        <v>29</v>
      </c>
      <c r="N812" t="s">
        <v>29</v>
      </c>
      <c r="O812" t="s">
        <v>29</v>
      </c>
      <c r="P812" t="s">
        <v>29</v>
      </c>
      <c r="Q812" t="s">
        <v>29</v>
      </c>
      <c r="R812">
        <v>805</v>
      </c>
      <c r="S812">
        <v>28.75</v>
      </c>
      <c r="T812">
        <v>3.4</v>
      </c>
      <c r="U812">
        <v>4.2</v>
      </c>
      <c r="V812" t="s">
        <v>107</v>
      </c>
    </row>
    <row r="813" spans="1:22" x14ac:dyDescent="0.35">
      <c r="A813" s="1">
        <v>45587</v>
      </c>
      <c r="B813" t="s">
        <v>47</v>
      </c>
      <c r="C813" s="2">
        <v>0.85052083333333328</v>
      </c>
      <c r="D813" t="s">
        <v>1861</v>
      </c>
      <c r="E813" t="s">
        <v>93</v>
      </c>
      <c r="F813" t="s">
        <v>1862</v>
      </c>
      <c r="G813" t="s">
        <v>56</v>
      </c>
      <c r="H813" t="s">
        <v>565</v>
      </c>
      <c r="I813" t="s">
        <v>137</v>
      </c>
      <c r="J813">
        <v>10</v>
      </c>
      <c r="K813" t="s">
        <v>29</v>
      </c>
      <c r="L813" t="s">
        <v>29</v>
      </c>
      <c r="M813" t="s">
        <v>29</v>
      </c>
      <c r="N813">
        <v>1</v>
      </c>
      <c r="O813" t="s">
        <v>337</v>
      </c>
      <c r="P813" t="s">
        <v>29</v>
      </c>
      <c r="Q813" t="s">
        <v>29</v>
      </c>
      <c r="R813" t="s">
        <v>29</v>
      </c>
      <c r="S813" t="s">
        <v>29</v>
      </c>
      <c r="T813" t="s">
        <v>29</v>
      </c>
      <c r="U813" t="s">
        <v>29</v>
      </c>
      <c r="V813" t="s">
        <v>29</v>
      </c>
    </row>
    <row r="814" spans="1:22" x14ac:dyDescent="0.35">
      <c r="A814" s="1">
        <v>45357</v>
      </c>
      <c r="B814" t="s">
        <v>22</v>
      </c>
      <c r="C814" s="2">
        <v>0.79525462962962967</v>
      </c>
      <c r="D814" t="s">
        <v>1863</v>
      </c>
      <c r="E814" t="s">
        <v>117</v>
      </c>
      <c r="F814" t="s">
        <v>1864</v>
      </c>
      <c r="G814" t="s">
        <v>50</v>
      </c>
      <c r="H814" t="s">
        <v>57</v>
      </c>
      <c r="I814" t="s">
        <v>176</v>
      </c>
      <c r="J814">
        <v>5.2</v>
      </c>
      <c r="K814" t="s">
        <v>29</v>
      </c>
      <c r="L814">
        <v>1</v>
      </c>
      <c r="M814" t="s">
        <v>420</v>
      </c>
      <c r="N814" t="s">
        <v>29</v>
      </c>
      <c r="O814" t="s">
        <v>29</v>
      </c>
      <c r="P814" t="s">
        <v>29</v>
      </c>
      <c r="Q814" t="s">
        <v>29</v>
      </c>
      <c r="R814" t="s">
        <v>29</v>
      </c>
      <c r="S814" t="s">
        <v>29</v>
      </c>
      <c r="T814" t="s">
        <v>29</v>
      </c>
      <c r="U814" t="s">
        <v>29</v>
      </c>
      <c r="V814" t="s">
        <v>29</v>
      </c>
    </row>
    <row r="815" spans="1:22" x14ac:dyDescent="0.35">
      <c r="A815" s="1">
        <v>45605</v>
      </c>
      <c r="B815" t="s">
        <v>30</v>
      </c>
      <c r="C815" s="2">
        <v>0.44079861111111113</v>
      </c>
      <c r="D815" t="s">
        <v>1865</v>
      </c>
      <c r="E815" t="s">
        <v>24</v>
      </c>
      <c r="F815" t="s">
        <v>1866</v>
      </c>
      <c r="G815" t="s">
        <v>26</v>
      </c>
      <c r="H815" t="s">
        <v>190</v>
      </c>
      <c r="I815" t="s">
        <v>201</v>
      </c>
      <c r="J815" t="s">
        <v>29</v>
      </c>
      <c r="K815" t="s">
        <v>29</v>
      </c>
      <c r="L815" t="s">
        <v>29</v>
      </c>
      <c r="M815" t="s">
        <v>29</v>
      </c>
      <c r="N815" t="s">
        <v>29</v>
      </c>
      <c r="O815" t="s">
        <v>29</v>
      </c>
      <c r="P815" t="s">
        <v>29</v>
      </c>
      <c r="Q815" t="s">
        <v>29</v>
      </c>
      <c r="R815" t="s">
        <v>29</v>
      </c>
      <c r="S815" t="s">
        <v>29</v>
      </c>
      <c r="T815" t="s">
        <v>29</v>
      </c>
      <c r="U815" t="s">
        <v>29</v>
      </c>
      <c r="V815" t="s">
        <v>29</v>
      </c>
    </row>
    <row r="816" spans="1:22" x14ac:dyDescent="0.35">
      <c r="A816" s="1">
        <v>45442</v>
      </c>
      <c r="B816" t="s">
        <v>122</v>
      </c>
      <c r="C816" s="2">
        <v>0.78354166666666669</v>
      </c>
      <c r="D816" t="s">
        <v>1867</v>
      </c>
      <c r="E816" t="s">
        <v>24</v>
      </c>
      <c r="F816" t="s">
        <v>1868</v>
      </c>
      <c r="G816" t="s">
        <v>34</v>
      </c>
      <c r="H816" t="s">
        <v>197</v>
      </c>
      <c r="I816" t="s">
        <v>73</v>
      </c>
      <c r="J816" t="s">
        <v>29</v>
      </c>
      <c r="K816" t="s">
        <v>29</v>
      </c>
      <c r="L816" t="s">
        <v>29</v>
      </c>
      <c r="M816" t="s">
        <v>29</v>
      </c>
      <c r="N816" t="s">
        <v>29</v>
      </c>
      <c r="O816" t="s">
        <v>29</v>
      </c>
      <c r="P816" t="s">
        <v>29</v>
      </c>
      <c r="Q816" t="s">
        <v>29</v>
      </c>
      <c r="R816" t="s">
        <v>29</v>
      </c>
      <c r="S816" t="s">
        <v>29</v>
      </c>
      <c r="T816" t="s">
        <v>29</v>
      </c>
      <c r="U816" t="s">
        <v>29</v>
      </c>
      <c r="V816" t="s">
        <v>29</v>
      </c>
    </row>
    <row r="817" spans="1:22" x14ac:dyDescent="0.35">
      <c r="A817" s="1">
        <v>45353</v>
      </c>
      <c r="B817" t="s">
        <v>22</v>
      </c>
      <c r="C817" s="2">
        <v>0.32614583333333336</v>
      </c>
      <c r="D817" t="s">
        <v>1869</v>
      </c>
      <c r="E817" t="s">
        <v>93</v>
      </c>
      <c r="F817" t="s">
        <v>1870</v>
      </c>
      <c r="G817" t="s">
        <v>67</v>
      </c>
      <c r="H817" t="s">
        <v>249</v>
      </c>
      <c r="I817" t="s">
        <v>613</v>
      </c>
      <c r="J817">
        <v>4.7</v>
      </c>
      <c r="K817" t="s">
        <v>29</v>
      </c>
      <c r="L817" t="s">
        <v>29</v>
      </c>
      <c r="M817" t="s">
        <v>29</v>
      </c>
      <c r="N817">
        <v>1</v>
      </c>
      <c r="O817" t="s">
        <v>97</v>
      </c>
      <c r="P817" t="s">
        <v>29</v>
      </c>
      <c r="Q817" t="s">
        <v>29</v>
      </c>
      <c r="R817" t="s">
        <v>29</v>
      </c>
      <c r="S817" t="s">
        <v>29</v>
      </c>
      <c r="T817" t="s">
        <v>29</v>
      </c>
      <c r="U817" t="s">
        <v>29</v>
      </c>
      <c r="V817" t="s">
        <v>29</v>
      </c>
    </row>
    <row r="818" spans="1:22" x14ac:dyDescent="0.35">
      <c r="A818" s="1">
        <v>45357</v>
      </c>
      <c r="B818" t="s">
        <v>22</v>
      </c>
      <c r="C818" s="2">
        <v>0.62185185185185188</v>
      </c>
      <c r="D818" t="s">
        <v>1871</v>
      </c>
      <c r="E818" t="s">
        <v>93</v>
      </c>
      <c r="F818" t="s">
        <v>1872</v>
      </c>
      <c r="G818" t="s">
        <v>56</v>
      </c>
      <c r="H818" t="s">
        <v>248</v>
      </c>
      <c r="I818" t="s">
        <v>417</v>
      </c>
      <c r="J818">
        <v>6.6</v>
      </c>
      <c r="K818" t="s">
        <v>29</v>
      </c>
      <c r="L818" t="s">
        <v>29</v>
      </c>
      <c r="M818" t="s">
        <v>29</v>
      </c>
      <c r="N818">
        <v>1</v>
      </c>
      <c r="O818" t="s">
        <v>115</v>
      </c>
      <c r="P818" t="s">
        <v>29</v>
      </c>
      <c r="Q818" t="s">
        <v>29</v>
      </c>
      <c r="R818" t="s">
        <v>29</v>
      </c>
      <c r="S818" t="s">
        <v>29</v>
      </c>
      <c r="T818" t="s">
        <v>29</v>
      </c>
      <c r="U818" t="s">
        <v>29</v>
      </c>
      <c r="V818" t="s">
        <v>29</v>
      </c>
    </row>
    <row r="819" spans="1:22" x14ac:dyDescent="0.35">
      <c r="A819" s="1">
        <v>45340</v>
      </c>
      <c r="B819" t="s">
        <v>59</v>
      </c>
      <c r="C819" s="2">
        <v>0.69568287037037035</v>
      </c>
      <c r="D819" t="s">
        <v>1873</v>
      </c>
      <c r="E819" t="s">
        <v>41</v>
      </c>
      <c r="F819" t="s">
        <v>1874</v>
      </c>
      <c r="G819" t="s">
        <v>67</v>
      </c>
      <c r="H819" t="s">
        <v>202</v>
      </c>
      <c r="I819" t="s">
        <v>57</v>
      </c>
      <c r="J819">
        <v>5.8</v>
      </c>
      <c r="K819">
        <v>35.6</v>
      </c>
      <c r="L819" t="s">
        <v>29</v>
      </c>
      <c r="M819" t="s">
        <v>29</v>
      </c>
      <c r="N819" t="s">
        <v>29</v>
      </c>
      <c r="O819" t="s">
        <v>29</v>
      </c>
      <c r="P819" t="s">
        <v>29</v>
      </c>
      <c r="Q819" t="s">
        <v>29</v>
      </c>
      <c r="R819">
        <v>396</v>
      </c>
      <c r="S819">
        <v>30.69</v>
      </c>
      <c r="T819">
        <v>3.1</v>
      </c>
      <c r="U819">
        <v>4.5999999999999996</v>
      </c>
      <c r="V819" t="s">
        <v>107</v>
      </c>
    </row>
    <row r="820" spans="1:22" x14ac:dyDescent="0.35">
      <c r="A820" s="1">
        <v>45300</v>
      </c>
      <c r="B820" t="s">
        <v>150</v>
      </c>
      <c r="C820" s="2">
        <v>0.32883101851851854</v>
      </c>
      <c r="D820" t="s">
        <v>1875</v>
      </c>
      <c r="E820" t="s">
        <v>93</v>
      </c>
      <c r="F820" t="s">
        <v>1876</v>
      </c>
      <c r="G820" t="s">
        <v>67</v>
      </c>
      <c r="H820" t="s">
        <v>133</v>
      </c>
      <c r="I820" t="s">
        <v>201</v>
      </c>
      <c r="J820">
        <v>4.5999999999999996</v>
      </c>
      <c r="K820" t="s">
        <v>29</v>
      </c>
      <c r="L820" t="s">
        <v>29</v>
      </c>
      <c r="M820" t="s">
        <v>29</v>
      </c>
      <c r="N820">
        <v>1</v>
      </c>
      <c r="O820" t="s">
        <v>97</v>
      </c>
      <c r="P820" t="s">
        <v>29</v>
      </c>
      <c r="Q820" t="s">
        <v>29</v>
      </c>
      <c r="R820" t="s">
        <v>29</v>
      </c>
      <c r="S820" t="s">
        <v>29</v>
      </c>
      <c r="T820" t="s">
        <v>29</v>
      </c>
      <c r="U820" t="s">
        <v>29</v>
      </c>
      <c r="V820" t="s">
        <v>29</v>
      </c>
    </row>
    <row r="821" spans="1:22" x14ac:dyDescent="0.35">
      <c r="A821" s="1">
        <v>45497</v>
      </c>
      <c r="B821" t="s">
        <v>108</v>
      </c>
      <c r="C821" s="2">
        <v>0.16909722222222223</v>
      </c>
      <c r="D821" t="s">
        <v>1877</v>
      </c>
      <c r="E821" t="s">
        <v>41</v>
      </c>
      <c r="F821" t="s">
        <v>1878</v>
      </c>
      <c r="G821" t="s">
        <v>50</v>
      </c>
      <c r="H821" t="s">
        <v>266</v>
      </c>
      <c r="I821" t="s">
        <v>217</v>
      </c>
      <c r="J821">
        <v>3.6</v>
      </c>
      <c r="K821">
        <v>34.200000000000003</v>
      </c>
      <c r="L821" t="s">
        <v>29</v>
      </c>
      <c r="M821" t="s">
        <v>29</v>
      </c>
      <c r="N821" t="s">
        <v>29</v>
      </c>
      <c r="O821" t="s">
        <v>29</v>
      </c>
      <c r="P821" t="s">
        <v>29</v>
      </c>
      <c r="Q821" t="s">
        <v>29</v>
      </c>
      <c r="R821">
        <v>827</v>
      </c>
      <c r="S821">
        <v>9.44</v>
      </c>
      <c r="T821">
        <v>3.9</v>
      </c>
      <c r="U821">
        <v>5</v>
      </c>
      <c r="V821" t="s">
        <v>107</v>
      </c>
    </row>
    <row r="822" spans="1:22" x14ac:dyDescent="0.35">
      <c r="A822" s="1">
        <v>45509</v>
      </c>
      <c r="B822" t="s">
        <v>39</v>
      </c>
      <c r="C822" s="2">
        <v>0.43905092592592593</v>
      </c>
      <c r="D822" t="s">
        <v>1879</v>
      </c>
      <c r="E822" t="s">
        <v>41</v>
      </c>
      <c r="F822" t="s">
        <v>1880</v>
      </c>
      <c r="G822" t="s">
        <v>56</v>
      </c>
      <c r="H822" t="s">
        <v>176</v>
      </c>
      <c r="I822" t="s">
        <v>560</v>
      </c>
      <c r="J822">
        <v>6.6</v>
      </c>
      <c r="K822">
        <v>37</v>
      </c>
      <c r="L822" t="s">
        <v>29</v>
      </c>
      <c r="M822" t="s">
        <v>29</v>
      </c>
      <c r="N822" t="s">
        <v>29</v>
      </c>
      <c r="O822" t="s">
        <v>29</v>
      </c>
      <c r="P822" t="s">
        <v>29</v>
      </c>
      <c r="Q822" t="s">
        <v>29</v>
      </c>
      <c r="R822">
        <v>269</v>
      </c>
      <c r="S822">
        <v>11.46</v>
      </c>
      <c r="T822">
        <v>3.2</v>
      </c>
      <c r="U822">
        <v>4.8</v>
      </c>
      <c r="V822" t="s">
        <v>38</v>
      </c>
    </row>
    <row r="823" spans="1:22" x14ac:dyDescent="0.35">
      <c r="A823" s="1">
        <v>45647</v>
      </c>
      <c r="B823" t="s">
        <v>78</v>
      </c>
      <c r="C823" s="2">
        <v>0.90506944444444448</v>
      </c>
      <c r="D823" t="s">
        <v>1881</v>
      </c>
      <c r="E823" t="s">
        <v>41</v>
      </c>
      <c r="F823" t="s">
        <v>1882</v>
      </c>
      <c r="G823" t="s">
        <v>56</v>
      </c>
      <c r="H823" t="s">
        <v>133</v>
      </c>
      <c r="I823" t="s">
        <v>962</v>
      </c>
      <c r="J823">
        <v>6</v>
      </c>
      <c r="K823">
        <v>35.799999999999997</v>
      </c>
      <c r="L823" t="s">
        <v>29</v>
      </c>
      <c r="M823" t="s">
        <v>29</v>
      </c>
      <c r="N823" t="s">
        <v>29</v>
      </c>
      <c r="O823" t="s">
        <v>29</v>
      </c>
      <c r="P823" t="s">
        <v>29</v>
      </c>
      <c r="Q823" t="s">
        <v>29</v>
      </c>
      <c r="R823">
        <v>910</v>
      </c>
      <c r="S823">
        <v>18.670000000000002</v>
      </c>
      <c r="T823">
        <v>4.3</v>
      </c>
      <c r="U823">
        <v>4.3</v>
      </c>
      <c r="V823" t="s">
        <v>46</v>
      </c>
    </row>
    <row r="824" spans="1:22" x14ac:dyDescent="0.35">
      <c r="A824" s="1">
        <v>45425</v>
      </c>
      <c r="B824" t="s">
        <v>122</v>
      </c>
      <c r="C824" s="2">
        <v>6.5532407407407414E-2</v>
      </c>
      <c r="D824" t="s">
        <v>1883</v>
      </c>
      <c r="E824" t="s">
        <v>41</v>
      </c>
      <c r="F824" t="s">
        <v>1884</v>
      </c>
      <c r="G824" t="s">
        <v>26</v>
      </c>
      <c r="H824" t="s">
        <v>157</v>
      </c>
      <c r="I824" t="s">
        <v>183</v>
      </c>
      <c r="J824">
        <v>9.3000000000000007</v>
      </c>
      <c r="K824">
        <v>37.5</v>
      </c>
      <c r="L824" t="s">
        <v>29</v>
      </c>
      <c r="M824" t="s">
        <v>29</v>
      </c>
      <c r="N824" t="s">
        <v>29</v>
      </c>
      <c r="O824" t="s">
        <v>29</v>
      </c>
      <c r="P824" t="s">
        <v>29</v>
      </c>
      <c r="Q824" t="s">
        <v>29</v>
      </c>
      <c r="R824">
        <v>215</v>
      </c>
      <c r="S824">
        <v>44.66</v>
      </c>
      <c r="T824">
        <v>3.8</v>
      </c>
      <c r="U824">
        <v>4.5</v>
      </c>
      <c r="V824" t="s">
        <v>149</v>
      </c>
    </row>
    <row r="825" spans="1:22" x14ac:dyDescent="0.35">
      <c r="A825" s="1">
        <v>45517</v>
      </c>
      <c r="B825" t="s">
        <v>39</v>
      </c>
      <c r="C825" s="2">
        <v>0.46923611111111113</v>
      </c>
      <c r="D825" t="s">
        <v>1885</v>
      </c>
      <c r="E825" t="s">
        <v>93</v>
      </c>
      <c r="F825" t="s">
        <v>1886</v>
      </c>
      <c r="G825" t="s">
        <v>56</v>
      </c>
      <c r="H825" t="s">
        <v>398</v>
      </c>
      <c r="I825" t="s">
        <v>290</v>
      </c>
      <c r="J825">
        <v>8.1</v>
      </c>
      <c r="K825" t="s">
        <v>29</v>
      </c>
      <c r="L825" t="s">
        <v>29</v>
      </c>
      <c r="M825" t="s">
        <v>29</v>
      </c>
      <c r="N825">
        <v>1</v>
      </c>
      <c r="O825" t="s">
        <v>337</v>
      </c>
      <c r="P825" t="s">
        <v>29</v>
      </c>
      <c r="Q825" t="s">
        <v>29</v>
      </c>
      <c r="R825" t="s">
        <v>29</v>
      </c>
      <c r="S825" t="s">
        <v>29</v>
      </c>
      <c r="T825" t="s">
        <v>29</v>
      </c>
      <c r="U825" t="s">
        <v>29</v>
      </c>
      <c r="V825" t="s">
        <v>29</v>
      </c>
    </row>
    <row r="826" spans="1:22" x14ac:dyDescent="0.35">
      <c r="A826" s="1">
        <v>45378</v>
      </c>
      <c r="B826" t="s">
        <v>22</v>
      </c>
      <c r="C826" s="2">
        <v>0.44163194444444442</v>
      </c>
      <c r="D826" t="s">
        <v>1887</v>
      </c>
      <c r="E826" t="s">
        <v>41</v>
      </c>
      <c r="F826" t="s">
        <v>1888</v>
      </c>
      <c r="G826" t="s">
        <v>56</v>
      </c>
      <c r="H826" t="s">
        <v>137</v>
      </c>
      <c r="I826" t="s">
        <v>293</v>
      </c>
      <c r="J826">
        <v>12.8</v>
      </c>
      <c r="K826">
        <v>28.7</v>
      </c>
      <c r="L826" t="s">
        <v>29</v>
      </c>
      <c r="M826" t="s">
        <v>29</v>
      </c>
      <c r="N826" t="s">
        <v>29</v>
      </c>
      <c r="O826" t="s">
        <v>29</v>
      </c>
      <c r="P826" t="s">
        <v>29</v>
      </c>
      <c r="Q826" t="s">
        <v>29</v>
      </c>
      <c r="R826">
        <v>613</v>
      </c>
      <c r="S826">
        <v>28.5</v>
      </c>
      <c r="T826">
        <v>4.2</v>
      </c>
      <c r="U826">
        <v>4.4000000000000004</v>
      </c>
      <c r="V826" t="s">
        <v>38</v>
      </c>
    </row>
    <row r="827" spans="1:22" x14ac:dyDescent="0.35">
      <c r="A827" s="1">
        <v>45562</v>
      </c>
      <c r="B827" t="s">
        <v>53</v>
      </c>
      <c r="C827" s="2">
        <v>0.75726851851851851</v>
      </c>
      <c r="D827" t="s">
        <v>1889</v>
      </c>
      <c r="E827" t="s">
        <v>24</v>
      </c>
      <c r="F827" t="s">
        <v>1890</v>
      </c>
      <c r="G827" t="s">
        <v>34</v>
      </c>
      <c r="H827" t="s">
        <v>173</v>
      </c>
      <c r="I827" t="s">
        <v>305</v>
      </c>
      <c r="J827" t="s">
        <v>29</v>
      </c>
      <c r="K827" t="s">
        <v>29</v>
      </c>
      <c r="L827" t="s">
        <v>29</v>
      </c>
      <c r="M827" t="s">
        <v>29</v>
      </c>
      <c r="N827" t="s">
        <v>29</v>
      </c>
      <c r="O827" t="s">
        <v>29</v>
      </c>
      <c r="P827" t="s">
        <v>29</v>
      </c>
      <c r="Q827" t="s">
        <v>29</v>
      </c>
      <c r="R827" t="s">
        <v>29</v>
      </c>
      <c r="S827" t="s">
        <v>29</v>
      </c>
      <c r="T827" t="s">
        <v>29</v>
      </c>
      <c r="U827" t="s">
        <v>29</v>
      </c>
      <c r="V827" t="s">
        <v>29</v>
      </c>
    </row>
    <row r="828" spans="1:22" x14ac:dyDescent="0.35">
      <c r="A828" s="1">
        <v>45369</v>
      </c>
      <c r="B828" t="s">
        <v>22</v>
      </c>
      <c r="C828" s="2">
        <v>0.31353009259259257</v>
      </c>
      <c r="D828" t="s">
        <v>1891</v>
      </c>
      <c r="E828" t="s">
        <v>41</v>
      </c>
      <c r="F828" t="s">
        <v>1892</v>
      </c>
      <c r="G828" t="s">
        <v>43</v>
      </c>
      <c r="H828" t="s">
        <v>654</v>
      </c>
      <c r="I828" t="s">
        <v>126</v>
      </c>
      <c r="J828">
        <v>9.1</v>
      </c>
      <c r="K828">
        <v>16.2</v>
      </c>
      <c r="L828" t="s">
        <v>29</v>
      </c>
      <c r="M828" t="s">
        <v>29</v>
      </c>
      <c r="N828" t="s">
        <v>29</v>
      </c>
      <c r="O828" t="s">
        <v>29</v>
      </c>
      <c r="P828" t="s">
        <v>29</v>
      </c>
      <c r="Q828" t="s">
        <v>29</v>
      </c>
      <c r="R828">
        <v>393</v>
      </c>
      <c r="S828">
        <v>9.39</v>
      </c>
      <c r="T828">
        <v>3.7</v>
      </c>
      <c r="U828">
        <v>4.2</v>
      </c>
      <c r="V828" t="s">
        <v>38</v>
      </c>
    </row>
    <row r="829" spans="1:22" x14ac:dyDescent="0.35">
      <c r="A829" s="1">
        <v>45311</v>
      </c>
      <c r="B829" t="s">
        <v>150</v>
      </c>
      <c r="C829" s="2">
        <v>0.59304398148148152</v>
      </c>
      <c r="D829" t="s">
        <v>1893</v>
      </c>
      <c r="E829" t="s">
        <v>32</v>
      </c>
      <c r="F829" t="s">
        <v>1894</v>
      </c>
      <c r="G829" t="s">
        <v>67</v>
      </c>
      <c r="H829" t="s">
        <v>454</v>
      </c>
      <c r="I829" t="s">
        <v>183</v>
      </c>
      <c r="J829">
        <v>6.6</v>
      </c>
      <c r="K829">
        <v>22.7</v>
      </c>
      <c r="L829" t="s">
        <v>29</v>
      </c>
      <c r="M829" t="s">
        <v>29</v>
      </c>
      <c r="N829" t="s">
        <v>29</v>
      </c>
      <c r="O829" t="s">
        <v>29</v>
      </c>
      <c r="P829">
        <v>1</v>
      </c>
      <c r="Q829" t="s">
        <v>37</v>
      </c>
      <c r="R829">
        <v>315</v>
      </c>
      <c r="S829">
        <v>19.670000000000002</v>
      </c>
      <c r="T829" t="s">
        <v>29</v>
      </c>
      <c r="U829" t="s">
        <v>29</v>
      </c>
      <c r="V829" t="s">
        <v>84</v>
      </c>
    </row>
    <row r="830" spans="1:22" x14ac:dyDescent="0.35">
      <c r="A830" s="1">
        <v>45440</v>
      </c>
      <c r="B830" t="s">
        <v>122</v>
      </c>
      <c r="C830" s="2">
        <v>0.46400462962962963</v>
      </c>
      <c r="D830" t="s">
        <v>1895</v>
      </c>
      <c r="E830" t="s">
        <v>41</v>
      </c>
      <c r="F830" t="s">
        <v>1896</v>
      </c>
      <c r="G830" t="s">
        <v>67</v>
      </c>
      <c r="H830" t="s">
        <v>343</v>
      </c>
      <c r="I830" t="s">
        <v>177</v>
      </c>
      <c r="J830">
        <v>12</v>
      </c>
      <c r="K830">
        <v>28.1</v>
      </c>
      <c r="L830" t="s">
        <v>29</v>
      </c>
      <c r="M830" t="s">
        <v>29</v>
      </c>
      <c r="N830" t="s">
        <v>29</v>
      </c>
      <c r="O830" t="s">
        <v>29</v>
      </c>
      <c r="P830" t="s">
        <v>29</v>
      </c>
      <c r="Q830" t="s">
        <v>29</v>
      </c>
      <c r="R830">
        <v>64</v>
      </c>
      <c r="S830">
        <v>45.95</v>
      </c>
      <c r="T830">
        <v>4.5999999999999996</v>
      </c>
      <c r="U830">
        <v>4.5999999999999996</v>
      </c>
      <c r="V830" t="s">
        <v>149</v>
      </c>
    </row>
    <row r="831" spans="1:22" x14ac:dyDescent="0.35">
      <c r="A831" s="1">
        <v>45466</v>
      </c>
      <c r="B831" t="s">
        <v>64</v>
      </c>
      <c r="C831" s="2">
        <v>0.21342592592592594</v>
      </c>
      <c r="D831" t="s">
        <v>1897</v>
      </c>
      <c r="E831" t="s">
        <v>117</v>
      </c>
      <c r="F831" t="s">
        <v>1898</v>
      </c>
      <c r="G831" t="s">
        <v>26</v>
      </c>
      <c r="H831" t="s">
        <v>198</v>
      </c>
      <c r="I831" t="s">
        <v>323</v>
      </c>
      <c r="J831">
        <v>13.2</v>
      </c>
      <c r="K831" t="s">
        <v>29</v>
      </c>
      <c r="L831">
        <v>1</v>
      </c>
      <c r="M831" t="s">
        <v>420</v>
      </c>
      <c r="N831" t="s">
        <v>29</v>
      </c>
      <c r="O831" t="s">
        <v>29</v>
      </c>
      <c r="P831" t="s">
        <v>29</v>
      </c>
      <c r="Q831" t="s">
        <v>29</v>
      </c>
      <c r="R831" t="s">
        <v>29</v>
      </c>
      <c r="S831" t="s">
        <v>29</v>
      </c>
      <c r="T831" t="s">
        <v>29</v>
      </c>
      <c r="U831" t="s">
        <v>29</v>
      </c>
      <c r="V831" t="s">
        <v>29</v>
      </c>
    </row>
    <row r="832" spans="1:22" x14ac:dyDescent="0.35">
      <c r="A832" s="1">
        <v>45347</v>
      </c>
      <c r="B832" t="s">
        <v>59</v>
      </c>
      <c r="C832" s="2">
        <v>0.87444444444444447</v>
      </c>
      <c r="D832" t="s">
        <v>1899</v>
      </c>
      <c r="E832" t="s">
        <v>93</v>
      </c>
      <c r="F832" t="s">
        <v>1900</v>
      </c>
      <c r="G832" t="s">
        <v>50</v>
      </c>
      <c r="H832" t="s">
        <v>280</v>
      </c>
      <c r="I832" t="s">
        <v>549</v>
      </c>
      <c r="J832">
        <v>7.1</v>
      </c>
      <c r="K832" t="s">
        <v>29</v>
      </c>
      <c r="L832" t="s">
        <v>29</v>
      </c>
      <c r="M832" t="s">
        <v>29</v>
      </c>
      <c r="N832">
        <v>1</v>
      </c>
      <c r="O832" t="s">
        <v>115</v>
      </c>
      <c r="P832" t="s">
        <v>29</v>
      </c>
      <c r="Q832" t="s">
        <v>29</v>
      </c>
      <c r="R832" t="s">
        <v>29</v>
      </c>
      <c r="S832" t="s">
        <v>29</v>
      </c>
      <c r="T832" t="s">
        <v>29</v>
      </c>
      <c r="U832" t="s">
        <v>29</v>
      </c>
      <c r="V832" t="s">
        <v>29</v>
      </c>
    </row>
    <row r="833" spans="1:22" x14ac:dyDescent="0.35">
      <c r="A833" s="1">
        <v>45655</v>
      </c>
      <c r="B833" t="s">
        <v>78</v>
      </c>
      <c r="C833" s="2">
        <v>0.6852893518518518</v>
      </c>
      <c r="D833" t="s">
        <v>1901</v>
      </c>
      <c r="E833" t="s">
        <v>24</v>
      </c>
      <c r="F833" t="s">
        <v>1902</v>
      </c>
      <c r="G833" t="s">
        <v>56</v>
      </c>
      <c r="H833" t="s">
        <v>391</v>
      </c>
      <c r="I833" t="s">
        <v>235</v>
      </c>
      <c r="J833" t="s">
        <v>29</v>
      </c>
      <c r="K833" t="s">
        <v>29</v>
      </c>
      <c r="L833" t="s">
        <v>29</v>
      </c>
      <c r="M833" t="s">
        <v>29</v>
      </c>
      <c r="N833" t="s">
        <v>29</v>
      </c>
      <c r="O833" t="s">
        <v>29</v>
      </c>
      <c r="P833" t="s">
        <v>29</v>
      </c>
      <c r="Q833" t="s">
        <v>29</v>
      </c>
      <c r="R833" t="s">
        <v>29</v>
      </c>
      <c r="S833" t="s">
        <v>29</v>
      </c>
      <c r="T833" t="s">
        <v>29</v>
      </c>
      <c r="U833" t="s">
        <v>29</v>
      </c>
      <c r="V833" t="s">
        <v>29</v>
      </c>
    </row>
    <row r="834" spans="1:22" x14ac:dyDescent="0.35">
      <c r="A834" s="1">
        <v>45600</v>
      </c>
      <c r="B834" t="s">
        <v>30</v>
      </c>
      <c r="C834" s="2">
        <v>0.40903935185185186</v>
      </c>
      <c r="D834" t="s">
        <v>1903</v>
      </c>
      <c r="E834" t="s">
        <v>41</v>
      </c>
      <c r="F834" t="s">
        <v>1904</v>
      </c>
      <c r="G834" t="s">
        <v>43</v>
      </c>
      <c r="H834" t="s">
        <v>493</v>
      </c>
      <c r="I834" t="s">
        <v>161</v>
      </c>
      <c r="J834">
        <v>8.3000000000000007</v>
      </c>
      <c r="K834">
        <v>33.5</v>
      </c>
      <c r="L834" t="s">
        <v>29</v>
      </c>
      <c r="M834" t="s">
        <v>29</v>
      </c>
      <c r="N834" t="s">
        <v>29</v>
      </c>
      <c r="O834" t="s">
        <v>29</v>
      </c>
      <c r="P834" t="s">
        <v>29</v>
      </c>
      <c r="Q834" t="s">
        <v>29</v>
      </c>
      <c r="R834">
        <v>229</v>
      </c>
      <c r="S834">
        <v>23.54</v>
      </c>
      <c r="T834">
        <v>3.9</v>
      </c>
      <c r="U834">
        <v>3.3</v>
      </c>
      <c r="V834" t="s">
        <v>38</v>
      </c>
    </row>
    <row r="835" spans="1:22" x14ac:dyDescent="0.35">
      <c r="A835" s="1">
        <v>45544</v>
      </c>
      <c r="B835" t="s">
        <v>53</v>
      </c>
      <c r="C835" s="2">
        <v>0.82750000000000001</v>
      </c>
      <c r="D835" t="s">
        <v>1905</v>
      </c>
      <c r="E835" t="s">
        <v>41</v>
      </c>
      <c r="F835" t="s">
        <v>1906</v>
      </c>
      <c r="G835" t="s">
        <v>43</v>
      </c>
      <c r="H835" t="s">
        <v>383</v>
      </c>
      <c r="I835" t="s">
        <v>386</v>
      </c>
      <c r="J835">
        <v>11.8</v>
      </c>
      <c r="K835">
        <v>16.5</v>
      </c>
      <c r="L835" t="s">
        <v>29</v>
      </c>
      <c r="M835" t="s">
        <v>29</v>
      </c>
      <c r="N835" t="s">
        <v>29</v>
      </c>
      <c r="O835" t="s">
        <v>29</v>
      </c>
      <c r="P835" t="s">
        <v>29</v>
      </c>
      <c r="Q835" t="s">
        <v>29</v>
      </c>
      <c r="R835">
        <v>200</v>
      </c>
      <c r="S835">
        <v>37.57</v>
      </c>
      <c r="T835">
        <v>5</v>
      </c>
      <c r="U835">
        <v>4.8</v>
      </c>
      <c r="V835" t="s">
        <v>84</v>
      </c>
    </row>
    <row r="836" spans="1:22" x14ac:dyDescent="0.35">
      <c r="A836" s="1">
        <v>45619</v>
      </c>
      <c r="B836" t="s">
        <v>30</v>
      </c>
      <c r="C836" s="2">
        <v>0.96031250000000001</v>
      </c>
      <c r="D836" t="s">
        <v>1907</v>
      </c>
      <c r="E836" t="s">
        <v>41</v>
      </c>
      <c r="F836" t="s">
        <v>1908</v>
      </c>
      <c r="G836" t="s">
        <v>56</v>
      </c>
      <c r="H836" t="s">
        <v>217</v>
      </c>
      <c r="I836" t="s">
        <v>82</v>
      </c>
      <c r="J836">
        <v>11.3</v>
      </c>
      <c r="K836">
        <v>17.7</v>
      </c>
      <c r="L836" t="s">
        <v>29</v>
      </c>
      <c r="M836" t="s">
        <v>29</v>
      </c>
      <c r="N836" t="s">
        <v>29</v>
      </c>
      <c r="O836" t="s">
        <v>29</v>
      </c>
      <c r="P836" t="s">
        <v>29</v>
      </c>
      <c r="Q836" t="s">
        <v>29</v>
      </c>
      <c r="R836">
        <v>417</v>
      </c>
      <c r="S836">
        <v>48.34</v>
      </c>
      <c r="T836">
        <v>4</v>
      </c>
      <c r="U836">
        <v>4.3</v>
      </c>
      <c r="V836" t="s">
        <v>84</v>
      </c>
    </row>
    <row r="837" spans="1:22" x14ac:dyDescent="0.35">
      <c r="A837" s="1">
        <v>45596</v>
      </c>
      <c r="B837" t="s">
        <v>47</v>
      </c>
      <c r="C837" s="2">
        <v>0.23246527777777778</v>
      </c>
      <c r="D837" t="s">
        <v>1909</v>
      </c>
      <c r="E837" t="s">
        <v>93</v>
      </c>
      <c r="F837" t="s">
        <v>1910</v>
      </c>
      <c r="G837" t="s">
        <v>56</v>
      </c>
      <c r="H837" t="s">
        <v>82</v>
      </c>
      <c r="I837" t="s">
        <v>296</v>
      </c>
      <c r="J837">
        <v>7.2</v>
      </c>
      <c r="K837" t="s">
        <v>29</v>
      </c>
      <c r="L837" t="s">
        <v>29</v>
      </c>
      <c r="M837" t="s">
        <v>29</v>
      </c>
      <c r="N837">
        <v>1</v>
      </c>
      <c r="O837" t="s">
        <v>169</v>
      </c>
      <c r="P837" t="s">
        <v>29</v>
      </c>
      <c r="Q837" t="s">
        <v>29</v>
      </c>
      <c r="R837" t="s">
        <v>29</v>
      </c>
      <c r="S837" t="s">
        <v>29</v>
      </c>
      <c r="T837" t="s">
        <v>29</v>
      </c>
      <c r="U837" t="s">
        <v>29</v>
      </c>
      <c r="V837" t="s">
        <v>29</v>
      </c>
    </row>
    <row r="838" spans="1:22" x14ac:dyDescent="0.35">
      <c r="A838" s="1">
        <v>45525</v>
      </c>
      <c r="B838" t="s">
        <v>39</v>
      </c>
      <c r="C838" s="2">
        <v>0.71771990740740743</v>
      </c>
      <c r="D838" t="s">
        <v>1911</v>
      </c>
      <c r="E838" t="s">
        <v>41</v>
      </c>
      <c r="F838" t="s">
        <v>1912</v>
      </c>
      <c r="G838" t="s">
        <v>43</v>
      </c>
      <c r="H838" t="s">
        <v>45</v>
      </c>
      <c r="I838" t="s">
        <v>147</v>
      </c>
      <c r="J838">
        <v>14.9</v>
      </c>
      <c r="K838">
        <v>35.299999999999997</v>
      </c>
      <c r="L838" t="s">
        <v>29</v>
      </c>
      <c r="M838" t="s">
        <v>29</v>
      </c>
      <c r="N838" t="s">
        <v>29</v>
      </c>
      <c r="O838" t="s">
        <v>29</v>
      </c>
      <c r="P838" t="s">
        <v>29</v>
      </c>
      <c r="Q838" t="s">
        <v>29</v>
      </c>
      <c r="R838">
        <v>292</v>
      </c>
      <c r="S838">
        <v>13.21</v>
      </c>
      <c r="T838">
        <v>3.9</v>
      </c>
      <c r="U838">
        <v>4.7</v>
      </c>
      <c r="V838" t="s">
        <v>38</v>
      </c>
    </row>
    <row r="839" spans="1:22" x14ac:dyDescent="0.35">
      <c r="A839" s="1">
        <v>45417</v>
      </c>
      <c r="B839" t="s">
        <v>122</v>
      </c>
      <c r="C839" s="2">
        <v>0.90125</v>
      </c>
      <c r="D839" t="s">
        <v>1913</v>
      </c>
      <c r="E839" t="s">
        <v>41</v>
      </c>
      <c r="F839" t="s">
        <v>1914</v>
      </c>
      <c r="G839" t="s">
        <v>50</v>
      </c>
      <c r="H839" t="s">
        <v>193</v>
      </c>
      <c r="I839" t="s">
        <v>299</v>
      </c>
      <c r="J839">
        <v>11.5</v>
      </c>
      <c r="K839">
        <v>15.1</v>
      </c>
      <c r="L839" t="s">
        <v>29</v>
      </c>
      <c r="M839" t="s">
        <v>29</v>
      </c>
      <c r="N839" t="s">
        <v>29</v>
      </c>
      <c r="O839" t="s">
        <v>29</v>
      </c>
      <c r="P839" t="s">
        <v>29</v>
      </c>
      <c r="Q839" t="s">
        <v>29</v>
      </c>
      <c r="R839">
        <v>1284</v>
      </c>
      <c r="S839">
        <v>33.159999999999997</v>
      </c>
      <c r="T839">
        <v>3.4</v>
      </c>
      <c r="U839">
        <v>4.7</v>
      </c>
      <c r="V839" t="s">
        <v>46</v>
      </c>
    </row>
    <row r="840" spans="1:22" x14ac:dyDescent="0.35">
      <c r="A840" s="1">
        <v>45571</v>
      </c>
      <c r="B840" t="s">
        <v>47</v>
      </c>
      <c r="C840" s="2">
        <v>0.86395833333333338</v>
      </c>
      <c r="D840" t="s">
        <v>1915</v>
      </c>
      <c r="E840" t="s">
        <v>117</v>
      </c>
      <c r="F840" t="s">
        <v>1916</v>
      </c>
      <c r="G840" t="s">
        <v>34</v>
      </c>
      <c r="H840" t="s">
        <v>69</v>
      </c>
      <c r="I840" t="s">
        <v>114</v>
      </c>
      <c r="J840">
        <v>5.2</v>
      </c>
      <c r="K840" t="s">
        <v>29</v>
      </c>
      <c r="L840">
        <v>1</v>
      </c>
      <c r="M840" t="s">
        <v>420</v>
      </c>
      <c r="N840" t="s">
        <v>29</v>
      </c>
      <c r="O840" t="s">
        <v>29</v>
      </c>
      <c r="P840" t="s">
        <v>29</v>
      </c>
      <c r="Q840" t="s">
        <v>29</v>
      </c>
      <c r="R840" t="s">
        <v>29</v>
      </c>
      <c r="S840" t="s">
        <v>29</v>
      </c>
      <c r="T840" t="s">
        <v>29</v>
      </c>
      <c r="U840" t="s">
        <v>29</v>
      </c>
      <c r="V840" t="s">
        <v>29</v>
      </c>
    </row>
    <row r="841" spans="1:22" x14ac:dyDescent="0.35">
      <c r="A841" s="1">
        <v>45431</v>
      </c>
      <c r="B841" t="s">
        <v>122</v>
      </c>
      <c r="C841" s="2">
        <v>0.6412268518518518</v>
      </c>
      <c r="D841" t="s">
        <v>1917</v>
      </c>
      <c r="E841" t="s">
        <v>41</v>
      </c>
      <c r="F841" t="s">
        <v>1918</v>
      </c>
      <c r="G841" t="s">
        <v>67</v>
      </c>
      <c r="H841" t="s">
        <v>217</v>
      </c>
      <c r="I841" t="s">
        <v>153</v>
      </c>
      <c r="J841">
        <v>4.0999999999999996</v>
      </c>
      <c r="K841">
        <v>21.2</v>
      </c>
      <c r="L841" t="s">
        <v>29</v>
      </c>
      <c r="M841" t="s">
        <v>29</v>
      </c>
      <c r="N841" t="s">
        <v>29</v>
      </c>
      <c r="O841" t="s">
        <v>29</v>
      </c>
      <c r="P841" t="s">
        <v>29</v>
      </c>
      <c r="Q841" t="s">
        <v>29</v>
      </c>
      <c r="R841">
        <v>791</v>
      </c>
      <c r="S841">
        <v>17.309999999999999</v>
      </c>
      <c r="T841">
        <v>3.7</v>
      </c>
      <c r="U841">
        <v>4.7</v>
      </c>
      <c r="V841" t="s">
        <v>38</v>
      </c>
    </row>
    <row r="842" spans="1:22" x14ac:dyDescent="0.35">
      <c r="A842" s="1">
        <v>45478</v>
      </c>
      <c r="B842" t="s">
        <v>108</v>
      </c>
      <c r="C842" s="2">
        <v>0.59947916666666667</v>
      </c>
      <c r="D842" t="s">
        <v>1919</v>
      </c>
      <c r="E842" t="s">
        <v>41</v>
      </c>
      <c r="F842" t="s">
        <v>1920</v>
      </c>
      <c r="G842" t="s">
        <v>56</v>
      </c>
      <c r="H842" t="s">
        <v>299</v>
      </c>
      <c r="I842" t="s">
        <v>248</v>
      </c>
      <c r="J842">
        <v>2</v>
      </c>
      <c r="K842">
        <v>42.2</v>
      </c>
      <c r="L842" t="s">
        <v>29</v>
      </c>
      <c r="M842" t="s">
        <v>29</v>
      </c>
      <c r="N842" t="s">
        <v>29</v>
      </c>
      <c r="O842" t="s">
        <v>29</v>
      </c>
      <c r="P842" t="s">
        <v>29</v>
      </c>
      <c r="Q842" t="s">
        <v>29</v>
      </c>
      <c r="R842">
        <v>304</v>
      </c>
      <c r="S842">
        <v>37.93</v>
      </c>
      <c r="T842">
        <v>4.3</v>
      </c>
      <c r="U842">
        <v>4.2</v>
      </c>
      <c r="V842" t="s">
        <v>84</v>
      </c>
    </row>
    <row r="843" spans="1:22" x14ac:dyDescent="0.35">
      <c r="A843" s="1">
        <v>45387</v>
      </c>
      <c r="B843" t="s">
        <v>154</v>
      </c>
      <c r="C843" s="2">
        <v>0.91031249999999997</v>
      </c>
      <c r="D843" t="s">
        <v>1921</v>
      </c>
      <c r="E843" t="s">
        <v>41</v>
      </c>
      <c r="F843" t="s">
        <v>1922</v>
      </c>
      <c r="G843" t="s">
        <v>67</v>
      </c>
      <c r="H843" t="s">
        <v>536</v>
      </c>
      <c r="I843" t="s">
        <v>177</v>
      </c>
      <c r="J843">
        <v>5.9</v>
      </c>
      <c r="K843">
        <v>41.5</v>
      </c>
      <c r="L843" t="s">
        <v>29</v>
      </c>
      <c r="M843" t="s">
        <v>29</v>
      </c>
      <c r="N843" t="s">
        <v>29</v>
      </c>
      <c r="O843" t="s">
        <v>29</v>
      </c>
      <c r="P843" t="s">
        <v>29</v>
      </c>
      <c r="Q843" t="s">
        <v>29</v>
      </c>
      <c r="R843">
        <v>404</v>
      </c>
      <c r="S843">
        <v>37.4</v>
      </c>
      <c r="T843">
        <v>3.5</v>
      </c>
      <c r="U843">
        <v>4.5999999999999996</v>
      </c>
      <c r="V843" t="s">
        <v>84</v>
      </c>
    </row>
    <row r="844" spans="1:22" x14ac:dyDescent="0.35">
      <c r="A844" s="1">
        <v>45649</v>
      </c>
      <c r="B844" t="s">
        <v>78</v>
      </c>
      <c r="C844" s="2">
        <v>0.72785879629629635</v>
      </c>
      <c r="D844" t="s">
        <v>1923</v>
      </c>
      <c r="E844" t="s">
        <v>24</v>
      </c>
      <c r="F844" t="s">
        <v>1924</v>
      </c>
      <c r="G844" t="s">
        <v>34</v>
      </c>
      <c r="H844" t="s">
        <v>248</v>
      </c>
      <c r="I844" t="s">
        <v>249</v>
      </c>
      <c r="J844" t="s">
        <v>29</v>
      </c>
      <c r="K844" t="s">
        <v>29</v>
      </c>
      <c r="L844" t="s">
        <v>29</v>
      </c>
      <c r="M844" t="s">
        <v>29</v>
      </c>
      <c r="N844" t="s">
        <v>29</v>
      </c>
      <c r="O844" t="s">
        <v>29</v>
      </c>
      <c r="P844" t="s">
        <v>29</v>
      </c>
      <c r="Q844" t="s">
        <v>29</v>
      </c>
      <c r="R844" t="s">
        <v>29</v>
      </c>
      <c r="S844" t="s">
        <v>29</v>
      </c>
      <c r="T844" t="s">
        <v>29</v>
      </c>
      <c r="U844" t="s">
        <v>29</v>
      </c>
      <c r="V844" t="s">
        <v>29</v>
      </c>
    </row>
    <row r="845" spans="1:22" x14ac:dyDescent="0.35">
      <c r="A845" s="1">
        <v>45444</v>
      </c>
      <c r="B845" t="s">
        <v>64</v>
      </c>
      <c r="C845" s="2">
        <v>0.78696759259259264</v>
      </c>
      <c r="D845" t="s">
        <v>1925</v>
      </c>
      <c r="E845" t="s">
        <v>41</v>
      </c>
      <c r="F845" t="s">
        <v>1926</v>
      </c>
      <c r="G845" t="s">
        <v>43</v>
      </c>
      <c r="H845" t="s">
        <v>327</v>
      </c>
      <c r="I845" t="s">
        <v>281</v>
      </c>
      <c r="J845">
        <v>14</v>
      </c>
      <c r="K845">
        <v>32.700000000000003</v>
      </c>
      <c r="L845" t="s">
        <v>29</v>
      </c>
      <c r="M845" t="s">
        <v>29</v>
      </c>
      <c r="N845" t="s">
        <v>29</v>
      </c>
      <c r="O845" t="s">
        <v>29</v>
      </c>
      <c r="P845" t="s">
        <v>29</v>
      </c>
      <c r="Q845" t="s">
        <v>29</v>
      </c>
      <c r="R845">
        <v>109</v>
      </c>
      <c r="S845">
        <v>28.6</v>
      </c>
      <c r="T845">
        <v>3.4</v>
      </c>
      <c r="U845">
        <v>4.2</v>
      </c>
      <c r="V845" t="s">
        <v>84</v>
      </c>
    </row>
    <row r="846" spans="1:22" x14ac:dyDescent="0.35">
      <c r="A846" s="1">
        <v>45458</v>
      </c>
      <c r="B846" t="s">
        <v>64</v>
      </c>
      <c r="C846" s="2">
        <v>0.29723379629629632</v>
      </c>
      <c r="D846" t="s">
        <v>1927</v>
      </c>
      <c r="E846" t="s">
        <v>41</v>
      </c>
      <c r="F846" t="s">
        <v>1928</v>
      </c>
      <c r="G846" t="s">
        <v>67</v>
      </c>
      <c r="H846" t="s">
        <v>103</v>
      </c>
      <c r="I846" t="s">
        <v>350</v>
      </c>
      <c r="J846">
        <v>14.7</v>
      </c>
      <c r="K846">
        <v>15.4</v>
      </c>
      <c r="L846" t="s">
        <v>29</v>
      </c>
      <c r="M846" t="s">
        <v>29</v>
      </c>
      <c r="N846" t="s">
        <v>29</v>
      </c>
      <c r="O846" t="s">
        <v>29</v>
      </c>
      <c r="P846" t="s">
        <v>29</v>
      </c>
      <c r="Q846" t="s">
        <v>29</v>
      </c>
      <c r="R846">
        <v>506</v>
      </c>
      <c r="S846">
        <v>38.659999999999997</v>
      </c>
      <c r="T846">
        <v>4.5999999999999996</v>
      </c>
      <c r="U846">
        <v>5</v>
      </c>
      <c r="V846" t="s">
        <v>84</v>
      </c>
    </row>
    <row r="847" spans="1:22" x14ac:dyDescent="0.35">
      <c r="A847" s="1">
        <v>45317</v>
      </c>
      <c r="B847" t="s">
        <v>150</v>
      </c>
      <c r="C847" s="2">
        <v>0.71532407407407406</v>
      </c>
      <c r="D847" t="s">
        <v>1929</v>
      </c>
      <c r="E847" t="s">
        <v>41</v>
      </c>
      <c r="F847" t="s">
        <v>1930</v>
      </c>
      <c r="G847" t="s">
        <v>26</v>
      </c>
      <c r="H847" t="s">
        <v>248</v>
      </c>
      <c r="I847" t="s">
        <v>549</v>
      </c>
      <c r="J847">
        <v>9.5</v>
      </c>
      <c r="K847">
        <v>32</v>
      </c>
      <c r="L847" t="s">
        <v>29</v>
      </c>
      <c r="M847" t="s">
        <v>29</v>
      </c>
      <c r="N847" t="s">
        <v>29</v>
      </c>
      <c r="O847" t="s">
        <v>29</v>
      </c>
      <c r="P847" t="s">
        <v>29</v>
      </c>
      <c r="Q847" t="s">
        <v>29</v>
      </c>
      <c r="R847">
        <v>150</v>
      </c>
      <c r="S847">
        <v>39.67</v>
      </c>
      <c r="T847">
        <v>4.2</v>
      </c>
      <c r="U847">
        <v>5</v>
      </c>
      <c r="V847" t="s">
        <v>84</v>
      </c>
    </row>
    <row r="848" spans="1:22" x14ac:dyDescent="0.35">
      <c r="A848" s="1">
        <v>45320</v>
      </c>
      <c r="B848" t="s">
        <v>150</v>
      </c>
      <c r="C848" s="2">
        <v>0.7794444444444445</v>
      </c>
      <c r="D848" t="s">
        <v>1931</v>
      </c>
      <c r="E848" t="s">
        <v>93</v>
      </c>
      <c r="F848" t="s">
        <v>1932</v>
      </c>
      <c r="G848" t="s">
        <v>34</v>
      </c>
      <c r="H848" t="s">
        <v>511</v>
      </c>
      <c r="I848" t="s">
        <v>803</v>
      </c>
      <c r="J848">
        <v>10.6</v>
      </c>
      <c r="K848" t="s">
        <v>29</v>
      </c>
      <c r="L848" t="s">
        <v>29</v>
      </c>
      <c r="M848" t="s">
        <v>29</v>
      </c>
      <c r="N848">
        <v>1</v>
      </c>
      <c r="O848" t="s">
        <v>115</v>
      </c>
      <c r="P848" t="s">
        <v>29</v>
      </c>
      <c r="Q848" t="s">
        <v>29</v>
      </c>
      <c r="R848" t="s">
        <v>29</v>
      </c>
      <c r="S848" t="s">
        <v>29</v>
      </c>
      <c r="T848" t="s">
        <v>29</v>
      </c>
      <c r="U848" t="s">
        <v>29</v>
      </c>
      <c r="V848" t="s">
        <v>29</v>
      </c>
    </row>
    <row r="849" spans="1:22" x14ac:dyDescent="0.35">
      <c r="A849" s="1">
        <v>45363</v>
      </c>
      <c r="B849" t="s">
        <v>22</v>
      </c>
      <c r="C849" s="2">
        <v>0.72231481481481485</v>
      </c>
      <c r="D849" t="s">
        <v>1933</v>
      </c>
      <c r="E849" t="s">
        <v>41</v>
      </c>
      <c r="F849" t="s">
        <v>1934</v>
      </c>
      <c r="G849" t="s">
        <v>43</v>
      </c>
      <c r="H849" t="s">
        <v>63</v>
      </c>
      <c r="I849" t="s">
        <v>386</v>
      </c>
      <c r="J849">
        <v>13.3</v>
      </c>
      <c r="K849">
        <v>19.5</v>
      </c>
      <c r="L849" t="s">
        <v>29</v>
      </c>
      <c r="M849" t="s">
        <v>29</v>
      </c>
      <c r="N849" t="s">
        <v>29</v>
      </c>
      <c r="O849" t="s">
        <v>29</v>
      </c>
      <c r="P849" t="s">
        <v>29</v>
      </c>
      <c r="Q849" t="s">
        <v>29</v>
      </c>
      <c r="R849">
        <v>196</v>
      </c>
      <c r="S849">
        <v>42.26</v>
      </c>
      <c r="T849">
        <v>4</v>
      </c>
      <c r="U849">
        <v>4.4000000000000004</v>
      </c>
      <c r="V849" t="s">
        <v>38</v>
      </c>
    </row>
    <row r="850" spans="1:22" x14ac:dyDescent="0.35">
      <c r="A850" s="1">
        <v>45538</v>
      </c>
      <c r="B850" t="s">
        <v>53</v>
      </c>
      <c r="C850" s="2">
        <v>0.50255787037037036</v>
      </c>
      <c r="D850" t="s">
        <v>1935</v>
      </c>
      <c r="E850" t="s">
        <v>93</v>
      </c>
      <c r="F850" t="s">
        <v>1936</v>
      </c>
      <c r="G850" t="s">
        <v>34</v>
      </c>
      <c r="H850" t="s">
        <v>161</v>
      </c>
      <c r="I850" t="s">
        <v>197</v>
      </c>
      <c r="J850">
        <v>4.5</v>
      </c>
      <c r="K850" t="s">
        <v>29</v>
      </c>
      <c r="L850" t="s">
        <v>29</v>
      </c>
      <c r="M850" t="s">
        <v>29</v>
      </c>
      <c r="N850">
        <v>1</v>
      </c>
      <c r="O850" t="s">
        <v>337</v>
      </c>
      <c r="P850" t="s">
        <v>29</v>
      </c>
      <c r="Q850" t="s">
        <v>29</v>
      </c>
      <c r="R850" t="s">
        <v>29</v>
      </c>
      <c r="S850" t="s">
        <v>29</v>
      </c>
      <c r="T850" t="s">
        <v>29</v>
      </c>
      <c r="U850" t="s">
        <v>29</v>
      </c>
      <c r="V850" t="s">
        <v>29</v>
      </c>
    </row>
    <row r="851" spans="1:22" x14ac:dyDescent="0.35">
      <c r="A851" s="1">
        <v>45515</v>
      </c>
      <c r="B851" t="s">
        <v>39</v>
      </c>
      <c r="C851" s="2">
        <v>0.18907407407407406</v>
      </c>
      <c r="D851" t="s">
        <v>1937</v>
      </c>
      <c r="E851" t="s">
        <v>41</v>
      </c>
      <c r="F851" t="s">
        <v>1938</v>
      </c>
      <c r="G851" t="s">
        <v>43</v>
      </c>
      <c r="H851" t="s">
        <v>665</v>
      </c>
      <c r="I851" t="s">
        <v>266</v>
      </c>
      <c r="J851">
        <v>14.8</v>
      </c>
      <c r="K851">
        <v>28.9</v>
      </c>
      <c r="L851" t="s">
        <v>29</v>
      </c>
      <c r="M851" t="s">
        <v>29</v>
      </c>
      <c r="N851" t="s">
        <v>29</v>
      </c>
      <c r="O851" t="s">
        <v>29</v>
      </c>
      <c r="P851" t="s">
        <v>29</v>
      </c>
      <c r="Q851" t="s">
        <v>29</v>
      </c>
      <c r="R851">
        <v>655</v>
      </c>
      <c r="S851">
        <v>28.14</v>
      </c>
      <c r="T851">
        <v>4.5</v>
      </c>
      <c r="U851">
        <v>4.0999999999999996</v>
      </c>
      <c r="V851" t="s">
        <v>38</v>
      </c>
    </row>
    <row r="852" spans="1:22" x14ac:dyDescent="0.35">
      <c r="A852" s="1">
        <v>45309</v>
      </c>
      <c r="B852" t="s">
        <v>150</v>
      </c>
      <c r="C852" s="2">
        <v>0.94598379629629625</v>
      </c>
      <c r="D852" t="s">
        <v>1939</v>
      </c>
      <c r="E852" t="s">
        <v>32</v>
      </c>
      <c r="F852" t="s">
        <v>1940</v>
      </c>
      <c r="G852" t="s">
        <v>67</v>
      </c>
      <c r="H852" t="s">
        <v>148</v>
      </c>
      <c r="I852" t="s">
        <v>391</v>
      </c>
      <c r="J852">
        <v>7.9</v>
      </c>
      <c r="K852">
        <v>21.1</v>
      </c>
      <c r="L852" t="s">
        <v>29</v>
      </c>
      <c r="M852" t="s">
        <v>29</v>
      </c>
      <c r="N852" t="s">
        <v>29</v>
      </c>
      <c r="O852" t="s">
        <v>29</v>
      </c>
      <c r="P852">
        <v>1</v>
      </c>
      <c r="Q852" t="s">
        <v>302</v>
      </c>
      <c r="R852">
        <v>789</v>
      </c>
      <c r="S852">
        <v>12.12</v>
      </c>
      <c r="T852" t="s">
        <v>29</v>
      </c>
      <c r="U852" t="s">
        <v>29</v>
      </c>
      <c r="V852" t="s">
        <v>84</v>
      </c>
    </row>
    <row r="853" spans="1:22" x14ac:dyDescent="0.35">
      <c r="A853" s="1">
        <v>45428</v>
      </c>
      <c r="B853" t="s">
        <v>122</v>
      </c>
      <c r="C853" s="2">
        <v>0.4150462962962963</v>
      </c>
      <c r="D853" t="s">
        <v>1941</v>
      </c>
      <c r="E853" t="s">
        <v>41</v>
      </c>
      <c r="F853" t="s">
        <v>1942</v>
      </c>
      <c r="G853" t="s">
        <v>34</v>
      </c>
      <c r="H853" t="s">
        <v>137</v>
      </c>
      <c r="I853" t="s">
        <v>585</v>
      </c>
      <c r="J853">
        <v>7.9</v>
      </c>
      <c r="K853">
        <v>27.9</v>
      </c>
      <c r="L853" t="s">
        <v>29</v>
      </c>
      <c r="M853" t="s">
        <v>29</v>
      </c>
      <c r="N853" t="s">
        <v>29</v>
      </c>
      <c r="O853" t="s">
        <v>29</v>
      </c>
      <c r="P853" t="s">
        <v>29</v>
      </c>
      <c r="Q853" t="s">
        <v>29</v>
      </c>
      <c r="R853">
        <v>408</v>
      </c>
      <c r="S853">
        <v>48.57</v>
      </c>
      <c r="T853">
        <v>4.4000000000000004</v>
      </c>
      <c r="U853">
        <v>4.4000000000000004</v>
      </c>
      <c r="V853" t="s">
        <v>38</v>
      </c>
    </row>
    <row r="854" spans="1:22" x14ac:dyDescent="0.35">
      <c r="A854" s="1">
        <v>45469</v>
      </c>
      <c r="B854" t="s">
        <v>64</v>
      </c>
      <c r="C854" s="2">
        <v>0.37989583333333332</v>
      </c>
      <c r="D854" t="s">
        <v>1943</v>
      </c>
      <c r="E854" t="s">
        <v>41</v>
      </c>
      <c r="F854" t="s">
        <v>1944</v>
      </c>
      <c r="G854" t="s">
        <v>34</v>
      </c>
      <c r="H854" t="s">
        <v>636</v>
      </c>
      <c r="I854" t="s">
        <v>245</v>
      </c>
      <c r="J854">
        <v>12.6</v>
      </c>
      <c r="K854">
        <v>41.5</v>
      </c>
      <c r="L854" t="s">
        <v>29</v>
      </c>
      <c r="M854" t="s">
        <v>29</v>
      </c>
      <c r="N854" t="s">
        <v>29</v>
      </c>
      <c r="O854" t="s">
        <v>29</v>
      </c>
      <c r="P854" t="s">
        <v>29</v>
      </c>
      <c r="Q854" t="s">
        <v>29</v>
      </c>
      <c r="R854">
        <v>397</v>
      </c>
      <c r="S854">
        <v>30.58</v>
      </c>
      <c r="T854">
        <v>3.8</v>
      </c>
      <c r="U854">
        <v>4.5999999999999996</v>
      </c>
      <c r="V854" t="s">
        <v>38</v>
      </c>
    </row>
    <row r="855" spans="1:22" x14ac:dyDescent="0.35">
      <c r="A855" s="1">
        <v>45381</v>
      </c>
      <c r="B855" t="s">
        <v>22</v>
      </c>
      <c r="C855" s="2">
        <v>3.605324074074074E-2</v>
      </c>
      <c r="D855" t="s">
        <v>1945</v>
      </c>
      <c r="E855" t="s">
        <v>41</v>
      </c>
      <c r="F855" t="s">
        <v>1946</v>
      </c>
      <c r="G855" t="s">
        <v>43</v>
      </c>
      <c r="H855" t="s">
        <v>186</v>
      </c>
      <c r="I855" t="s">
        <v>892</v>
      </c>
      <c r="J855">
        <v>14.3</v>
      </c>
      <c r="K855">
        <v>37.6</v>
      </c>
      <c r="L855" t="s">
        <v>29</v>
      </c>
      <c r="M855" t="s">
        <v>29</v>
      </c>
      <c r="N855" t="s">
        <v>29</v>
      </c>
      <c r="O855" t="s">
        <v>29</v>
      </c>
      <c r="P855" t="s">
        <v>29</v>
      </c>
      <c r="Q855" t="s">
        <v>29</v>
      </c>
      <c r="R855">
        <v>1079</v>
      </c>
      <c r="S855">
        <v>18.739999999999998</v>
      </c>
      <c r="T855">
        <v>4.7</v>
      </c>
      <c r="U855">
        <v>4</v>
      </c>
      <c r="V855" t="s">
        <v>38</v>
      </c>
    </row>
    <row r="856" spans="1:22" x14ac:dyDescent="0.35">
      <c r="A856" s="1">
        <v>45549</v>
      </c>
      <c r="B856" t="s">
        <v>53</v>
      </c>
      <c r="C856" s="2">
        <v>0.29701388888888891</v>
      </c>
      <c r="D856" t="s">
        <v>1947</v>
      </c>
      <c r="E856" t="s">
        <v>93</v>
      </c>
      <c r="F856" t="s">
        <v>1948</v>
      </c>
      <c r="G856" t="s">
        <v>67</v>
      </c>
      <c r="H856" t="s">
        <v>168</v>
      </c>
      <c r="I856" t="s">
        <v>96</v>
      </c>
      <c r="J856">
        <v>4.9000000000000004</v>
      </c>
      <c r="K856" t="s">
        <v>29</v>
      </c>
      <c r="L856" t="s">
        <v>29</v>
      </c>
      <c r="M856" t="s">
        <v>29</v>
      </c>
      <c r="N856">
        <v>1</v>
      </c>
      <c r="O856" t="s">
        <v>169</v>
      </c>
      <c r="P856" t="s">
        <v>29</v>
      </c>
      <c r="Q856" t="s">
        <v>29</v>
      </c>
      <c r="R856" t="s">
        <v>29</v>
      </c>
      <c r="S856" t="s">
        <v>29</v>
      </c>
      <c r="T856" t="s">
        <v>29</v>
      </c>
      <c r="U856" t="s">
        <v>29</v>
      </c>
      <c r="V856" t="s">
        <v>29</v>
      </c>
    </row>
    <row r="857" spans="1:22" x14ac:dyDescent="0.35">
      <c r="A857" s="1">
        <v>45421</v>
      </c>
      <c r="B857" t="s">
        <v>122</v>
      </c>
      <c r="C857" s="2">
        <v>0.82371527777777775</v>
      </c>
      <c r="D857" t="s">
        <v>1949</v>
      </c>
      <c r="E857" t="s">
        <v>41</v>
      </c>
      <c r="F857" t="s">
        <v>1950</v>
      </c>
      <c r="G857" t="s">
        <v>34</v>
      </c>
      <c r="H857" t="s">
        <v>355</v>
      </c>
      <c r="I857" t="s">
        <v>665</v>
      </c>
      <c r="J857">
        <v>10.7</v>
      </c>
      <c r="K857">
        <v>26.5</v>
      </c>
      <c r="L857" t="s">
        <v>29</v>
      </c>
      <c r="M857" t="s">
        <v>29</v>
      </c>
      <c r="N857" t="s">
        <v>29</v>
      </c>
      <c r="O857" t="s">
        <v>29</v>
      </c>
      <c r="P857" t="s">
        <v>29</v>
      </c>
      <c r="Q857" t="s">
        <v>29</v>
      </c>
      <c r="R857">
        <v>247</v>
      </c>
      <c r="S857">
        <v>42.88</v>
      </c>
      <c r="T857">
        <v>4.3</v>
      </c>
      <c r="U857">
        <v>4.3</v>
      </c>
      <c r="V857" t="s">
        <v>84</v>
      </c>
    </row>
    <row r="858" spans="1:22" x14ac:dyDescent="0.35">
      <c r="A858" s="1">
        <v>45647</v>
      </c>
      <c r="B858" t="s">
        <v>78</v>
      </c>
      <c r="C858" s="2">
        <v>0.42656250000000001</v>
      </c>
      <c r="D858" t="s">
        <v>1951</v>
      </c>
      <c r="E858" t="s">
        <v>41</v>
      </c>
      <c r="F858" t="s">
        <v>1952</v>
      </c>
      <c r="G858" t="s">
        <v>26</v>
      </c>
      <c r="H858" t="s">
        <v>616</v>
      </c>
      <c r="I858" t="s">
        <v>430</v>
      </c>
      <c r="J858">
        <v>3</v>
      </c>
      <c r="K858">
        <v>44.7</v>
      </c>
      <c r="L858" t="s">
        <v>29</v>
      </c>
      <c r="M858" t="s">
        <v>29</v>
      </c>
      <c r="N858" t="s">
        <v>29</v>
      </c>
      <c r="O858" t="s">
        <v>29</v>
      </c>
      <c r="P858" t="s">
        <v>29</v>
      </c>
      <c r="Q858" t="s">
        <v>29</v>
      </c>
      <c r="R858">
        <v>150</v>
      </c>
      <c r="S858">
        <v>12.82</v>
      </c>
      <c r="T858">
        <v>3.3</v>
      </c>
      <c r="U858">
        <v>4.5999999999999996</v>
      </c>
      <c r="V858" t="s">
        <v>38</v>
      </c>
    </row>
    <row r="859" spans="1:22" x14ac:dyDescent="0.35">
      <c r="A859" s="1">
        <v>45510</v>
      </c>
      <c r="B859" t="s">
        <v>39</v>
      </c>
      <c r="C859" s="2">
        <v>0.26656249999999998</v>
      </c>
      <c r="D859" t="s">
        <v>1953</v>
      </c>
      <c r="E859" t="s">
        <v>41</v>
      </c>
      <c r="F859" t="s">
        <v>1954</v>
      </c>
      <c r="G859" t="s">
        <v>34</v>
      </c>
      <c r="H859" t="s">
        <v>194</v>
      </c>
      <c r="I859" t="s">
        <v>305</v>
      </c>
      <c r="J859">
        <v>14.9</v>
      </c>
      <c r="K859">
        <v>27.2</v>
      </c>
      <c r="L859" t="s">
        <v>29</v>
      </c>
      <c r="M859" t="s">
        <v>29</v>
      </c>
      <c r="N859" t="s">
        <v>29</v>
      </c>
      <c r="O859" t="s">
        <v>29</v>
      </c>
      <c r="P859" t="s">
        <v>29</v>
      </c>
      <c r="Q859" t="s">
        <v>29</v>
      </c>
      <c r="R859">
        <v>532</v>
      </c>
      <c r="S859">
        <v>18.48</v>
      </c>
      <c r="T859">
        <v>3.7</v>
      </c>
      <c r="U859">
        <v>4.0999999999999996</v>
      </c>
      <c r="V859" t="s">
        <v>38</v>
      </c>
    </row>
    <row r="860" spans="1:22" x14ac:dyDescent="0.35">
      <c r="A860" s="1">
        <v>45610</v>
      </c>
      <c r="B860" t="s">
        <v>30</v>
      </c>
      <c r="C860" s="2">
        <v>0.48118055555555556</v>
      </c>
      <c r="D860" t="s">
        <v>1955</v>
      </c>
      <c r="E860" t="s">
        <v>24</v>
      </c>
      <c r="F860" t="s">
        <v>1956</v>
      </c>
      <c r="G860" t="s">
        <v>34</v>
      </c>
      <c r="H860" t="s">
        <v>463</v>
      </c>
      <c r="I860" t="s">
        <v>180</v>
      </c>
      <c r="J860" t="s">
        <v>29</v>
      </c>
      <c r="K860" t="s">
        <v>29</v>
      </c>
      <c r="L860" t="s">
        <v>29</v>
      </c>
      <c r="M860" t="s">
        <v>29</v>
      </c>
      <c r="N860" t="s">
        <v>29</v>
      </c>
      <c r="O860" t="s">
        <v>29</v>
      </c>
      <c r="P860" t="s">
        <v>29</v>
      </c>
      <c r="Q860" t="s">
        <v>29</v>
      </c>
      <c r="R860" t="s">
        <v>29</v>
      </c>
      <c r="S860" t="s">
        <v>29</v>
      </c>
      <c r="T860" t="s">
        <v>29</v>
      </c>
      <c r="U860" t="s">
        <v>29</v>
      </c>
      <c r="V860" t="s">
        <v>29</v>
      </c>
    </row>
    <row r="861" spans="1:22" x14ac:dyDescent="0.35">
      <c r="A861" s="1">
        <v>45398</v>
      </c>
      <c r="B861" t="s">
        <v>154</v>
      </c>
      <c r="C861" s="2">
        <v>0.8464814814814815</v>
      </c>
      <c r="D861" t="s">
        <v>1957</v>
      </c>
      <c r="E861" t="s">
        <v>41</v>
      </c>
      <c r="F861" t="s">
        <v>1958</v>
      </c>
      <c r="G861" t="s">
        <v>34</v>
      </c>
      <c r="H861" t="s">
        <v>552</v>
      </c>
      <c r="I861" t="s">
        <v>493</v>
      </c>
      <c r="J861">
        <v>5.3</v>
      </c>
      <c r="K861">
        <v>20.2</v>
      </c>
      <c r="L861" t="s">
        <v>29</v>
      </c>
      <c r="M861" t="s">
        <v>29</v>
      </c>
      <c r="N861" t="s">
        <v>29</v>
      </c>
      <c r="O861" t="s">
        <v>29</v>
      </c>
      <c r="P861" t="s">
        <v>29</v>
      </c>
      <c r="Q861" t="s">
        <v>29</v>
      </c>
      <c r="R861">
        <v>79</v>
      </c>
      <c r="S861">
        <v>9.14</v>
      </c>
      <c r="T861">
        <v>4.3</v>
      </c>
      <c r="U861">
        <v>4.9000000000000004</v>
      </c>
      <c r="V861" t="s">
        <v>149</v>
      </c>
    </row>
    <row r="862" spans="1:22" x14ac:dyDescent="0.35">
      <c r="A862" s="1">
        <v>45369</v>
      </c>
      <c r="B862" t="s">
        <v>22</v>
      </c>
      <c r="C862" s="2">
        <v>0.96152777777777776</v>
      </c>
      <c r="D862" t="s">
        <v>1959</v>
      </c>
      <c r="E862" t="s">
        <v>41</v>
      </c>
      <c r="F862" t="s">
        <v>1960</v>
      </c>
      <c r="G862" t="s">
        <v>43</v>
      </c>
      <c r="H862" t="s">
        <v>654</v>
      </c>
      <c r="I862" t="s">
        <v>266</v>
      </c>
      <c r="J862">
        <v>6.7</v>
      </c>
      <c r="K862">
        <v>29.4</v>
      </c>
      <c r="L862" t="s">
        <v>29</v>
      </c>
      <c r="M862" t="s">
        <v>29</v>
      </c>
      <c r="N862" t="s">
        <v>29</v>
      </c>
      <c r="O862" t="s">
        <v>29</v>
      </c>
      <c r="P862" t="s">
        <v>29</v>
      </c>
      <c r="Q862" t="s">
        <v>29</v>
      </c>
      <c r="R862">
        <v>693</v>
      </c>
      <c r="S862">
        <v>3.81</v>
      </c>
      <c r="T862">
        <v>4.3</v>
      </c>
      <c r="U862">
        <v>4.5999999999999996</v>
      </c>
      <c r="V862" t="s">
        <v>38</v>
      </c>
    </row>
    <row r="863" spans="1:22" x14ac:dyDescent="0.35">
      <c r="A863" s="1">
        <v>45617</v>
      </c>
      <c r="B863" t="s">
        <v>30</v>
      </c>
      <c r="C863" s="2">
        <v>0.56986111111111115</v>
      </c>
      <c r="D863" t="s">
        <v>1961</v>
      </c>
      <c r="E863" t="s">
        <v>41</v>
      </c>
      <c r="F863" t="s">
        <v>1962</v>
      </c>
      <c r="G863" t="s">
        <v>67</v>
      </c>
      <c r="H863" t="s">
        <v>207</v>
      </c>
      <c r="I863" t="s">
        <v>800</v>
      </c>
      <c r="J863">
        <v>6.2</v>
      </c>
      <c r="K863">
        <v>22.7</v>
      </c>
      <c r="L863" t="s">
        <v>29</v>
      </c>
      <c r="M863" t="s">
        <v>29</v>
      </c>
      <c r="N863" t="s">
        <v>29</v>
      </c>
      <c r="O863" t="s">
        <v>29</v>
      </c>
      <c r="P863" t="s">
        <v>29</v>
      </c>
      <c r="Q863" t="s">
        <v>29</v>
      </c>
      <c r="R863">
        <v>116</v>
      </c>
      <c r="S863">
        <v>26.65</v>
      </c>
      <c r="T863">
        <v>4.3</v>
      </c>
      <c r="U863">
        <v>5</v>
      </c>
      <c r="V863" t="s">
        <v>38</v>
      </c>
    </row>
    <row r="864" spans="1:22" x14ac:dyDescent="0.35">
      <c r="A864" s="1">
        <v>45295</v>
      </c>
      <c r="B864" t="s">
        <v>150</v>
      </c>
      <c r="C864" s="2">
        <v>0.8991203703703704</v>
      </c>
      <c r="D864" t="s">
        <v>1963</v>
      </c>
      <c r="E864" t="s">
        <v>41</v>
      </c>
      <c r="F864" t="s">
        <v>1964</v>
      </c>
      <c r="G864" t="s">
        <v>50</v>
      </c>
      <c r="H864" t="s">
        <v>82</v>
      </c>
      <c r="I864" t="s">
        <v>365</v>
      </c>
      <c r="J864">
        <v>9</v>
      </c>
      <c r="K864">
        <v>42.6</v>
      </c>
      <c r="L864" t="s">
        <v>29</v>
      </c>
      <c r="M864" t="s">
        <v>29</v>
      </c>
      <c r="N864" t="s">
        <v>29</v>
      </c>
      <c r="O864" t="s">
        <v>29</v>
      </c>
      <c r="P864" t="s">
        <v>29</v>
      </c>
      <c r="Q864" t="s">
        <v>29</v>
      </c>
      <c r="R864">
        <v>822</v>
      </c>
      <c r="S864">
        <v>43.07</v>
      </c>
      <c r="T864">
        <v>4.5999999999999996</v>
      </c>
      <c r="U864">
        <v>4.5999999999999996</v>
      </c>
      <c r="V864" t="s">
        <v>84</v>
      </c>
    </row>
    <row r="865" spans="1:22" x14ac:dyDescent="0.35">
      <c r="A865" s="1">
        <v>45470</v>
      </c>
      <c r="B865" t="s">
        <v>64</v>
      </c>
      <c r="C865" s="2">
        <v>0.46943287037037035</v>
      </c>
      <c r="D865" t="s">
        <v>1965</v>
      </c>
      <c r="E865" t="s">
        <v>32</v>
      </c>
      <c r="F865" t="s">
        <v>1966</v>
      </c>
      <c r="G865" t="s">
        <v>56</v>
      </c>
      <c r="H865" t="s">
        <v>498</v>
      </c>
      <c r="I865" t="s">
        <v>232</v>
      </c>
      <c r="J865">
        <v>5.7</v>
      </c>
      <c r="K865">
        <v>26.3</v>
      </c>
      <c r="L865" t="s">
        <v>29</v>
      </c>
      <c r="M865" t="s">
        <v>29</v>
      </c>
      <c r="N865" t="s">
        <v>29</v>
      </c>
      <c r="O865" t="s">
        <v>29</v>
      </c>
      <c r="P865">
        <v>1</v>
      </c>
      <c r="Q865" t="s">
        <v>83</v>
      </c>
      <c r="R865">
        <v>859</v>
      </c>
      <c r="S865">
        <v>10.75</v>
      </c>
      <c r="T865" t="s">
        <v>29</v>
      </c>
      <c r="U865" t="s">
        <v>29</v>
      </c>
      <c r="V865" t="s">
        <v>107</v>
      </c>
    </row>
    <row r="866" spans="1:22" x14ac:dyDescent="0.35">
      <c r="A866" s="1">
        <v>45423</v>
      </c>
      <c r="B866" t="s">
        <v>122</v>
      </c>
      <c r="C866" s="2">
        <v>0.82891203703703709</v>
      </c>
      <c r="D866" t="s">
        <v>1967</v>
      </c>
      <c r="E866" t="s">
        <v>24</v>
      </c>
      <c r="F866" t="s">
        <v>1968</v>
      </c>
      <c r="G866" t="s">
        <v>43</v>
      </c>
      <c r="H866" t="s">
        <v>172</v>
      </c>
      <c r="I866" t="s">
        <v>808</v>
      </c>
      <c r="J866" t="s">
        <v>29</v>
      </c>
      <c r="K866" t="s">
        <v>29</v>
      </c>
      <c r="L866" t="s">
        <v>29</v>
      </c>
      <c r="M866" t="s">
        <v>29</v>
      </c>
      <c r="N866" t="s">
        <v>29</v>
      </c>
      <c r="O866" t="s">
        <v>29</v>
      </c>
      <c r="P866" t="s">
        <v>29</v>
      </c>
      <c r="Q866" t="s">
        <v>29</v>
      </c>
      <c r="R866" t="s">
        <v>29</v>
      </c>
      <c r="S866" t="s">
        <v>29</v>
      </c>
      <c r="T866" t="s">
        <v>29</v>
      </c>
      <c r="U866" t="s">
        <v>29</v>
      </c>
      <c r="V866" t="s">
        <v>29</v>
      </c>
    </row>
    <row r="867" spans="1:22" x14ac:dyDescent="0.35">
      <c r="A867" s="1">
        <v>45383</v>
      </c>
      <c r="B867" t="s">
        <v>154</v>
      </c>
      <c r="C867" s="2">
        <v>0.74943287037037032</v>
      </c>
      <c r="D867" t="s">
        <v>1969</v>
      </c>
      <c r="E867" t="s">
        <v>93</v>
      </c>
      <c r="F867" t="s">
        <v>1970</v>
      </c>
      <c r="G867" t="s">
        <v>43</v>
      </c>
      <c r="H867" t="s">
        <v>68</v>
      </c>
      <c r="I867" t="s">
        <v>27</v>
      </c>
      <c r="J867">
        <v>9.8000000000000007</v>
      </c>
      <c r="K867" t="s">
        <v>29</v>
      </c>
      <c r="L867" t="s">
        <v>29</v>
      </c>
      <c r="M867" t="s">
        <v>29</v>
      </c>
      <c r="N867">
        <v>1</v>
      </c>
      <c r="O867" t="s">
        <v>169</v>
      </c>
      <c r="P867" t="s">
        <v>29</v>
      </c>
      <c r="Q867" t="s">
        <v>29</v>
      </c>
      <c r="R867" t="s">
        <v>29</v>
      </c>
      <c r="S867" t="s">
        <v>29</v>
      </c>
      <c r="T867" t="s">
        <v>29</v>
      </c>
      <c r="U867" t="s">
        <v>29</v>
      </c>
      <c r="V867" t="s">
        <v>29</v>
      </c>
    </row>
    <row r="868" spans="1:22" x14ac:dyDescent="0.35">
      <c r="A868" s="1">
        <v>45370</v>
      </c>
      <c r="B868" t="s">
        <v>22</v>
      </c>
      <c r="C868" s="2">
        <v>0.45215277777777779</v>
      </c>
      <c r="D868" t="s">
        <v>1971</v>
      </c>
      <c r="E868" t="s">
        <v>93</v>
      </c>
      <c r="F868" t="s">
        <v>1972</v>
      </c>
      <c r="G868" t="s">
        <v>43</v>
      </c>
      <c r="H868" t="s">
        <v>346</v>
      </c>
      <c r="I868" t="s">
        <v>449</v>
      </c>
      <c r="J868">
        <v>7.9</v>
      </c>
      <c r="K868" t="s">
        <v>29</v>
      </c>
      <c r="L868" t="s">
        <v>29</v>
      </c>
      <c r="M868" t="s">
        <v>29</v>
      </c>
      <c r="N868">
        <v>1</v>
      </c>
      <c r="O868" t="s">
        <v>115</v>
      </c>
      <c r="P868" t="s">
        <v>29</v>
      </c>
      <c r="Q868" t="s">
        <v>29</v>
      </c>
      <c r="R868" t="s">
        <v>29</v>
      </c>
      <c r="S868" t="s">
        <v>29</v>
      </c>
      <c r="T868" t="s">
        <v>29</v>
      </c>
      <c r="U868" t="s">
        <v>29</v>
      </c>
      <c r="V868" t="s">
        <v>29</v>
      </c>
    </row>
    <row r="869" spans="1:22" x14ac:dyDescent="0.35">
      <c r="A869" s="1">
        <v>45350</v>
      </c>
      <c r="B869" t="s">
        <v>59</v>
      </c>
      <c r="C869" s="2">
        <v>0.73130787037037037</v>
      </c>
      <c r="D869" t="s">
        <v>1973</v>
      </c>
      <c r="E869" t="s">
        <v>93</v>
      </c>
      <c r="F869" t="s">
        <v>1974</v>
      </c>
      <c r="G869" t="s">
        <v>50</v>
      </c>
      <c r="H869" t="s">
        <v>332</v>
      </c>
      <c r="I869" t="s">
        <v>221</v>
      </c>
      <c r="J869">
        <v>11.7</v>
      </c>
      <c r="K869" t="s">
        <v>29</v>
      </c>
      <c r="L869" t="s">
        <v>29</v>
      </c>
      <c r="M869" t="s">
        <v>29</v>
      </c>
      <c r="N869">
        <v>1</v>
      </c>
      <c r="O869" t="s">
        <v>115</v>
      </c>
      <c r="P869" t="s">
        <v>29</v>
      </c>
      <c r="Q869" t="s">
        <v>29</v>
      </c>
      <c r="R869" t="s">
        <v>29</v>
      </c>
      <c r="S869" t="s">
        <v>29</v>
      </c>
      <c r="T869" t="s">
        <v>29</v>
      </c>
      <c r="U869" t="s">
        <v>29</v>
      </c>
      <c r="V869" t="s">
        <v>29</v>
      </c>
    </row>
    <row r="870" spans="1:22" x14ac:dyDescent="0.35">
      <c r="A870" s="1">
        <v>45551</v>
      </c>
      <c r="B870" t="s">
        <v>53</v>
      </c>
      <c r="C870" s="2">
        <v>0.30456018518518518</v>
      </c>
      <c r="D870" t="s">
        <v>1975</v>
      </c>
      <c r="E870" t="s">
        <v>41</v>
      </c>
      <c r="F870" t="s">
        <v>1976</v>
      </c>
      <c r="G870" t="s">
        <v>67</v>
      </c>
      <c r="H870" t="s">
        <v>140</v>
      </c>
      <c r="I870" t="s">
        <v>180</v>
      </c>
      <c r="J870">
        <v>7.6</v>
      </c>
      <c r="K870">
        <v>21.5</v>
      </c>
      <c r="L870" t="s">
        <v>29</v>
      </c>
      <c r="M870" t="s">
        <v>29</v>
      </c>
      <c r="N870" t="s">
        <v>29</v>
      </c>
      <c r="O870" t="s">
        <v>29</v>
      </c>
      <c r="P870" t="s">
        <v>29</v>
      </c>
      <c r="Q870" t="s">
        <v>29</v>
      </c>
      <c r="R870">
        <v>1149</v>
      </c>
      <c r="S870">
        <v>19.57</v>
      </c>
      <c r="T870">
        <v>4.4000000000000004</v>
      </c>
      <c r="U870">
        <v>4.3</v>
      </c>
      <c r="V870" t="s">
        <v>84</v>
      </c>
    </row>
    <row r="871" spans="1:22" x14ac:dyDescent="0.35">
      <c r="A871" s="1">
        <v>45428</v>
      </c>
      <c r="B871" t="s">
        <v>122</v>
      </c>
      <c r="C871" s="2">
        <v>0.52274305555555556</v>
      </c>
      <c r="D871" t="s">
        <v>1977</v>
      </c>
      <c r="E871" t="s">
        <v>41</v>
      </c>
      <c r="F871" t="s">
        <v>1978</v>
      </c>
      <c r="G871" t="s">
        <v>43</v>
      </c>
      <c r="H871" t="s">
        <v>111</v>
      </c>
      <c r="I871" t="s">
        <v>87</v>
      </c>
      <c r="J871">
        <v>5.8</v>
      </c>
      <c r="K871">
        <v>23</v>
      </c>
      <c r="L871" t="s">
        <v>29</v>
      </c>
      <c r="M871" t="s">
        <v>29</v>
      </c>
      <c r="N871" t="s">
        <v>29</v>
      </c>
      <c r="O871" t="s">
        <v>29</v>
      </c>
      <c r="P871" t="s">
        <v>29</v>
      </c>
      <c r="Q871" t="s">
        <v>29</v>
      </c>
      <c r="R871">
        <v>213</v>
      </c>
      <c r="S871">
        <v>42.06</v>
      </c>
      <c r="T871">
        <v>4.7</v>
      </c>
      <c r="U871">
        <v>4.5999999999999996</v>
      </c>
      <c r="V871" t="s">
        <v>38</v>
      </c>
    </row>
    <row r="872" spans="1:22" x14ac:dyDescent="0.35">
      <c r="A872" s="1">
        <v>45516</v>
      </c>
      <c r="B872" t="s">
        <v>39</v>
      </c>
      <c r="C872" s="2">
        <v>0.77234953703703701</v>
      </c>
      <c r="D872" t="s">
        <v>1979</v>
      </c>
      <c r="E872" t="s">
        <v>41</v>
      </c>
      <c r="F872" t="s">
        <v>1980</v>
      </c>
      <c r="G872" t="s">
        <v>43</v>
      </c>
      <c r="H872" t="s">
        <v>463</v>
      </c>
      <c r="I872" t="s">
        <v>296</v>
      </c>
      <c r="J872">
        <v>2.9</v>
      </c>
      <c r="K872">
        <v>28.8</v>
      </c>
      <c r="L872" t="s">
        <v>29</v>
      </c>
      <c r="M872" t="s">
        <v>29</v>
      </c>
      <c r="N872" t="s">
        <v>29</v>
      </c>
      <c r="O872" t="s">
        <v>29</v>
      </c>
      <c r="P872" t="s">
        <v>29</v>
      </c>
      <c r="Q872" t="s">
        <v>29</v>
      </c>
      <c r="R872">
        <v>135</v>
      </c>
      <c r="S872">
        <v>31.41</v>
      </c>
      <c r="T872">
        <v>4.2</v>
      </c>
      <c r="U872">
        <v>3.8</v>
      </c>
      <c r="V872" t="s">
        <v>38</v>
      </c>
    </row>
    <row r="873" spans="1:22" x14ac:dyDescent="0.35">
      <c r="A873" s="1">
        <v>45609</v>
      </c>
      <c r="B873" t="s">
        <v>30</v>
      </c>
      <c r="C873" s="2">
        <v>0.53921296296296295</v>
      </c>
      <c r="D873" t="s">
        <v>1981</v>
      </c>
      <c r="E873" t="s">
        <v>41</v>
      </c>
      <c r="F873" t="s">
        <v>1982</v>
      </c>
      <c r="G873" t="s">
        <v>26</v>
      </c>
      <c r="H873" t="s">
        <v>103</v>
      </c>
      <c r="I873" t="s">
        <v>263</v>
      </c>
      <c r="J873">
        <v>6.7</v>
      </c>
      <c r="K873">
        <v>36.9</v>
      </c>
      <c r="L873" t="s">
        <v>29</v>
      </c>
      <c r="M873" t="s">
        <v>29</v>
      </c>
      <c r="N873" t="s">
        <v>29</v>
      </c>
      <c r="O873" t="s">
        <v>29</v>
      </c>
      <c r="P873" t="s">
        <v>29</v>
      </c>
      <c r="Q873" t="s">
        <v>29</v>
      </c>
      <c r="R873">
        <v>606</v>
      </c>
      <c r="S873">
        <v>23.03</v>
      </c>
      <c r="T873">
        <v>4.9000000000000004</v>
      </c>
      <c r="U873">
        <v>4.5999999999999996</v>
      </c>
      <c r="V873" t="s">
        <v>84</v>
      </c>
    </row>
    <row r="874" spans="1:22" x14ac:dyDescent="0.35">
      <c r="A874" s="1">
        <v>45605</v>
      </c>
      <c r="B874" t="s">
        <v>30</v>
      </c>
      <c r="C874" s="2">
        <v>0.76395833333333329</v>
      </c>
      <c r="D874" t="s">
        <v>1983</v>
      </c>
      <c r="E874" t="s">
        <v>41</v>
      </c>
      <c r="F874" t="s">
        <v>1984</v>
      </c>
      <c r="G874" t="s">
        <v>67</v>
      </c>
      <c r="H874" t="s">
        <v>210</v>
      </c>
      <c r="I874" t="s">
        <v>197</v>
      </c>
      <c r="J874">
        <v>10.8</v>
      </c>
      <c r="K874">
        <v>21.5</v>
      </c>
      <c r="L874" t="s">
        <v>29</v>
      </c>
      <c r="M874" t="s">
        <v>29</v>
      </c>
      <c r="N874" t="s">
        <v>29</v>
      </c>
      <c r="O874" t="s">
        <v>29</v>
      </c>
      <c r="P874" t="s">
        <v>29</v>
      </c>
      <c r="Q874" t="s">
        <v>29</v>
      </c>
      <c r="R874">
        <v>1167</v>
      </c>
      <c r="S874">
        <v>19.91</v>
      </c>
      <c r="T874">
        <v>4.2</v>
      </c>
      <c r="U874">
        <v>5</v>
      </c>
      <c r="V874" t="s">
        <v>84</v>
      </c>
    </row>
    <row r="875" spans="1:22" x14ac:dyDescent="0.35">
      <c r="A875" s="1">
        <v>45439</v>
      </c>
      <c r="B875" t="s">
        <v>122</v>
      </c>
      <c r="C875" s="2">
        <v>7.8668981481481479E-2</v>
      </c>
      <c r="D875" t="s">
        <v>1985</v>
      </c>
      <c r="E875" t="s">
        <v>41</v>
      </c>
      <c r="F875" t="s">
        <v>1986</v>
      </c>
      <c r="G875" t="s">
        <v>50</v>
      </c>
      <c r="H875" t="s">
        <v>739</v>
      </c>
      <c r="I875" t="s">
        <v>133</v>
      </c>
      <c r="J875">
        <v>8.6999999999999993</v>
      </c>
      <c r="K875">
        <v>19.8</v>
      </c>
      <c r="L875" t="s">
        <v>29</v>
      </c>
      <c r="M875" t="s">
        <v>29</v>
      </c>
      <c r="N875" t="s">
        <v>29</v>
      </c>
      <c r="O875" t="s">
        <v>29</v>
      </c>
      <c r="P875" t="s">
        <v>29</v>
      </c>
      <c r="Q875" t="s">
        <v>29</v>
      </c>
      <c r="R875">
        <v>341</v>
      </c>
      <c r="S875">
        <v>34.89</v>
      </c>
      <c r="T875">
        <v>4.5999999999999996</v>
      </c>
      <c r="U875">
        <v>4.9000000000000004</v>
      </c>
      <c r="V875" t="s">
        <v>107</v>
      </c>
    </row>
    <row r="876" spans="1:22" x14ac:dyDescent="0.35">
      <c r="A876" s="1">
        <v>45607</v>
      </c>
      <c r="B876" t="s">
        <v>30</v>
      </c>
      <c r="C876" s="2">
        <v>0.72976851851851854</v>
      </c>
      <c r="D876" t="s">
        <v>1987</v>
      </c>
      <c r="E876" t="s">
        <v>41</v>
      </c>
      <c r="F876" t="s">
        <v>1988</v>
      </c>
      <c r="G876" t="s">
        <v>56</v>
      </c>
      <c r="H876" t="s">
        <v>137</v>
      </c>
      <c r="I876" t="s">
        <v>565</v>
      </c>
      <c r="J876">
        <v>8.1</v>
      </c>
      <c r="K876">
        <v>20.2</v>
      </c>
      <c r="L876" t="s">
        <v>29</v>
      </c>
      <c r="M876" t="s">
        <v>29</v>
      </c>
      <c r="N876" t="s">
        <v>29</v>
      </c>
      <c r="O876" t="s">
        <v>29</v>
      </c>
      <c r="P876" t="s">
        <v>29</v>
      </c>
      <c r="Q876" t="s">
        <v>29</v>
      </c>
      <c r="R876">
        <v>693</v>
      </c>
      <c r="S876">
        <v>49.23</v>
      </c>
      <c r="T876">
        <v>4.5</v>
      </c>
      <c r="U876">
        <v>4.7</v>
      </c>
      <c r="V876" t="s">
        <v>149</v>
      </c>
    </row>
    <row r="877" spans="1:22" x14ac:dyDescent="0.35">
      <c r="A877" s="1">
        <v>45317</v>
      </c>
      <c r="B877" t="s">
        <v>150</v>
      </c>
      <c r="C877" s="2">
        <v>0.31518518518518518</v>
      </c>
      <c r="D877" t="s">
        <v>1989</v>
      </c>
      <c r="E877" t="s">
        <v>41</v>
      </c>
      <c r="F877" t="s">
        <v>1990</v>
      </c>
      <c r="G877" t="s">
        <v>26</v>
      </c>
      <c r="H877" t="s">
        <v>129</v>
      </c>
      <c r="I877" t="s">
        <v>45</v>
      </c>
      <c r="J877">
        <v>12.1</v>
      </c>
      <c r="K877">
        <v>15.2</v>
      </c>
      <c r="L877" t="s">
        <v>29</v>
      </c>
      <c r="M877" t="s">
        <v>29</v>
      </c>
      <c r="N877" t="s">
        <v>29</v>
      </c>
      <c r="O877" t="s">
        <v>29</v>
      </c>
      <c r="P877" t="s">
        <v>29</v>
      </c>
      <c r="Q877" t="s">
        <v>29</v>
      </c>
      <c r="R877">
        <v>327</v>
      </c>
      <c r="S877">
        <v>3.18</v>
      </c>
      <c r="T877">
        <v>4.3</v>
      </c>
      <c r="U877">
        <v>4.5999999999999996</v>
      </c>
      <c r="V877" t="s">
        <v>38</v>
      </c>
    </row>
    <row r="878" spans="1:22" x14ac:dyDescent="0.35">
      <c r="A878" s="1">
        <v>45535</v>
      </c>
      <c r="B878" t="s">
        <v>39</v>
      </c>
      <c r="C878" s="2">
        <v>0.69642361111111106</v>
      </c>
      <c r="D878" t="s">
        <v>1991</v>
      </c>
      <c r="E878" t="s">
        <v>41</v>
      </c>
      <c r="F878" t="s">
        <v>1992</v>
      </c>
      <c r="G878" t="s">
        <v>43</v>
      </c>
      <c r="H878" t="s">
        <v>87</v>
      </c>
      <c r="I878" t="s">
        <v>398</v>
      </c>
      <c r="J878">
        <v>12.2</v>
      </c>
      <c r="K878">
        <v>25</v>
      </c>
      <c r="L878" t="s">
        <v>29</v>
      </c>
      <c r="M878" t="s">
        <v>29</v>
      </c>
      <c r="N878" t="s">
        <v>29</v>
      </c>
      <c r="O878" t="s">
        <v>29</v>
      </c>
      <c r="P878" t="s">
        <v>29</v>
      </c>
      <c r="Q878" t="s">
        <v>29</v>
      </c>
      <c r="R878">
        <v>268</v>
      </c>
      <c r="S878">
        <v>12.76</v>
      </c>
      <c r="T878">
        <v>4.3</v>
      </c>
      <c r="U878">
        <v>4.5</v>
      </c>
      <c r="V878" t="s">
        <v>38</v>
      </c>
    </row>
    <row r="879" spans="1:22" x14ac:dyDescent="0.35">
      <c r="A879" s="1">
        <v>45605</v>
      </c>
      <c r="B879" t="s">
        <v>30</v>
      </c>
      <c r="C879" s="2">
        <v>0.5832060185185185</v>
      </c>
      <c r="D879" t="s">
        <v>1993</v>
      </c>
      <c r="E879" t="s">
        <v>41</v>
      </c>
      <c r="F879" t="s">
        <v>1994</v>
      </c>
      <c r="G879" t="s">
        <v>67</v>
      </c>
      <c r="H879" t="s">
        <v>520</v>
      </c>
      <c r="I879" t="s">
        <v>290</v>
      </c>
      <c r="J879">
        <v>13.9</v>
      </c>
      <c r="K879">
        <v>31.8</v>
      </c>
      <c r="L879" t="s">
        <v>29</v>
      </c>
      <c r="M879" t="s">
        <v>29</v>
      </c>
      <c r="N879" t="s">
        <v>29</v>
      </c>
      <c r="O879" t="s">
        <v>29</v>
      </c>
      <c r="P879" t="s">
        <v>29</v>
      </c>
      <c r="Q879" t="s">
        <v>29</v>
      </c>
      <c r="R879">
        <v>187</v>
      </c>
      <c r="S879">
        <v>20.3</v>
      </c>
      <c r="T879">
        <v>4.3</v>
      </c>
      <c r="U879">
        <v>4.2</v>
      </c>
      <c r="V879" t="s">
        <v>84</v>
      </c>
    </row>
    <row r="880" spans="1:22" x14ac:dyDescent="0.35">
      <c r="A880" s="1">
        <v>45533</v>
      </c>
      <c r="B880" t="s">
        <v>39</v>
      </c>
      <c r="C880" s="2">
        <v>0.69645833333333329</v>
      </c>
      <c r="D880" t="s">
        <v>1995</v>
      </c>
      <c r="E880" t="s">
        <v>32</v>
      </c>
      <c r="F880" t="s">
        <v>1996</v>
      </c>
      <c r="G880" t="s">
        <v>43</v>
      </c>
      <c r="H880" t="s">
        <v>262</v>
      </c>
      <c r="I880" t="s">
        <v>125</v>
      </c>
      <c r="J880">
        <v>4.8</v>
      </c>
      <c r="K880">
        <v>28</v>
      </c>
      <c r="L880" t="s">
        <v>29</v>
      </c>
      <c r="M880" t="s">
        <v>29</v>
      </c>
      <c r="N880" t="s">
        <v>29</v>
      </c>
      <c r="O880" t="s">
        <v>29</v>
      </c>
      <c r="P880">
        <v>1</v>
      </c>
      <c r="Q880" t="s">
        <v>83</v>
      </c>
      <c r="R880">
        <v>112</v>
      </c>
      <c r="S880">
        <v>4.5999999999999996</v>
      </c>
      <c r="T880" t="s">
        <v>29</v>
      </c>
      <c r="U880" t="s">
        <v>29</v>
      </c>
      <c r="V880" t="s">
        <v>38</v>
      </c>
    </row>
    <row r="881" spans="1:22" x14ac:dyDescent="0.35">
      <c r="A881" s="1">
        <v>45581</v>
      </c>
      <c r="B881" t="s">
        <v>47</v>
      </c>
      <c r="C881" s="2">
        <v>0.6793865740740741</v>
      </c>
      <c r="D881" t="s">
        <v>1997</v>
      </c>
      <c r="E881" t="s">
        <v>41</v>
      </c>
      <c r="F881" t="s">
        <v>1998</v>
      </c>
      <c r="G881" t="s">
        <v>67</v>
      </c>
      <c r="H881" t="s">
        <v>808</v>
      </c>
      <c r="I881" t="s">
        <v>343</v>
      </c>
      <c r="J881">
        <v>2.2999999999999998</v>
      </c>
      <c r="K881">
        <v>15.3</v>
      </c>
      <c r="L881" t="s">
        <v>29</v>
      </c>
      <c r="M881" t="s">
        <v>29</v>
      </c>
      <c r="N881" t="s">
        <v>29</v>
      </c>
      <c r="O881" t="s">
        <v>29</v>
      </c>
      <c r="P881" t="s">
        <v>29</v>
      </c>
      <c r="Q881" t="s">
        <v>29</v>
      </c>
      <c r="R881">
        <v>536</v>
      </c>
      <c r="S881">
        <v>23.28</v>
      </c>
      <c r="T881">
        <v>3.3</v>
      </c>
      <c r="U881">
        <v>5</v>
      </c>
      <c r="V881" t="s">
        <v>149</v>
      </c>
    </row>
    <row r="882" spans="1:22" x14ac:dyDescent="0.35">
      <c r="A882" s="1">
        <v>45557</v>
      </c>
      <c r="B882" t="s">
        <v>53</v>
      </c>
      <c r="C882" s="2">
        <v>0.74175925925925923</v>
      </c>
      <c r="D882" t="s">
        <v>1999</v>
      </c>
      <c r="E882" t="s">
        <v>93</v>
      </c>
      <c r="F882" t="s">
        <v>2000</v>
      </c>
      <c r="G882" t="s">
        <v>56</v>
      </c>
      <c r="H882" t="s">
        <v>77</v>
      </c>
      <c r="I882" t="s">
        <v>277</v>
      </c>
      <c r="J882">
        <v>10</v>
      </c>
      <c r="K882" t="s">
        <v>29</v>
      </c>
      <c r="L882" t="s">
        <v>29</v>
      </c>
      <c r="M882" t="s">
        <v>29</v>
      </c>
      <c r="N882">
        <v>1</v>
      </c>
      <c r="O882" t="s">
        <v>169</v>
      </c>
      <c r="P882" t="s">
        <v>29</v>
      </c>
      <c r="Q882" t="s">
        <v>29</v>
      </c>
      <c r="R882" t="s">
        <v>29</v>
      </c>
      <c r="S882" t="s">
        <v>29</v>
      </c>
      <c r="T882" t="s">
        <v>29</v>
      </c>
      <c r="U882" t="s">
        <v>29</v>
      </c>
      <c r="V882" t="s">
        <v>29</v>
      </c>
    </row>
    <row r="883" spans="1:22" x14ac:dyDescent="0.35">
      <c r="A883" s="1">
        <v>45525</v>
      </c>
      <c r="B883" t="s">
        <v>39</v>
      </c>
      <c r="C883" s="2">
        <v>0.7737384259259259</v>
      </c>
      <c r="D883" t="s">
        <v>2001</v>
      </c>
      <c r="E883" t="s">
        <v>41</v>
      </c>
      <c r="F883" t="s">
        <v>2002</v>
      </c>
      <c r="G883" t="s">
        <v>67</v>
      </c>
      <c r="H883" t="s">
        <v>189</v>
      </c>
      <c r="I883" t="s">
        <v>36</v>
      </c>
      <c r="J883">
        <v>2.2000000000000002</v>
      </c>
      <c r="K883">
        <v>16.5</v>
      </c>
      <c r="L883" t="s">
        <v>29</v>
      </c>
      <c r="M883" t="s">
        <v>29</v>
      </c>
      <c r="N883" t="s">
        <v>29</v>
      </c>
      <c r="O883" t="s">
        <v>29</v>
      </c>
      <c r="P883" t="s">
        <v>29</v>
      </c>
      <c r="Q883" t="s">
        <v>29</v>
      </c>
      <c r="R883">
        <v>820</v>
      </c>
      <c r="S883">
        <v>36.229999999999997</v>
      </c>
      <c r="T883">
        <v>3.7</v>
      </c>
      <c r="U883">
        <v>4.5999999999999996</v>
      </c>
      <c r="V883" t="s">
        <v>84</v>
      </c>
    </row>
    <row r="884" spans="1:22" x14ac:dyDescent="0.35">
      <c r="A884" s="1">
        <v>45518</v>
      </c>
      <c r="B884" t="s">
        <v>39</v>
      </c>
      <c r="C884" s="2">
        <v>0.43846064814814817</v>
      </c>
      <c r="D884" t="s">
        <v>2003</v>
      </c>
      <c r="E884" t="s">
        <v>41</v>
      </c>
      <c r="F884" t="s">
        <v>2004</v>
      </c>
      <c r="G884" t="s">
        <v>67</v>
      </c>
      <c r="H884" t="s">
        <v>51</v>
      </c>
      <c r="I884" t="s">
        <v>73</v>
      </c>
      <c r="J884">
        <v>10.3</v>
      </c>
      <c r="K884">
        <v>16.899999999999999</v>
      </c>
      <c r="L884" t="s">
        <v>29</v>
      </c>
      <c r="M884" t="s">
        <v>29</v>
      </c>
      <c r="N884" t="s">
        <v>29</v>
      </c>
      <c r="O884" t="s">
        <v>29</v>
      </c>
      <c r="P884" t="s">
        <v>29</v>
      </c>
      <c r="Q884" t="s">
        <v>29</v>
      </c>
      <c r="R884">
        <v>191</v>
      </c>
      <c r="S884">
        <v>24.2</v>
      </c>
      <c r="T884">
        <v>4.5999999999999996</v>
      </c>
      <c r="U884">
        <v>4.7</v>
      </c>
      <c r="V884" t="s">
        <v>149</v>
      </c>
    </row>
    <row r="885" spans="1:22" x14ac:dyDescent="0.35">
      <c r="A885" s="1">
        <v>45527</v>
      </c>
      <c r="B885" t="s">
        <v>39</v>
      </c>
      <c r="C885" s="2">
        <v>0.60118055555555561</v>
      </c>
      <c r="D885" t="s">
        <v>2005</v>
      </c>
      <c r="E885" t="s">
        <v>41</v>
      </c>
      <c r="F885" t="s">
        <v>2006</v>
      </c>
      <c r="G885" t="s">
        <v>56</v>
      </c>
      <c r="H885" t="s">
        <v>360</v>
      </c>
      <c r="I885" t="s">
        <v>82</v>
      </c>
      <c r="J885">
        <v>13</v>
      </c>
      <c r="K885">
        <v>16.2</v>
      </c>
      <c r="L885" t="s">
        <v>29</v>
      </c>
      <c r="M885" t="s">
        <v>29</v>
      </c>
      <c r="N885" t="s">
        <v>29</v>
      </c>
      <c r="O885" t="s">
        <v>29</v>
      </c>
      <c r="P885" t="s">
        <v>29</v>
      </c>
      <c r="Q885" t="s">
        <v>29</v>
      </c>
      <c r="R885">
        <v>329</v>
      </c>
      <c r="S885">
        <v>8.2799999999999994</v>
      </c>
      <c r="T885">
        <v>4.5</v>
      </c>
      <c r="U885">
        <v>5</v>
      </c>
      <c r="V885" t="s">
        <v>46</v>
      </c>
    </row>
    <row r="886" spans="1:22" x14ac:dyDescent="0.35">
      <c r="A886" s="1">
        <v>45473</v>
      </c>
      <c r="B886" t="s">
        <v>64</v>
      </c>
      <c r="C886" s="2">
        <v>0.87089120370370365</v>
      </c>
      <c r="D886" t="s">
        <v>2007</v>
      </c>
      <c r="E886" t="s">
        <v>41</v>
      </c>
      <c r="F886" t="s">
        <v>2008</v>
      </c>
      <c r="G886" t="s">
        <v>26</v>
      </c>
      <c r="H886" t="s">
        <v>255</v>
      </c>
      <c r="I886" t="s">
        <v>106</v>
      </c>
      <c r="J886">
        <v>8.9</v>
      </c>
      <c r="K886">
        <v>30.1</v>
      </c>
      <c r="L886" t="s">
        <v>29</v>
      </c>
      <c r="M886" t="s">
        <v>29</v>
      </c>
      <c r="N886" t="s">
        <v>29</v>
      </c>
      <c r="O886" t="s">
        <v>29</v>
      </c>
      <c r="P886" t="s">
        <v>29</v>
      </c>
      <c r="Q886" t="s">
        <v>29</v>
      </c>
      <c r="R886">
        <v>456</v>
      </c>
      <c r="S886">
        <v>29.75</v>
      </c>
      <c r="T886">
        <v>3.7</v>
      </c>
      <c r="U886">
        <v>4.2</v>
      </c>
      <c r="V886" t="s">
        <v>38</v>
      </c>
    </row>
    <row r="887" spans="1:22" x14ac:dyDescent="0.35">
      <c r="A887" s="1">
        <v>45584</v>
      </c>
      <c r="B887" t="s">
        <v>47</v>
      </c>
      <c r="C887" s="2">
        <v>0.47141203703703705</v>
      </c>
      <c r="D887" t="s">
        <v>2009</v>
      </c>
      <c r="E887" t="s">
        <v>41</v>
      </c>
      <c r="F887" t="s">
        <v>2010</v>
      </c>
      <c r="G887" t="s">
        <v>34</v>
      </c>
      <c r="H887" t="s">
        <v>36</v>
      </c>
      <c r="I887" t="s">
        <v>312</v>
      </c>
      <c r="J887">
        <v>6.1</v>
      </c>
      <c r="K887">
        <v>25.5</v>
      </c>
      <c r="L887" t="s">
        <v>29</v>
      </c>
      <c r="M887" t="s">
        <v>29</v>
      </c>
      <c r="N887" t="s">
        <v>29</v>
      </c>
      <c r="O887" t="s">
        <v>29</v>
      </c>
      <c r="P887" t="s">
        <v>29</v>
      </c>
      <c r="Q887" t="s">
        <v>29</v>
      </c>
      <c r="R887">
        <v>137</v>
      </c>
      <c r="S887">
        <v>43.55</v>
      </c>
      <c r="T887">
        <v>4.3</v>
      </c>
      <c r="U887">
        <v>4.9000000000000004</v>
      </c>
      <c r="V887" t="s">
        <v>38</v>
      </c>
    </row>
    <row r="888" spans="1:22" x14ac:dyDescent="0.35">
      <c r="A888" s="1">
        <v>45508</v>
      </c>
      <c r="B888" t="s">
        <v>39</v>
      </c>
      <c r="C888" s="2">
        <v>0.74940972222222224</v>
      </c>
      <c r="D888" t="s">
        <v>2011</v>
      </c>
      <c r="E888" t="s">
        <v>117</v>
      </c>
      <c r="F888" t="s">
        <v>2012</v>
      </c>
      <c r="G888" t="s">
        <v>50</v>
      </c>
      <c r="H888" t="s">
        <v>28</v>
      </c>
      <c r="I888" t="s">
        <v>255</v>
      </c>
      <c r="J888">
        <v>5.8</v>
      </c>
      <c r="K888" t="s">
        <v>29</v>
      </c>
      <c r="L888">
        <v>1</v>
      </c>
      <c r="M888" t="s">
        <v>121</v>
      </c>
      <c r="N888" t="s">
        <v>29</v>
      </c>
      <c r="O888" t="s">
        <v>29</v>
      </c>
      <c r="P888" t="s">
        <v>29</v>
      </c>
      <c r="Q888" t="s">
        <v>29</v>
      </c>
      <c r="R888" t="s">
        <v>29</v>
      </c>
      <c r="S888" t="s">
        <v>29</v>
      </c>
      <c r="T888" t="s">
        <v>29</v>
      </c>
      <c r="U888" t="s">
        <v>29</v>
      </c>
      <c r="V888" t="s">
        <v>29</v>
      </c>
    </row>
    <row r="889" spans="1:22" x14ac:dyDescent="0.35">
      <c r="A889" s="1">
        <v>45506</v>
      </c>
      <c r="B889" t="s">
        <v>39</v>
      </c>
      <c r="C889" s="2">
        <v>0.76325231481481481</v>
      </c>
      <c r="D889" t="s">
        <v>2013</v>
      </c>
      <c r="E889" t="s">
        <v>41</v>
      </c>
      <c r="F889" t="s">
        <v>2014</v>
      </c>
      <c r="G889" t="s">
        <v>67</v>
      </c>
      <c r="H889" t="s">
        <v>27</v>
      </c>
      <c r="I889" t="s">
        <v>214</v>
      </c>
      <c r="J889">
        <v>12.3</v>
      </c>
      <c r="K889">
        <v>27.2</v>
      </c>
      <c r="L889" t="s">
        <v>29</v>
      </c>
      <c r="M889" t="s">
        <v>29</v>
      </c>
      <c r="N889" t="s">
        <v>29</v>
      </c>
      <c r="O889" t="s">
        <v>29</v>
      </c>
      <c r="P889" t="s">
        <v>29</v>
      </c>
      <c r="Q889" t="s">
        <v>29</v>
      </c>
      <c r="R889">
        <v>959</v>
      </c>
      <c r="S889">
        <v>9.5399999999999991</v>
      </c>
      <c r="T889">
        <v>3.7</v>
      </c>
      <c r="U889">
        <v>3.3</v>
      </c>
      <c r="V889" t="s">
        <v>38</v>
      </c>
    </row>
    <row r="890" spans="1:22" x14ac:dyDescent="0.35">
      <c r="A890" s="1">
        <v>45496</v>
      </c>
      <c r="B890" t="s">
        <v>108</v>
      </c>
      <c r="C890" s="2">
        <v>0.54614583333333333</v>
      </c>
      <c r="D890" t="s">
        <v>2015</v>
      </c>
      <c r="E890" t="s">
        <v>117</v>
      </c>
      <c r="F890" t="s">
        <v>2016</v>
      </c>
      <c r="G890" t="s">
        <v>43</v>
      </c>
      <c r="H890" t="s">
        <v>808</v>
      </c>
      <c r="I890" t="s">
        <v>214</v>
      </c>
      <c r="J890">
        <v>11.3</v>
      </c>
      <c r="K890" t="s">
        <v>29</v>
      </c>
      <c r="L890">
        <v>1</v>
      </c>
      <c r="M890" t="s">
        <v>121</v>
      </c>
      <c r="N890" t="s">
        <v>29</v>
      </c>
      <c r="O890" t="s">
        <v>29</v>
      </c>
      <c r="P890" t="s">
        <v>29</v>
      </c>
      <c r="Q890" t="s">
        <v>29</v>
      </c>
      <c r="R890" t="s">
        <v>29</v>
      </c>
      <c r="S890" t="s">
        <v>29</v>
      </c>
      <c r="T890" t="s">
        <v>29</v>
      </c>
      <c r="U890" t="s">
        <v>29</v>
      </c>
      <c r="V890" t="s">
        <v>29</v>
      </c>
    </row>
    <row r="891" spans="1:22" x14ac:dyDescent="0.35">
      <c r="A891" s="1">
        <v>45299</v>
      </c>
      <c r="B891" t="s">
        <v>150</v>
      </c>
      <c r="C891" s="2">
        <v>0.91003472222222226</v>
      </c>
      <c r="D891" t="s">
        <v>2017</v>
      </c>
      <c r="E891" t="s">
        <v>24</v>
      </c>
      <c r="F891" t="s">
        <v>2018</v>
      </c>
      <c r="G891" t="s">
        <v>67</v>
      </c>
      <c r="H891" t="s">
        <v>449</v>
      </c>
      <c r="I891" t="s">
        <v>346</v>
      </c>
      <c r="J891" t="s">
        <v>29</v>
      </c>
      <c r="K891" t="s">
        <v>29</v>
      </c>
      <c r="L891" t="s">
        <v>29</v>
      </c>
      <c r="M891" t="s">
        <v>29</v>
      </c>
      <c r="N891" t="s">
        <v>29</v>
      </c>
      <c r="O891" t="s">
        <v>29</v>
      </c>
      <c r="P891" t="s">
        <v>29</v>
      </c>
      <c r="Q891" t="s">
        <v>29</v>
      </c>
      <c r="R891" t="s">
        <v>29</v>
      </c>
      <c r="S891" t="s">
        <v>29</v>
      </c>
      <c r="T891" t="s">
        <v>29</v>
      </c>
      <c r="U891" t="s">
        <v>29</v>
      </c>
      <c r="V891" t="s">
        <v>29</v>
      </c>
    </row>
    <row r="892" spans="1:22" x14ac:dyDescent="0.35">
      <c r="A892" s="1">
        <v>45567</v>
      </c>
      <c r="B892" t="s">
        <v>47</v>
      </c>
      <c r="C892" s="2">
        <v>0.3669675925925926</v>
      </c>
      <c r="D892" t="s">
        <v>2019</v>
      </c>
      <c r="E892" t="s">
        <v>41</v>
      </c>
      <c r="F892" t="s">
        <v>2020</v>
      </c>
      <c r="G892" t="s">
        <v>43</v>
      </c>
      <c r="H892" t="s">
        <v>210</v>
      </c>
      <c r="I892" t="s">
        <v>63</v>
      </c>
      <c r="J892">
        <v>7.1</v>
      </c>
      <c r="K892">
        <v>31.9</v>
      </c>
      <c r="L892" t="s">
        <v>29</v>
      </c>
      <c r="M892" t="s">
        <v>29</v>
      </c>
      <c r="N892" t="s">
        <v>29</v>
      </c>
      <c r="O892" t="s">
        <v>29</v>
      </c>
      <c r="P892" t="s">
        <v>29</v>
      </c>
      <c r="Q892" t="s">
        <v>29</v>
      </c>
      <c r="R892">
        <v>55</v>
      </c>
      <c r="S892">
        <v>15.62</v>
      </c>
      <c r="T892">
        <v>4.4000000000000004</v>
      </c>
      <c r="U892">
        <v>4.2</v>
      </c>
      <c r="V892" t="s">
        <v>84</v>
      </c>
    </row>
    <row r="893" spans="1:22" x14ac:dyDescent="0.35">
      <c r="A893" s="1">
        <v>45436</v>
      </c>
      <c r="B893" t="s">
        <v>122</v>
      </c>
      <c r="C893" s="2">
        <v>0.72840277777777773</v>
      </c>
      <c r="D893" t="s">
        <v>2021</v>
      </c>
      <c r="E893" t="s">
        <v>41</v>
      </c>
      <c r="F893" t="s">
        <v>2022</v>
      </c>
      <c r="G893" t="s">
        <v>67</v>
      </c>
      <c r="H893" t="s">
        <v>549</v>
      </c>
      <c r="I893" t="s">
        <v>235</v>
      </c>
      <c r="J893">
        <v>5.0999999999999996</v>
      </c>
      <c r="K893">
        <v>34.799999999999997</v>
      </c>
      <c r="L893" t="s">
        <v>29</v>
      </c>
      <c r="M893" t="s">
        <v>29</v>
      </c>
      <c r="N893" t="s">
        <v>29</v>
      </c>
      <c r="O893" t="s">
        <v>29</v>
      </c>
      <c r="P893" t="s">
        <v>29</v>
      </c>
      <c r="Q893" t="s">
        <v>29</v>
      </c>
      <c r="R893">
        <v>236</v>
      </c>
      <c r="S893">
        <v>9.18</v>
      </c>
      <c r="T893">
        <v>3.8</v>
      </c>
      <c r="U893">
        <v>4.9000000000000004</v>
      </c>
      <c r="V893" t="s">
        <v>38</v>
      </c>
    </row>
    <row r="894" spans="1:22" x14ac:dyDescent="0.35">
      <c r="A894" s="1">
        <v>45365</v>
      </c>
      <c r="B894" t="s">
        <v>22</v>
      </c>
      <c r="C894" s="2">
        <v>0.54851851851851852</v>
      </c>
      <c r="D894" t="s">
        <v>2023</v>
      </c>
      <c r="E894" t="s">
        <v>93</v>
      </c>
      <c r="F894" t="s">
        <v>2024</v>
      </c>
      <c r="G894" t="s">
        <v>67</v>
      </c>
      <c r="H894" t="s">
        <v>73</v>
      </c>
      <c r="I894" t="s">
        <v>52</v>
      </c>
      <c r="J894">
        <v>5.8</v>
      </c>
      <c r="K894" t="s">
        <v>29</v>
      </c>
      <c r="L894" t="s">
        <v>29</v>
      </c>
      <c r="M894" t="s">
        <v>29</v>
      </c>
      <c r="N894">
        <v>1</v>
      </c>
      <c r="O894" t="s">
        <v>169</v>
      </c>
      <c r="P894" t="s">
        <v>29</v>
      </c>
      <c r="Q894" t="s">
        <v>29</v>
      </c>
      <c r="R894" t="s">
        <v>29</v>
      </c>
      <c r="S894" t="s">
        <v>29</v>
      </c>
      <c r="T894" t="s">
        <v>29</v>
      </c>
      <c r="U894" t="s">
        <v>29</v>
      </c>
      <c r="V894" t="s">
        <v>29</v>
      </c>
    </row>
    <row r="895" spans="1:22" x14ac:dyDescent="0.35">
      <c r="A895" s="1">
        <v>45311</v>
      </c>
      <c r="B895" t="s">
        <v>150</v>
      </c>
      <c r="C895" s="2">
        <v>0.76037037037037036</v>
      </c>
      <c r="D895" t="s">
        <v>2025</v>
      </c>
      <c r="E895" t="s">
        <v>32</v>
      </c>
      <c r="F895" t="s">
        <v>2026</v>
      </c>
      <c r="G895" t="s">
        <v>34</v>
      </c>
      <c r="H895" t="s">
        <v>227</v>
      </c>
      <c r="I895" t="s">
        <v>369</v>
      </c>
      <c r="J895">
        <v>8.1</v>
      </c>
      <c r="K895">
        <v>17.8</v>
      </c>
      <c r="L895" t="s">
        <v>29</v>
      </c>
      <c r="M895" t="s">
        <v>29</v>
      </c>
      <c r="N895" t="s">
        <v>29</v>
      </c>
      <c r="O895" t="s">
        <v>29</v>
      </c>
      <c r="P895">
        <v>1</v>
      </c>
      <c r="Q895" t="s">
        <v>37</v>
      </c>
      <c r="R895">
        <v>147</v>
      </c>
      <c r="S895">
        <v>4.99</v>
      </c>
      <c r="T895" t="s">
        <v>29</v>
      </c>
      <c r="U895" t="s">
        <v>29</v>
      </c>
      <c r="V895" t="s">
        <v>38</v>
      </c>
    </row>
    <row r="896" spans="1:22" x14ac:dyDescent="0.35">
      <c r="A896" s="1">
        <v>45568</v>
      </c>
      <c r="B896" t="s">
        <v>47</v>
      </c>
      <c r="C896" s="2">
        <v>0.38274305555555554</v>
      </c>
      <c r="D896" t="s">
        <v>2027</v>
      </c>
      <c r="E896" t="s">
        <v>41</v>
      </c>
      <c r="F896" t="s">
        <v>2028</v>
      </c>
      <c r="G896" t="s">
        <v>146</v>
      </c>
      <c r="H896" t="s">
        <v>148</v>
      </c>
      <c r="I896" t="s">
        <v>68</v>
      </c>
      <c r="J896">
        <v>10.9</v>
      </c>
      <c r="K896">
        <v>20.8</v>
      </c>
      <c r="L896" t="s">
        <v>29</v>
      </c>
      <c r="M896" t="s">
        <v>29</v>
      </c>
      <c r="N896" t="s">
        <v>29</v>
      </c>
      <c r="O896" t="s">
        <v>29</v>
      </c>
      <c r="P896" t="s">
        <v>29</v>
      </c>
      <c r="Q896" t="s">
        <v>29</v>
      </c>
      <c r="R896">
        <v>351</v>
      </c>
      <c r="S896">
        <v>44.94</v>
      </c>
      <c r="T896">
        <v>5</v>
      </c>
      <c r="U896">
        <v>4.4000000000000004</v>
      </c>
      <c r="V896" t="s">
        <v>84</v>
      </c>
    </row>
    <row r="897" spans="1:22" x14ac:dyDescent="0.35">
      <c r="A897" s="1">
        <v>45441</v>
      </c>
      <c r="B897" t="s">
        <v>122</v>
      </c>
      <c r="C897" s="2">
        <v>0.78126157407407404</v>
      </c>
      <c r="D897" t="s">
        <v>2029</v>
      </c>
      <c r="E897" t="s">
        <v>93</v>
      </c>
      <c r="F897" t="s">
        <v>2030</v>
      </c>
      <c r="G897" t="s">
        <v>43</v>
      </c>
      <c r="H897" t="s">
        <v>616</v>
      </c>
      <c r="I897" t="s">
        <v>441</v>
      </c>
      <c r="J897">
        <v>3.1</v>
      </c>
      <c r="K897" t="s">
        <v>29</v>
      </c>
      <c r="L897" t="s">
        <v>29</v>
      </c>
      <c r="M897" t="s">
        <v>29</v>
      </c>
      <c r="N897">
        <v>1</v>
      </c>
      <c r="O897" t="s">
        <v>115</v>
      </c>
      <c r="P897" t="s">
        <v>29</v>
      </c>
      <c r="Q897" t="s">
        <v>29</v>
      </c>
      <c r="R897" t="s">
        <v>29</v>
      </c>
      <c r="S897" t="s">
        <v>29</v>
      </c>
      <c r="T897" t="s">
        <v>29</v>
      </c>
      <c r="U897" t="s">
        <v>29</v>
      </c>
      <c r="V897" t="s">
        <v>29</v>
      </c>
    </row>
    <row r="898" spans="1:22" x14ac:dyDescent="0.35">
      <c r="A898" s="1">
        <v>45471</v>
      </c>
      <c r="B898" t="s">
        <v>64</v>
      </c>
      <c r="C898" s="2">
        <v>0.63842592592592595</v>
      </c>
      <c r="D898" t="s">
        <v>2031</v>
      </c>
      <c r="E898" t="s">
        <v>41</v>
      </c>
      <c r="F898" t="s">
        <v>2032</v>
      </c>
      <c r="G898" t="s">
        <v>43</v>
      </c>
      <c r="H898" t="s">
        <v>254</v>
      </c>
      <c r="I898" t="s">
        <v>69</v>
      </c>
      <c r="J898">
        <v>3.4</v>
      </c>
      <c r="K898">
        <v>40.299999999999997</v>
      </c>
      <c r="L898" t="s">
        <v>29</v>
      </c>
      <c r="M898" t="s">
        <v>29</v>
      </c>
      <c r="N898" t="s">
        <v>29</v>
      </c>
      <c r="O898" t="s">
        <v>29</v>
      </c>
      <c r="P898" t="s">
        <v>29</v>
      </c>
      <c r="Q898" t="s">
        <v>29</v>
      </c>
      <c r="R898">
        <v>153</v>
      </c>
      <c r="S898">
        <v>17.72</v>
      </c>
      <c r="T898">
        <v>4.0999999999999996</v>
      </c>
      <c r="U898">
        <v>4.3</v>
      </c>
      <c r="V898" t="s">
        <v>84</v>
      </c>
    </row>
    <row r="899" spans="1:22" x14ac:dyDescent="0.35">
      <c r="A899" s="1">
        <v>45453</v>
      </c>
      <c r="B899" t="s">
        <v>64</v>
      </c>
      <c r="C899" s="2">
        <v>0.93899305555555557</v>
      </c>
      <c r="D899" t="s">
        <v>2033</v>
      </c>
      <c r="E899" t="s">
        <v>41</v>
      </c>
      <c r="F899" t="s">
        <v>2034</v>
      </c>
      <c r="G899" t="s">
        <v>67</v>
      </c>
      <c r="H899" t="s">
        <v>360</v>
      </c>
      <c r="I899" t="s">
        <v>653</v>
      </c>
      <c r="J899">
        <v>13.5</v>
      </c>
      <c r="K899">
        <v>22.1</v>
      </c>
      <c r="L899" t="s">
        <v>29</v>
      </c>
      <c r="M899" t="s">
        <v>29</v>
      </c>
      <c r="N899" t="s">
        <v>29</v>
      </c>
      <c r="O899" t="s">
        <v>29</v>
      </c>
      <c r="P899" t="s">
        <v>29</v>
      </c>
      <c r="Q899" t="s">
        <v>29</v>
      </c>
      <c r="R899">
        <v>458</v>
      </c>
      <c r="S899">
        <v>8.14</v>
      </c>
      <c r="T899">
        <v>3.3</v>
      </c>
      <c r="U899">
        <v>4.3</v>
      </c>
      <c r="V899" t="s">
        <v>38</v>
      </c>
    </row>
    <row r="900" spans="1:22" x14ac:dyDescent="0.35">
      <c r="A900" s="1">
        <v>45377</v>
      </c>
      <c r="B900" t="s">
        <v>22</v>
      </c>
      <c r="C900" s="2">
        <v>0.15407407407407409</v>
      </c>
      <c r="D900" t="s">
        <v>2035</v>
      </c>
      <c r="E900" t="s">
        <v>93</v>
      </c>
      <c r="F900" t="s">
        <v>2036</v>
      </c>
      <c r="G900" t="s">
        <v>67</v>
      </c>
      <c r="H900" t="s">
        <v>398</v>
      </c>
      <c r="I900" t="s">
        <v>201</v>
      </c>
      <c r="J900">
        <v>11.2</v>
      </c>
      <c r="K900" t="s">
        <v>29</v>
      </c>
      <c r="L900" t="s">
        <v>29</v>
      </c>
      <c r="M900" t="s">
        <v>29</v>
      </c>
      <c r="N900">
        <v>1</v>
      </c>
      <c r="O900" t="s">
        <v>337</v>
      </c>
      <c r="P900" t="s">
        <v>29</v>
      </c>
      <c r="Q900" t="s">
        <v>29</v>
      </c>
      <c r="R900" t="s">
        <v>29</v>
      </c>
      <c r="S900" t="s">
        <v>29</v>
      </c>
      <c r="T900" t="s">
        <v>29</v>
      </c>
      <c r="U900" t="s">
        <v>29</v>
      </c>
      <c r="V900" t="s">
        <v>29</v>
      </c>
    </row>
    <row r="901" spans="1:22" x14ac:dyDescent="0.35">
      <c r="A901" s="1">
        <v>45470</v>
      </c>
      <c r="B901" t="s">
        <v>64</v>
      </c>
      <c r="C901" s="2">
        <v>0.3479976851851852</v>
      </c>
      <c r="D901" t="s">
        <v>2037</v>
      </c>
      <c r="E901" t="s">
        <v>93</v>
      </c>
      <c r="F901" t="s">
        <v>2038</v>
      </c>
      <c r="G901" t="s">
        <v>43</v>
      </c>
      <c r="H901" t="s">
        <v>398</v>
      </c>
      <c r="I901" t="s">
        <v>463</v>
      </c>
      <c r="J901">
        <v>6.3</v>
      </c>
      <c r="K901" t="s">
        <v>29</v>
      </c>
      <c r="L901" t="s">
        <v>29</v>
      </c>
      <c r="M901" t="s">
        <v>29</v>
      </c>
      <c r="N901">
        <v>1</v>
      </c>
      <c r="O901" t="s">
        <v>169</v>
      </c>
      <c r="P901" t="s">
        <v>29</v>
      </c>
      <c r="Q901" t="s">
        <v>29</v>
      </c>
      <c r="R901" t="s">
        <v>29</v>
      </c>
      <c r="S901" t="s">
        <v>29</v>
      </c>
      <c r="T901" t="s">
        <v>29</v>
      </c>
      <c r="U901" t="s">
        <v>29</v>
      </c>
      <c r="V901" t="s">
        <v>29</v>
      </c>
    </row>
    <row r="902" spans="1:22" x14ac:dyDescent="0.35">
      <c r="A902" s="1">
        <v>45347</v>
      </c>
      <c r="B902" t="s">
        <v>59</v>
      </c>
      <c r="C902" s="2">
        <v>0.8139467592592593</v>
      </c>
      <c r="D902" t="s">
        <v>2039</v>
      </c>
      <c r="E902" t="s">
        <v>117</v>
      </c>
      <c r="F902" t="s">
        <v>2040</v>
      </c>
      <c r="G902" t="s">
        <v>34</v>
      </c>
      <c r="H902" t="s">
        <v>132</v>
      </c>
      <c r="I902" t="s">
        <v>654</v>
      </c>
      <c r="J902">
        <v>13.9</v>
      </c>
      <c r="K902" t="s">
        <v>29</v>
      </c>
      <c r="L902">
        <v>1</v>
      </c>
      <c r="M902" t="s">
        <v>490</v>
      </c>
      <c r="N902" t="s">
        <v>29</v>
      </c>
      <c r="O902" t="s">
        <v>29</v>
      </c>
      <c r="P902" t="s">
        <v>29</v>
      </c>
      <c r="Q902" t="s">
        <v>29</v>
      </c>
      <c r="R902" t="s">
        <v>29</v>
      </c>
      <c r="S902" t="s">
        <v>29</v>
      </c>
      <c r="T902" t="s">
        <v>29</v>
      </c>
      <c r="U902" t="s">
        <v>29</v>
      </c>
      <c r="V902" t="s">
        <v>29</v>
      </c>
    </row>
    <row r="903" spans="1:22" x14ac:dyDescent="0.35">
      <c r="A903" s="1">
        <v>45380</v>
      </c>
      <c r="B903" t="s">
        <v>22</v>
      </c>
      <c r="C903" s="2">
        <v>0.45317129629629632</v>
      </c>
      <c r="D903" t="s">
        <v>2041</v>
      </c>
      <c r="E903" t="s">
        <v>41</v>
      </c>
      <c r="F903" t="s">
        <v>2042</v>
      </c>
      <c r="G903" t="s">
        <v>26</v>
      </c>
      <c r="H903" t="s">
        <v>132</v>
      </c>
      <c r="I903" t="s">
        <v>744</v>
      </c>
      <c r="J903">
        <v>6.2</v>
      </c>
      <c r="K903">
        <v>33.9</v>
      </c>
      <c r="L903" t="s">
        <v>29</v>
      </c>
      <c r="M903" t="s">
        <v>29</v>
      </c>
      <c r="N903" t="s">
        <v>29</v>
      </c>
      <c r="O903" t="s">
        <v>29</v>
      </c>
      <c r="P903" t="s">
        <v>29</v>
      </c>
      <c r="Q903" t="s">
        <v>29</v>
      </c>
      <c r="R903">
        <v>216</v>
      </c>
      <c r="S903">
        <v>34.42</v>
      </c>
      <c r="T903">
        <v>3.1</v>
      </c>
      <c r="U903">
        <v>4.9000000000000004</v>
      </c>
      <c r="V903" t="s">
        <v>38</v>
      </c>
    </row>
    <row r="904" spans="1:22" x14ac:dyDescent="0.35">
      <c r="A904" s="1">
        <v>45387</v>
      </c>
      <c r="B904" t="s">
        <v>154</v>
      </c>
      <c r="C904" s="2">
        <v>0.9287037037037037</v>
      </c>
      <c r="D904" t="s">
        <v>2043</v>
      </c>
      <c r="E904" t="s">
        <v>24</v>
      </c>
      <c r="F904" t="s">
        <v>2044</v>
      </c>
      <c r="G904" t="s">
        <v>67</v>
      </c>
      <c r="H904" t="s">
        <v>183</v>
      </c>
      <c r="I904" t="s">
        <v>133</v>
      </c>
      <c r="J904" t="s">
        <v>29</v>
      </c>
      <c r="K904" t="s">
        <v>29</v>
      </c>
      <c r="L904" t="s">
        <v>29</v>
      </c>
      <c r="M904" t="s">
        <v>29</v>
      </c>
      <c r="N904" t="s">
        <v>29</v>
      </c>
      <c r="O904" t="s">
        <v>29</v>
      </c>
      <c r="P904" t="s">
        <v>29</v>
      </c>
      <c r="Q904" t="s">
        <v>29</v>
      </c>
      <c r="R904" t="s">
        <v>29</v>
      </c>
      <c r="S904" t="s">
        <v>29</v>
      </c>
      <c r="T904" t="s">
        <v>29</v>
      </c>
      <c r="U904" t="s">
        <v>29</v>
      </c>
      <c r="V904" t="s">
        <v>29</v>
      </c>
    </row>
    <row r="905" spans="1:22" x14ac:dyDescent="0.35">
      <c r="A905" s="1">
        <v>45301</v>
      </c>
      <c r="B905" t="s">
        <v>150</v>
      </c>
      <c r="C905" s="2">
        <v>0.83922453703703703</v>
      </c>
      <c r="D905" t="s">
        <v>2045</v>
      </c>
      <c r="E905" t="s">
        <v>41</v>
      </c>
      <c r="F905" t="s">
        <v>2046</v>
      </c>
      <c r="G905" t="s">
        <v>34</v>
      </c>
      <c r="H905" t="s">
        <v>1035</v>
      </c>
      <c r="I905" t="s">
        <v>312</v>
      </c>
      <c r="J905">
        <v>7.6</v>
      </c>
      <c r="K905">
        <v>44.8</v>
      </c>
      <c r="L905" t="s">
        <v>29</v>
      </c>
      <c r="M905" t="s">
        <v>29</v>
      </c>
      <c r="N905" t="s">
        <v>29</v>
      </c>
      <c r="O905" t="s">
        <v>29</v>
      </c>
      <c r="P905" t="s">
        <v>29</v>
      </c>
      <c r="Q905" t="s">
        <v>29</v>
      </c>
      <c r="R905">
        <v>405</v>
      </c>
      <c r="S905">
        <v>19.11</v>
      </c>
      <c r="T905">
        <v>3.6</v>
      </c>
      <c r="U905">
        <v>4.3</v>
      </c>
      <c r="V905" t="s">
        <v>46</v>
      </c>
    </row>
    <row r="906" spans="1:22" x14ac:dyDescent="0.35">
      <c r="A906" s="1">
        <v>45575</v>
      </c>
      <c r="B906" t="s">
        <v>47</v>
      </c>
      <c r="C906" s="2">
        <v>0.99629629629629635</v>
      </c>
      <c r="D906" t="s">
        <v>2047</v>
      </c>
      <c r="E906" t="s">
        <v>117</v>
      </c>
      <c r="F906" t="s">
        <v>2048</v>
      </c>
      <c r="G906" t="s">
        <v>67</v>
      </c>
      <c r="H906" t="s">
        <v>417</v>
      </c>
      <c r="I906" t="s">
        <v>58</v>
      </c>
      <c r="J906">
        <v>9.6</v>
      </c>
      <c r="K906" t="s">
        <v>29</v>
      </c>
      <c r="L906">
        <v>1</v>
      </c>
      <c r="M906" t="s">
        <v>490</v>
      </c>
      <c r="N906" t="s">
        <v>29</v>
      </c>
      <c r="O906" t="s">
        <v>29</v>
      </c>
      <c r="P906" t="s">
        <v>29</v>
      </c>
      <c r="Q906" t="s">
        <v>29</v>
      </c>
      <c r="R906" t="s">
        <v>29</v>
      </c>
      <c r="S906" t="s">
        <v>29</v>
      </c>
      <c r="T906" t="s">
        <v>29</v>
      </c>
      <c r="U906" t="s">
        <v>29</v>
      </c>
      <c r="V906" t="s">
        <v>29</v>
      </c>
    </row>
    <row r="907" spans="1:22" x14ac:dyDescent="0.35">
      <c r="A907" s="1">
        <v>45571</v>
      </c>
      <c r="B907" t="s">
        <v>47</v>
      </c>
      <c r="C907" s="2">
        <v>0.95096064814814818</v>
      </c>
      <c r="D907" t="s">
        <v>2049</v>
      </c>
      <c r="E907" t="s">
        <v>117</v>
      </c>
      <c r="F907" t="s">
        <v>2050</v>
      </c>
      <c r="G907" t="s">
        <v>67</v>
      </c>
      <c r="H907" t="s">
        <v>63</v>
      </c>
      <c r="I907" t="s">
        <v>68</v>
      </c>
      <c r="J907">
        <v>6.8</v>
      </c>
      <c r="K907" t="s">
        <v>29</v>
      </c>
      <c r="L907">
        <v>1</v>
      </c>
      <c r="M907" t="s">
        <v>490</v>
      </c>
      <c r="N907" t="s">
        <v>29</v>
      </c>
      <c r="O907" t="s">
        <v>29</v>
      </c>
      <c r="P907" t="s">
        <v>29</v>
      </c>
      <c r="Q907" t="s">
        <v>29</v>
      </c>
      <c r="R907" t="s">
        <v>29</v>
      </c>
      <c r="S907" t="s">
        <v>29</v>
      </c>
      <c r="T907" t="s">
        <v>29</v>
      </c>
      <c r="U907" t="s">
        <v>29</v>
      </c>
      <c r="V907" t="s">
        <v>29</v>
      </c>
    </row>
    <row r="908" spans="1:22" x14ac:dyDescent="0.35">
      <c r="A908" s="1">
        <v>45647</v>
      </c>
      <c r="B908" t="s">
        <v>78</v>
      </c>
      <c r="C908" s="2">
        <v>0.52848379629629627</v>
      </c>
      <c r="D908" t="s">
        <v>2051</v>
      </c>
      <c r="E908" t="s">
        <v>41</v>
      </c>
      <c r="F908" t="s">
        <v>2052</v>
      </c>
      <c r="G908" t="s">
        <v>67</v>
      </c>
      <c r="H908" t="s">
        <v>153</v>
      </c>
      <c r="I908" t="s">
        <v>63</v>
      </c>
      <c r="J908">
        <v>11.1</v>
      </c>
      <c r="K908">
        <v>39.6</v>
      </c>
      <c r="L908" t="s">
        <v>29</v>
      </c>
      <c r="M908" t="s">
        <v>29</v>
      </c>
      <c r="N908" t="s">
        <v>29</v>
      </c>
      <c r="O908" t="s">
        <v>29</v>
      </c>
      <c r="P908" t="s">
        <v>29</v>
      </c>
      <c r="Q908" t="s">
        <v>29</v>
      </c>
      <c r="R908">
        <v>97</v>
      </c>
      <c r="S908">
        <v>8.69</v>
      </c>
      <c r="T908">
        <v>3.2</v>
      </c>
      <c r="U908">
        <v>4.0999999999999996</v>
      </c>
      <c r="V908" t="s">
        <v>84</v>
      </c>
    </row>
    <row r="909" spans="1:22" x14ac:dyDescent="0.35">
      <c r="A909" s="1">
        <v>45586</v>
      </c>
      <c r="B909" t="s">
        <v>47</v>
      </c>
      <c r="C909" s="2">
        <v>0.35629629629629628</v>
      </c>
      <c r="D909" t="s">
        <v>2053</v>
      </c>
      <c r="E909" t="s">
        <v>32</v>
      </c>
      <c r="F909" t="s">
        <v>2054</v>
      </c>
      <c r="G909" t="s">
        <v>34</v>
      </c>
      <c r="H909" t="s">
        <v>690</v>
      </c>
      <c r="I909" t="s">
        <v>654</v>
      </c>
      <c r="J909">
        <v>8.1</v>
      </c>
      <c r="K909">
        <v>16.7</v>
      </c>
      <c r="L909" t="s">
        <v>29</v>
      </c>
      <c r="M909" t="s">
        <v>29</v>
      </c>
      <c r="N909" t="s">
        <v>29</v>
      </c>
      <c r="O909" t="s">
        <v>29</v>
      </c>
      <c r="P909">
        <v>1</v>
      </c>
      <c r="Q909" t="s">
        <v>83</v>
      </c>
      <c r="R909">
        <v>630</v>
      </c>
      <c r="S909">
        <v>17.600000000000001</v>
      </c>
      <c r="T909" t="s">
        <v>29</v>
      </c>
      <c r="U909" t="s">
        <v>29</v>
      </c>
      <c r="V909" t="s">
        <v>84</v>
      </c>
    </row>
    <row r="910" spans="1:22" x14ac:dyDescent="0.35">
      <c r="A910" s="1">
        <v>45447</v>
      </c>
      <c r="B910" t="s">
        <v>64</v>
      </c>
      <c r="C910" s="2">
        <v>0.82303240740740746</v>
      </c>
      <c r="D910" t="s">
        <v>2055</v>
      </c>
      <c r="E910" t="s">
        <v>41</v>
      </c>
      <c r="F910" t="s">
        <v>2056</v>
      </c>
      <c r="G910" t="s">
        <v>56</v>
      </c>
      <c r="H910" t="s">
        <v>323</v>
      </c>
      <c r="I910" t="s">
        <v>125</v>
      </c>
      <c r="J910">
        <v>6.3</v>
      </c>
      <c r="K910">
        <v>35.299999999999997</v>
      </c>
      <c r="L910" t="s">
        <v>29</v>
      </c>
      <c r="M910" t="s">
        <v>29</v>
      </c>
      <c r="N910" t="s">
        <v>29</v>
      </c>
      <c r="O910" t="s">
        <v>29</v>
      </c>
      <c r="P910" t="s">
        <v>29</v>
      </c>
      <c r="Q910" t="s">
        <v>29</v>
      </c>
      <c r="R910">
        <v>387</v>
      </c>
      <c r="S910">
        <v>35.07</v>
      </c>
      <c r="T910">
        <v>5</v>
      </c>
      <c r="U910">
        <v>4.2</v>
      </c>
      <c r="V910" t="s">
        <v>38</v>
      </c>
    </row>
    <row r="911" spans="1:22" x14ac:dyDescent="0.35">
      <c r="A911" s="1">
        <v>45552</v>
      </c>
      <c r="B911" t="s">
        <v>53</v>
      </c>
      <c r="C911" s="2">
        <v>0.49118055555555556</v>
      </c>
      <c r="D911" t="s">
        <v>2057</v>
      </c>
      <c r="E911" t="s">
        <v>41</v>
      </c>
      <c r="F911" t="s">
        <v>2058</v>
      </c>
      <c r="G911" t="s">
        <v>67</v>
      </c>
      <c r="H911" t="s">
        <v>327</v>
      </c>
      <c r="I911" t="s">
        <v>477</v>
      </c>
      <c r="J911">
        <v>3.3</v>
      </c>
      <c r="K911">
        <v>21.7</v>
      </c>
      <c r="L911" t="s">
        <v>29</v>
      </c>
      <c r="M911" t="s">
        <v>29</v>
      </c>
      <c r="N911" t="s">
        <v>29</v>
      </c>
      <c r="O911" t="s">
        <v>29</v>
      </c>
      <c r="P911" t="s">
        <v>29</v>
      </c>
      <c r="Q911" t="s">
        <v>29</v>
      </c>
      <c r="R911">
        <v>358</v>
      </c>
      <c r="S911">
        <v>8.7799999999999994</v>
      </c>
      <c r="T911">
        <v>3.7</v>
      </c>
      <c r="U911">
        <v>4.5</v>
      </c>
      <c r="V911" t="s">
        <v>38</v>
      </c>
    </row>
    <row r="912" spans="1:22" x14ac:dyDescent="0.35">
      <c r="A912" s="1">
        <v>45606</v>
      </c>
      <c r="B912" t="s">
        <v>30</v>
      </c>
      <c r="C912" s="2">
        <v>0.21307870370370371</v>
      </c>
      <c r="D912" t="s">
        <v>2059</v>
      </c>
      <c r="E912" t="s">
        <v>32</v>
      </c>
      <c r="F912" t="s">
        <v>2060</v>
      </c>
      <c r="G912" t="s">
        <v>67</v>
      </c>
      <c r="H912" t="s">
        <v>555</v>
      </c>
      <c r="I912" t="s">
        <v>449</v>
      </c>
      <c r="J912">
        <v>7.3</v>
      </c>
      <c r="K912">
        <v>27.3</v>
      </c>
      <c r="L912" t="s">
        <v>29</v>
      </c>
      <c r="M912" t="s">
        <v>29</v>
      </c>
      <c r="N912" t="s">
        <v>29</v>
      </c>
      <c r="O912" t="s">
        <v>29</v>
      </c>
      <c r="P912">
        <v>1</v>
      </c>
      <c r="Q912" t="s">
        <v>37</v>
      </c>
      <c r="R912">
        <v>327</v>
      </c>
      <c r="S912">
        <v>8.98</v>
      </c>
      <c r="T912" t="s">
        <v>29</v>
      </c>
      <c r="U912" t="s">
        <v>29</v>
      </c>
      <c r="V912" t="s">
        <v>38</v>
      </c>
    </row>
    <row r="913" spans="1:22" x14ac:dyDescent="0.35">
      <c r="A913" s="1">
        <v>45450</v>
      </c>
      <c r="B913" t="s">
        <v>64</v>
      </c>
      <c r="C913" s="2">
        <v>0.92039351851851847</v>
      </c>
      <c r="D913" t="s">
        <v>2061</v>
      </c>
      <c r="E913" t="s">
        <v>41</v>
      </c>
      <c r="F913" t="s">
        <v>2062</v>
      </c>
      <c r="G913" t="s">
        <v>34</v>
      </c>
      <c r="H913" t="s">
        <v>63</v>
      </c>
      <c r="I913" t="s">
        <v>281</v>
      </c>
      <c r="J913">
        <v>2.1</v>
      </c>
      <c r="K913">
        <v>38.6</v>
      </c>
      <c r="L913" t="s">
        <v>29</v>
      </c>
      <c r="M913" t="s">
        <v>29</v>
      </c>
      <c r="N913" t="s">
        <v>29</v>
      </c>
      <c r="O913" t="s">
        <v>29</v>
      </c>
      <c r="P913" t="s">
        <v>29</v>
      </c>
      <c r="Q913" t="s">
        <v>29</v>
      </c>
      <c r="R913">
        <v>784</v>
      </c>
      <c r="S913">
        <v>45.62</v>
      </c>
      <c r="T913">
        <v>4.4000000000000004</v>
      </c>
      <c r="U913">
        <v>4.7</v>
      </c>
      <c r="V913" t="s">
        <v>38</v>
      </c>
    </row>
    <row r="914" spans="1:22" x14ac:dyDescent="0.35">
      <c r="A914" s="1">
        <v>45490</v>
      </c>
      <c r="B914" t="s">
        <v>108</v>
      </c>
      <c r="C914" s="2">
        <v>0.68101851851851847</v>
      </c>
      <c r="D914" t="s">
        <v>2063</v>
      </c>
      <c r="E914" t="s">
        <v>24</v>
      </c>
      <c r="F914" t="s">
        <v>2064</v>
      </c>
      <c r="G914" t="s">
        <v>43</v>
      </c>
      <c r="H914" t="s">
        <v>449</v>
      </c>
      <c r="I914" t="s">
        <v>343</v>
      </c>
      <c r="J914" t="s">
        <v>29</v>
      </c>
      <c r="K914" t="s">
        <v>29</v>
      </c>
      <c r="L914" t="s">
        <v>29</v>
      </c>
      <c r="M914" t="s">
        <v>29</v>
      </c>
      <c r="N914" t="s">
        <v>29</v>
      </c>
      <c r="O914" t="s">
        <v>29</v>
      </c>
      <c r="P914" t="s">
        <v>29</v>
      </c>
      <c r="Q914" t="s">
        <v>29</v>
      </c>
      <c r="R914" t="s">
        <v>29</v>
      </c>
      <c r="S914" t="s">
        <v>29</v>
      </c>
      <c r="T914" t="s">
        <v>29</v>
      </c>
      <c r="U914" t="s">
        <v>29</v>
      </c>
      <c r="V914" t="s">
        <v>29</v>
      </c>
    </row>
    <row r="915" spans="1:22" x14ac:dyDescent="0.35">
      <c r="A915" s="1">
        <v>45613</v>
      </c>
      <c r="B915" t="s">
        <v>30</v>
      </c>
      <c r="C915" s="2">
        <v>0.59225694444444443</v>
      </c>
      <c r="D915" t="s">
        <v>2065</v>
      </c>
      <c r="E915" t="s">
        <v>41</v>
      </c>
      <c r="F915" t="s">
        <v>2066</v>
      </c>
      <c r="G915" t="s">
        <v>34</v>
      </c>
      <c r="H915" t="s">
        <v>248</v>
      </c>
      <c r="I915" t="s">
        <v>560</v>
      </c>
      <c r="J915">
        <v>8.6</v>
      </c>
      <c r="K915">
        <v>16.600000000000001</v>
      </c>
      <c r="L915" t="s">
        <v>29</v>
      </c>
      <c r="M915" t="s">
        <v>29</v>
      </c>
      <c r="N915" t="s">
        <v>29</v>
      </c>
      <c r="O915" t="s">
        <v>29</v>
      </c>
      <c r="P915" t="s">
        <v>29</v>
      </c>
      <c r="Q915" t="s">
        <v>29</v>
      </c>
      <c r="R915">
        <v>314</v>
      </c>
      <c r="S915">
        <v>31.91</v>
      </c>
      <c r="T915">
        <v>4.3</v>
      </c>
      <c r="U915">
        <v>4.3</v>
      </c>
      <c r="V915" t="s">
        <v>84</v>
      </c>
    </row>
    <row r="916" spans="1:22" x14ac:dyDescent="0.35">
      <c r="A916" s="1">
        <v>45330</v>
      </c>
      <c r="B916" t="s">
        <v>59</v>
      </c>
      <c r="C916" s="2">
        <v>0.55929398148148146</v>
      </c>
      <c r="D916" t="s">
        <v>2067</v>
      </c>
      <c r="E916" t="s">
        <v>41</v>
      </c>
      <c r="F916" t="s">
        <v>2068</v>
      </c>
      <c r="G916" t="s">
        <v>146</v>
      </c>
      <c r="H916" t="s">
        <v>69</v>
      </c>
      <c r="I916" t="s">
        <v>183</v>
      </c>
      <c r="J916">
        <v>5</v>
      </c>
      <c r="K916">
        <v>17.7</v>
      </c>
      <c r="L916" t="s">
        <v>29</v>
      </c>
      <c r="M916" t="s">
        <v>29</v>
      </c>
      <c r="N916" t="s">
        <v>29</v>
      </c>
      <c r="O916" t="s">
        <v>29</v>
      </c>
      <c r="P916" t="s">
        <v>29</v>
      </c>
      <c r="Q916" t="s">
        <v>29</v>
      </c>
      <c r="R916">
        <v>802</v>
      </c>
      <c r="S916">
        <v>12.66</v>
      </c>
      <c r="T916">
        <v>4.2</v>
      </c>
      <c r="U916">
        <v>4.5999999999999996</v>
      </c>
      <c r="V916" t="s">
        <v>107</v>
      </c>
    </row>
    <row r="917" spans="1:22" x14ac:dyDescent="0.35">
      <c r="A917" s="1">
        <v>45519</v>
      </c>
      <c r="B917" t="s">
        <v>39</v>
      </c>
      <c r="C917" s="2">
        <v>0.719212962962963</v>
      </c>
      <c r="D917" t="s">
        <v>2069</v>
      </c>
      <c r="E917" t="s">
        <v>41</v>
      </c>
      <c r="F917" t="s">
        <v>2070</v>
      </c>
      <c r="G917" t="s">
        <v>34</v>
      </c>
      <c r="H917" t="s">
        <v>119</v>
      </c>
      <c r="I917" t="s">
        <v>346</v>
      </c>
      <c r="J917">
        <v>4</v>
      </c>
      <c r="K917">
        <v>24.6</v>
      </c>
      <c r="L917" t="s">
        <v>29</v>
      </c>
      <c r="M917" t="s">
        <v>29</v>
      </c>
      <c r="N917" t="s">
        <v>29</v>
      </c>
      <c r="O917" t="s">
        <v>29</v>
      </c>
      <c r="P917" t="s">
        <v>29</v>
      </c>
      <c r="Q917" t="s">
        <v>29</v>
      </c>
      <c r="R917">
        <v>746</v>
      </c>
      <c r="S917">
        <v>35.299999999999997</v>
      </c>
      <c r="T917">
        <v>3.9</v>
      </c>
      <c r="U917">
        <v>3.9</v>
      </c>
      <c r="V917" t="s">
        <v>84</v>
      </c>
    </row>
    <row r="918" spans="1:22" x14ac:dyDescent="0.35">
      <c r="A918" s="1">
        <v>45486</v>
      </c>
      <c r="B918" t="s">
        <v>108</v>
      </c>
      <c r="C918" s="2">
        <v>0.38150462962962961</v>
      </c>
      <c r="D918" t="s">
        <v>2071</v>
      </c>
      <c r="E918" t="s">
        <v>41</v>
      </c>
      <c r="F918" t="s">
        <v>2072</v>
      </c>
      <c r="G918" t="s">
        <v>67</v>
      </c>
      <c r="H918" t="s">
        <v>636</v>
      </c>
      <c r="I918" t="s">
        <v>157</v>
      </c>
      <c r="J918">
        <v>4.7</v>
      </c>
      <c r="K918">
        <v>38.6</v>
      </c>
      <c r="L918" t="s">
        <v>29</v>
      </c>
      <c r="M918" t="s">
        <v>29</v>
      </c>
      <c r="N918" t="s">
        <v>29</v>
      </c>
      <c r="O918" t="s">
        <v>29</v>
      </c>
      <c r="P918" t="s">
        <v>29</v>
      </c>
      <c r="Q918" t="s">
        <v>29</v>
      </c>
      <c r="R918">
        <v>605</v>
      </c>
      <c r="S918">
        <v>23.92</v>
      </c>
      <c r="T918">
        <v>4.5</v>
      </c>
      <c r="U918">
        <v>5</v>
      </c>
      <c r="V918" t="s">
        <v>38</v>
      </c>
    </row>
    <row r="919" spans="1:22" x14ac:dyDescent="0.35">
      <c r="A919" s="1">
        <v>45503</v>
      </c>
      <c r="B919" t="s">
        <v>108</v>
      </c>
      <c r="C919" s="2">
        <v>0.60076388888888888</v>
      </c>
      <c r="D919" t="s">
        <v>2073</v>
      </c>
      <c r="E919" t="s">
        <v>93</v>
      </c>
      <c r="F919" t="s">
        <v>2074</v>
      </c>
      <c r="G919" t="s">
        <v>34</v>
      </c>
      <c r="H919" t="s">
        <v>305</v>
      </c>
      <c r="I919" t="s">
        <v>133</v>
      </c>
      <c r="J919">
        <v>11.1</v>
      </c>
      <c r="K919" t="s">
        <v>29</v>
      </c>
      <c r="L919" t="s">
        <v>29</v>
      </c>
      <c r="M919" t="s">
        <v>29</v>
      </c>
      <c r="N919">
        <v>1</v>
      </c>
      <c r="O919" t="s">
        <v>169</v>
      </c>
      <c r="P919" t="s">
        <v>29</v>
      </c>
      <c r="Q919" t="s">
        <v>29</v>
      </c>
      <c r="R919" t="s">
        <v>29</v>
      </c>
      <c r="S919" t="s">
        <v>29</v>
      </c>
      <c r="T919" t="s">
        <v>29</v>
      </c>
      <c r="U919" t="s">
        <v>29</v>
      </c>
      <c r="V919" t="s">
        <v>29</v>
      </c>
    </row>
    <row r="920" spans="1:22" x14ac:dyDescent="0.35">
      <c r="A920" s="1">
        <v>45475</v>
      </c>
      <c r="B920" t="s">
        <v>108</v>
      </c>
      <c r="C920" s="2">
        <v>0.4064814814814815</v>
      </c>
      <c r="D920" t="s">
        <v>2075</v>
      </c>
      <c r="E920" t="s">
        <v>41</v>
      </c>
      <c r="F920" t="s">
        <v>2076</v>
      </c>
      <c r="G920" t="s">
        <v>26</v>
      </c>
      <c r="H920" t="s">
        <v>653</v>
      </c>
      <c r="I920" t="s">
        <v>858</v>
      </c>
      <c r="J920">
        <v>2.9</v>
      </c>
      <c r="K920">
        <v>32.5</v>
      </c>
      <c r="L920" t="s">
        <v>29</v>
      </c>
      <c r="M920" t="s">
        <v>29</v>
      </c>
      <c r="N920" t="s">
        <v>29</v>
      </c>
      <c r="O920" t="s">
        <v>29</v>
      </c>
      <c r="P920" t="s">
        <v>29</v>
      </c>
      <c r="Q920" t="s">
        <v>29</v>
      </c>
      <c r="R920">
        <v>1531</v>
      </c>
      <c r="S920">
        <v>18.37</v>
      </c>
      <c r="T920">
        <v>4.3</v>
      </c>
      <c r="U920">
        <v>4.2</v>
      </c>
      <c r="V920" t="s">
        <v>107</v>
      </c>
    </row>
    <row r="921" spans="1:22" x14ac:dyDescent="0.35">
      <c r="A921" s="1">
        <v>45418</v>
      </c>
      <c r="B921" t="s">
        <v>122</v>
      </c>
      <c r="C921" s="2">
        <v>0.77253472222222219</v>
      </c>
      <c r="D921" t="s">
        <v>2077</v>
      </c>
      <c r="E921" t="s">
        <v>41</v>
      </c>
      <c r="F921" t="s">
        <v>2078</v>
      </c>
      <c r="G921" t="s">
        <v>34</v>
      </c>
      <c r="H921" t="s">
        <v>391</v>
      </c>
      <c r="I921" t="s">
        <v>536</v>
      </c>
      <c r="J921">
        <v>6.6</v>
      </c>
      <c r="K921">
        <v>19.600000000000001</v>
      </c>
      <c r="L921" t="s">
        <v>29</v>
      </c>
      <c r="M921" t="s">
        <v>29</v>
      </c>
      <c r="N921" t="s">
        <v>29</v>
      </c>
      <c r="O921" t="s">
        <v>29</v>
      </c>
      <c r="P921" t="s">
        <v>29</v>
      </c>
      <c r="Q921" t="s">
        <v>29</v>
      </c>
      <c r="R921">
        <v>343</v>
      </c>
      <c r="S921">
        <v>31.47</v>
      </c>
      <c r="T921">
        <v>4.0999999999999996</v>
      </c>
      <c r="U921">
        <v>4.9000000000000004</v>
      </c>
      <c r="V921" t="s">
        <v>46</v>
      </c>
    </row>
    <row r="922" spans="1:22" x14ac:dyDescent="0.35">
      <c r="A922" s="1">
        <v>45612</v>
      </c>
      <c r="B922" t="s">
        <v>30</v>
      </c>
      <c r="C922" s="2">
        <v>0.36207175925925927</v>
      </c>
      <c r="D922" t="s">
        <v>2079</v>
      </c>
      <c r="E922" t="s">
        <v>117</v>
      </c>
      <c r="F922" t="s">
        <v>2080</v>
      </c>
      <c r="G922" t="s">
        <v>56</v>
      </c>
      <c r="H922" t="s">
        <v>62</v>
      </c>
      <c r="I922" t="s">
        <v>892</v>
      </c>
      <c r="J922">
        <v>16.5</v>
      </c>
      <c r="K922" t="s">
        <v>29</v>
      </c>
      <c r="L922">
        <v>1</v>
      </c>
      <c r="M922" t="s">
        <v>121</v>
      </c>
      <c r="N922" t="s">
        <v>29</v>
      </c>
      <c r="O922" t="s">
        <v>29</v>
      </c>
      <c r="P922" t="s">
        <v>29</v>
      </c>
      <c r="Q922" t="s">
        <v>29</v>
      </c>
      <c r="R922" t="s">
        <v>29</v>
      </c>
      <c r="S922" t="s">
        <v>29</v>
      </c>
      <c r="T922" t="s">
        <v>29</v>
      </c>
      <c r="U922" t="s">
        <v>29</v>
      </c>
      <c r="V922" t="s">
        <v>29</v>
      </c>
    </row>
    <row r="923" spans="1:22" x14ac:dyDescent="0.35">
      <c r="A923" s="1">
        <v>45601</v>
      </c>
      <c r="B923" t="s">
        <v>30</v>
      </c>
      <c r="C923" s="2">
        <v>0.29773148148148149</v>
      </c>
      <c r="D923" t="s">
        <v>2081</v>
      </c>
      <c r="E923" t="s">
        <v>41</v>
      </c>
      <c r="F923" t="s">
        <v>2082</v>
      </c>
      <c r="G923" t="s">
        <v>56</v>
      </c>
      <c r="H923" t="s">
        <v>210</v>
      </c>
      <c r="I923" t="s">
        <v>511</v>
      </c>
      <c r="J923">
        <v>5</v>
      </c>
      <c r="K923">
        <v>29.4</v>
      </c>
      <c r="L923" t="s">
        <v>29</v>
      </c>
      <c r="M923" t="s">
        <v>29</v>
      </c>
      <c r="N923" t="s">
        <v>29</v>
      </c>
      <c r="O923" t="s">
        <v>29</v>
      </c>
      <c r="P923" t="s">
        <v>29</v>
      </c>
      <c r="Q923" t="s">
        <v>29</v>
      </c>
      <c r="R923">
        <v>76</v>
      </c>
      <c r="S923">
        <v>27.43</v>
      </c>
      <c r="T923">
        <v>4.4000000000000004</v>
      </c>
      <c r="U923">
        <v>4.8</v>
      </c>
      <c r="V923" t="s">
        <v>38</v>
      </c>
    </row>
    <row r="924" spans="1:22" x14ac:dyDescent="0.35">
      <c r="A924" s="1">
        <v>45455</v>
      </c>
      <c r="B924" t="s">
        <v>64</v>
      </c>
      <c r="C924" s="2">
        <v>0.83917824074074077</v>
      </c>
      <c r="D924" t="s">
        <v>2083</v>
      </c>
      <c r="E924" t="s">
        <v>93</v>
      </c>
      <c r="F924" t="s">
        <v>2084</v>
      </c>
      <c r="G924" t="s">
        <v>26</v>
      </c>
      <c r="H924" t="s">
        <v>881</v>
      </c>
      <c r="I924" t="s">
        <v>88</v>
      </c>
      <c r="J924">
        <v>11.8</v>
      </c>
      <c r="K924" t="s">
        <v>29</v>
      </c>
      <c r="L924" t="s">
        <v>29</v>
      </c>
      <c r="M924" t="s">
        <v>29</v>
      </c>
      <c r="N924">
        <v>1</v>
      </c>
      <c r="O924" t="s">
        <v>97</v>
      </c>
      <c r="P924" t="s">
        <v>29</v>
      </c>
      <c r="Q924" t="s">
        <v>29</v>
      </c>
      <c r="R924" t="s">
        <v>29</v>
      </c>
      <c r="S924" t="s">
        <v>29</v>
      </c>
      <c r="T924" t="s">
        <v>29</v>
      </c>
      <c r="U924" t="s">
        <v>29</v>
      </c>
      <c r="V924" t="s">
        <v>29</v>
      </c>
    </row>
    <row r="925" spans="1:22" x14ac:dyDescent="0.35">
      <c r="A925" s="1">
        <v>45397</v>
      </c>
      <c r="B925" t="s">
        <v>154</v>
      </c>
      <c r="C925" s="2">
        <v>0.3558912037037037</v>
      </c>
      <c r="D925" t="s">
        <v>2085</v>
      </c>
      <c r="E925" t="s">
        <v>41</v>
      </c>
      <c r="F925" t="s">
        <v>2086</v>
      </c>
      <c r="G925" t="s">
        <v>34</v>
      </c>
      <c r="H925" t="s">
        <v>102</v>
      </c>
      <c r="I925" t="s">
        <v>498</v>
      </c>
      <c r="J925">
        <v>14.3</v>
      </c>
      <c r="K925">
        <v>42.9</v>
      </c>
      <c r="L925" t="s">
        <v>29</v>
      </c>
      <c r="M925" t="s">
        <v>29</v>
      </c>
      <c r="N925" t="s">
        <v>29</v>
      </c>
      <c r="O925" t="s">
        <v>29</v>
      </c>
      <c r="P925" t="s">
        <v>29</v>
      </c>
      <c r="Q925" t="s">
        <v>29</v>
      </c>
      <c r="R925">
        <v>213</v>
      </c>
      <c r="S925">
        <v>29.03</v>
      </c>
      <c r="T925">
        <v>4.8</v>
      </c>
      <c r="U925">
        <v>4.8</v>
      </c>
      <c r="V925" t="s">
        <v>107</v>
      </c>
    </row>
    <row r="926" spans="1:22" x14ac:dyDescent="0.35">
      <c r="A926" s="1">
        <v>45398</v>
      </c>
      <c r="B926" t="s">
        <v>154</v>
      </c>
      <c r="C926" s="2">
        <v>0.66655092592592591</v>
      </c>
      <c r="D926" t="s">
        <v>2087</v>
      </c>
      <c r="E926" t="s">
        <v>41</v>
      </c>
      <c r="F926" t="s">
        <v>2088</v>
      </c>
      <c r="G926" t="s">
        <v>56</v>
      </c>
      <c r="H926" t="s">
        <v>161</v>
      </c>
      <c r="I926" t="s">
        <v>744</v>
      </c>
      <c r="J926">
        <v>11.8</v>
      </c>
      <c r="K926">
        <v>26.5</v>
      </c>
      <c r="L926" t="s">
        <v>29</v>
      </c>
      <c r="M926" t="s">
        <v>29</v>
      </c>
      <c r="N926" t="s">
        <v>29</v>
      </c>
      <c r="O926" t="s">
        <v>29</v>
      </c>
      <c r="P926" t="s">
        <v>29</v>
      </c>
      <c r="Q926" t="s">
        <v>29</v>
      </c>
      <c r="R926">
        <v>171</v>
      </c>
      <c r="S926">
        <v>20.9</v>
      </c>
      <c r="T926">
        <v>4.5999999999999996</v>
      </c>
      <c r="U926">
        <v>4.4000000000000004</v>
      </c>
      <c r="V926" t="s">
        <v>84</v>
      </c>
    </row>
    <row r="927" spans="1:22" x14ac:dyDescent="0.35">
      <c r="A927" s="1">
        <v>45391</v>
      </c>
      <c r="B927" t="s">
        <v>154</v>
      </c>
      <c r="C927" s="2">
        <v>0.5219907407407407</v>
      </c>
      <c r="D927" t="s">
        <v>2089</v>
      </c>
      <c r="E927" t="s">
        <v>41</v>
      </c>
      <c r="F927" t="s">
        <v>2090</v>
      </c>
      <c r="G927" t="s">
        <v>67</v>
      </c>
      <c r="H927" t="s">
        <v>227</v>
      </c>
      <c r="I927" t="s">
        <v>333</v>
      </c>
      <c r="J927">
        <v>2.6</v>
      </c>
      <c r="K927">
        <v>43.9</v>
      </c>
      <c r="L927" t="s">
        <v>29</v>
      </c>
      <c r="M927" t="s">
        <v>29</v>
      </c>
      <c r="N927" t="s">
        <v>29</v>
      </c>
      <c r="O927" t="s">
        <v>29</v>
      </c>
      <c r="P927" t="s">
        <v>29</v>
      </c>
      <c r="Q927" t="s">
        <v>29</v>
      </c>
      <c r="R927">
        <v>422</v>
      </c>
      <c r="S927">
        <v>40.01</v>
      </c>
      <c r="T927">
        <v>3.8</v>
      </c>
      <c r="U927">
        <v>4.3</v>
      </c>
      <c r="V927" t="s">
        <v>38</v>
      </c>
    </row>
    <row r="928" spans="1:22" x14ac:dyDescent="0.35">
      <c r="A928" s="1">
        <v>45604</v>
      </c>
      <c r="B928" t="s">
        <v>30</v>
      </c>
      <c r="C928" s="2">
        <v>0.79592592592592593</v>
      </c>
      <c r="D928" t="s">
        <v>2091</v>
      </c>
      <c r="E928" t="s">
        <v>32</v>
      </c>
      <c r="F928" t="s">
        <v>2092</v>
      </c>
      <c r="G928" t="s">
        <v>67</v>
      </c>
      <c r="H928" t="s">
        <v>73</v>
      </c>
      <c r="I928" t="s">
        <v>201</v>
      </c>
      <c r="J928">
        <v>6.8</v>
      </c>
      <c r="K928">
        <v>23.8</v>
      </c>
      <c r="L928" t="s">
        <v>29</v>
      </c>
      <c r="M928" t="s">
        <v>29</v>
      </c>
      <c r="N928" t="s">
        <v>29</v>
      </c>
      <c r="O928" t="s">
        <v>29</v>
      </c>
      <c r="P928">
        <v>1</v>
      </c>
      <c r="Q928" t="s">
        <v>83</v>
      </c>
      <c r="R928">
        <v>119</v>
      </c>
      <c r="S928">
        <v>8.06</v>
      </c>
      <c r="T928" t="s">
        <v>29</v>
      </c>
      <c r="U928" t="s">
        <v>29</v>
      </c>
      <c r="V928" t="s">
        <v>84</v>
      </c>
    </row>
    <row r="929" spans="1:22" x14ac:dyDescent="0.35">
      <c r="A929" s="1">
        <v>45466</v>
      </c>
      <c r="B929" t="s">
        <v>64</v>
      </c>
      <c r="C929" s="2">
        <v>0.66047453703703707</v>
      </c>
      <c r="D929" t="s">
        <v>2093</v>
      </c>
      <c r="E929" t="s">
        <v>41</v>
      </c>
      <c r="F929" t="s">
        <v>2094</v>
      </c>
      <c r="G929" t="s">
        <v>34</v>
      </c>
      <c r="H929" t="s">
        <v>262</v>
      </c>
      <c r="I929" t="s">
        <v>613</v>
      </c>
      <c r="J929">
        <v>5</v>
      </c>
      <c r="K929">
        <v>15.1</v>
      </c>
      <c r="L929" t="s">
        <v>29</v>
      </c>
      <c r="M929" t="s">
        <v>29</v>
      </c>
      <c r="N929" t="s">
        <v>29</v>
      </c>
      <c r="O929" t="s">
        <v>29</v>
      </c>
      <c r="P929" t="s">
        <v>29</v>
      </c>
      <c r="Q929" t="s">
        <v>29</v>
      </c>
      <c r="R929">
        <v>659</v>
      </c>
      <c r="S929">
        <v>30.08</v>
      </c>
      <c r="T929">
        <v>4.4000000000000004</v>
      </c>
      <c r="U929">
        <v>3.6</v>
      </c>
      <c r="V929" t="s">
        <v>46</v>
      </c>
    </row>
    <row r="930" spans="1:22" x14ac:dyDescent="0.35">
      <c r="A930" s="1">
        <v>45361</v>
      </c>
      <c r="B930" t="s">
        <v>22</v>
      </c>
      <c r="C930" s="2">
        <v>0.9518981481481481</v>
      </c>
      <c r="D930" t="s">
        <v>2095</v>
      </c>
      <c r="E930" t="s">
        <v>32</v>
      </c>
      <c r="F930" t="s">
        <v>2096</v>
      </c>
      <c r="G930" t="s">
        <v>67</v>
      </c>
      <c r="H930" t="s">
        <v>407</v>
      </c>
      <c r="I930" t="s">
        <v>186</v>
      </c>
      <c r="J930">
        <v>8.3000000000000007</v>
      </c>
      <c r="K930">
        <v>20.2</v>
      </c>
      <c r="L930" t="s">
        <v>29</v>
      </c>
      <c r="M930" t="s">
        <v>29</v>
      </c>
      <c r="N930" t="s">
        <v>29</v>
      </c>
      <c r="O930" t="s">
        <v>29</v>
      </c>
      <c r="P930">
        <v>1</v>
      </c>
      <c r="Q930" t="s">
        <v>37</v>
      </c>
      <c r="R930">
        <v>1247</v>
      </c>
      <c r="S930">
        <v>11.31</v>
      </c>
      <c r="T930" t="s">
        <v>29</v>
      </c>
      <c r="U930" t="s">
        <v>29</v>
      </c>
      <c r="V930" t="s">
        <v>46</v>
      </c>
    </row>
    <row r="931" spans="1:22" x14ac:dyDescent="0.35">
      <c r="A931" s="1">
        <v>45642</v>
      </c>
      <c r="B931" t="s">
        <v>78</v>
      </c>
      <c r="C931" s="2">
        <v>0.8279050925925926</v>
      </c>
      <c r="D931" t="s">
        <v>2097</v>
      </c>
      <c r="E931" t="s">
        <v>93</v>
      </c>
      <c r="F931" t="s">
        <v>2098</v>
      </c>
      <c r="G931" t="s">
        <v>34</v>
      </c>
      <c r="H931" t="s">
        <v>299</v>
      </c>
      <c r="I931" t="s">
        <v>474</v>
      </c>
      <c r="J931">
        <v>10.4</v>
      </c>
      <c r="K931" t="s">
        <v>29</v>
      </c>
      <c r="L931" t="s">
        <v>29</v>
      </c>
      <c r="M931" t="s">
        <v>29</v>
      </c>
      <c r="N931">
        <v>1</v>
      </c>
      <c r="O931" t="s">
        <v>97</v>
      </c>
      <c r="P931" t="s">
        <v>29</v>
      </c>
      <c r="Q931" t="s">
        <v>29</v>
      </c>
      <c r="R931" t="s">
        <v>29</v>
      </c>
      <c r="S931" t="s">
        <v>29</v>
      </c>
      <c r="T931" t="s">
        <v>29</v>
      </c>
      <c r="U931" t="s">
        <v>29</v>
      </c>
      <c r="V931" t="s">
        <v>29</v>
      </c>
    </row>
    <row r="932" spans="1:22" x14ac:dyDescent="0.35">
      <c r="A932" s="1">
        <v>45300</v>
      </c>
      <c r="B932" t="s">
        <v>150</v>
      </c>
      <c r="C932" s="2">
        <v>0.91827546296296292</v>
      </c>
      <c r="D932" t="s">
        <v>2099</v>
      </c>
      <c r="E932" t="s">
        <v>41</v>
      </c>
      <c r="F932" t="s">
        <v>2100</v>
      </c>
      <c r="G932" t="s">
        <v>43</v>
      </c>
      <c r="H932" t="s">
        <v>210</v>
      </c>
      <c r="I932" t="s">
        <v>211</v>
      </c>
      <c r="J932">
        <v>10.5</v>
      </c>
      <c r="K932">
        <v>38.9</v>
      </c>
      <c r="L932" t="s">
        <v>29</v>
      </c>
      <c r="M932" t="s">
        <v>29</v>
      </c>
      <c r="N932" t="s">
        <v>29</v>
      </c>
      <c r="O932" t="s">
        <v>29</v>
      </c>
      <c r="P932" t="s">
        <v>29</v>
      </c>
      <c r="Q932" t="s">
        <v>29</v>
      </c>
      <c r="R932">
        <v>279</v>
      </c>
      <c r="S932">
        <v>43.33</v>
      </c>
      <c r="T932">
        <v>3.8</v>
      </c>
      <c r="U932">
        <v>4.9000000000000004</v>
      </c>
      <c r="V932" t="s">
        <v>38</v>
      </c>
    </row>
    <row r="933" spans="1:22" x14ac:dyDescent="0.35">
      <c r="A933" s="1">
        <v>45486</v>
      </c>
      <c r="B933" t="s">
        <v>108</v>
      </c>
      <c r="C933" s="2">
        <v>0.84917824074074078</v>
      </c>
      <c r="D933" t="s">
        <v>2101</v>
      </c>
      <c r="E933" t="s">
        <v>41</v>
      </c>
      <c r="F933" t="s">
        <v>2102</v>
      </c>
      <c r="G933" t="s">
        <v>67</v>
      </c>
      <c r="H933" t="s">
        <v>327</v>
      </c>
      <c r="I933" t="s">
        <v>36</v>
      </c>
      <c r="J933">
        <v>11.5</v>
      </c>
      <c r="K933">
        <v>22.5</v>
      </c>
      <c r="L933" t="s">
        <v>29</v>
      </c>
      <c r="M933" t="s">
        <v>29</v>
      </c>
      <c r="N933" t="s">
        <v>29</v>
      </c>
      <c r="O933" t="s">
        <v>29</v>
      </c>
      <c r="P933" t="s">
        <v>29</v>
      </c>
      <c r="Q933" t="s">
        <v>29</v>
      </c>
      <c r="R933">
        <v>2908</v>
      </c>
      <c r="S933">
        <v>23.65</v>
      </c>
      <c r="T933">
        <v>4.2</v>
      </c>
      <c r="U933">
        <v>5</v>
      </c>
      <c r="V933" t="s">
        <v>46</v>
      </c>
    </row>
    <row r="934" spans="1:22" x14ac:dyDescent="0.35">
      <c r="A934" s="1">
        <v>45347</v>
      </c>
      <c r="B934" t="s">
        <v>59</v>
      </c>
      <c r="C934" s="2">
        <v>0.91461805555555553</v>
      </c>
      <c r="D934" t="s">
        <v>2103</v>
      </c>
      <c r="E934" t="s">
        <v>32</v>
      </c>
      <c r="F934" t="s">
        <v>2104</v>
      </c>
      <c r="G934" t="s">
        <v>43</v>
      </c>
      <c r="H934" t="s">
        <v>62</v>
      </c>
      <c r="I934" t="s">
        <v>555</v>
      </c>
      <c r="J934">
        <v>3.2</v>
      </c>
      <c r="K934">
        <v>14.1</v>
      </c>
      <c r="L934" t="s">
        <v>29</v>
      </c>
      <c r="M934" t="s">
        <v>29</v>
      </c>
      <c r="N934" t="s">
        <v>29</v>
      </c>
      <c r="O934" t="s">
        <v>29</v>
      </c>
      <c r="P934">
        <v>1</v>
      </c>
      <c r="Q934" t="s">
        <v>37</v>
      </c>
      <c r="R934">
        <v>447</v>
      </c>
      <c r="S934">
        <v>12.81</v>
      </c>
      <c r="T934" t="s">
        <v>29</v>
      </c>
      <c r="U934" t="s">
        <v>29</v>
      </c>
      <c r="V934" t="s">
        <v>107</v>
      </c>
    </row>
    <row r="935" spans="1:22" x14ac:dyDescent="0.35">
      <c r="A935" s="1">
        <v>45470</v>
      </c>
      <c r="B935" t="s">
        <v>64</v>
      </c>
      <c r="C935" s="2">
        <v>0.58917824074074077</v>
      </c>
      <c r="D935" t="s">
        <v>2105</v>
      </c>
      <c r="E935" t="s">
        <v>41</v>
      </c>
      <c r="F935" t="s">
        <v>2106</v>
      </c>
      <c r="G935" t="s">
        <v>34</v>
      </c>
      <c r="H935" t="s">
        <v>72</v>
      </c>
      <c r="I935" t="s">
        <v>531</v>
      </c>
      <c r="J935">
        <v>4.8</v>
      </c>
      <c r="K935">
        <v>30.9</v>
      </c>
      <c r="L935" t="s">
        <v>29</v>
      </c>
      <c r="M935" t="s">
        <v>29</v>
      </c>
      <c r="N935" t="s">
        <v>29</v>
      </c>
      <c r="O935" t="s">
        <v>29</v>
      </c>
      <c r="P935" t="s">
        <v>29</v>
      </c>
      <c r="Q935" t="s">
        <v>29</v>
      </c>
      <c r="R935">
        <v>726</v>
      </c>
      <c r="S935">
        <v>40.97</v>
      </c>
      <c r="T935">
        <v>4.0999999999999996</v>
      </c>
      <c r="U935">
        <v>4.9000000000000004</v>
      </c>
      <c r="V935" t="s">
        <v>84</v>
      </c>
    </row>
    <row r="936" spans="1:22" x14ac:dyDescent="0.35">
      <c r="A936" s="1">
        <v>45545</v>
      </c>
      <c r="B936" t="s">
        <v>53</v>
      </c>
      <c r="C936" s="2">
        <v>0.87670138888888893</v>
      </c>
      <c r="D936" t="s">
        <v>2107</v>
      </c>
      <c r="E936" t="s">
        <v>41</v>
      </c>
      <c r="F936" t="s">
        <v>2108</v>
      </c>
      <c r="G936" t="s">
        <v>43</v>
      </c>
      <c r="H936" t="s">
        <v>147</v>
      </c>
      <c r="I936" t="s">
        <v>180</v>
      </c>
      <c r="J936">
        <v>10.4</v>
      </c>
      <c r="K936">
        <v>44.9</v>
      </c>
      <c r="L936" t="s">
        <v>29</v>
      </c>
      <c r="M936" t="s">
        <v>29</v>
      </c>
      <c r="N936" t="s">
        <v>29</v>
      </c>
      <c r="O936" t="s">
        <v>29</v>
      </c>
      <c r="P936" t="s">
        <v>29</v>
      </c>
      <c r="Q936" t="s">
        <v>29</v>
      </c>
      <c r="R936">
        <v>54</v>
      </c>
      <c r="S936">
        <v>23.39</v>
      </c>
      <c r="T936">
        <v>4.4000000000000004</v>
      </c>
      <c r="U936">
        <v>4.7</v>
      </c>
      <c r="V936" t="s">
        <v>84</v>
      </c>
    </row>
    <row r="937" spans="1:22" x14ac:dyDescent="0.35">
      <c r="A937" s="1">
        <v>45329</v>
      </c>
      <c r="B937" t="s">
        <v>59</v>
      </c>
      <c r="C937" s="2">
        <v>0.76500000000000001</v>
      </c>
      <c r="D937" t="s">
        <v>2109</v>
      </c>
      <c r="E937" t="s">
        <v>41</v>
      </c>
      <c r="F937" t="s">
        <v>2110</v>
      </c>
      <c r="G937" t="s">
        <v>50</v>
      </c>
      <c r="H937" t="s">
        <v>616</v>
      </c>
      <c r="I937" t="s">
        <v>214</v>
      </c>
      <c r="J937">
        <v>7.5</v>
      </c>
      <c r="K937">
        <v>20.8</v>
      </c>
      <c r="L937" t="s">
        <v>29</v>
      </c>
      <c r="M937" t="s">
        <v>29</v>
      </c>
      <c r="N937" t="s">
        <v>29</v>
      </c>
      <c r="O937" t="s">
        <v>29</v>
      </c>
      <c r="P937" t="s">
        <v>29</v>
      </c>
      <c r="Q937" t="s">
        <v>29</v>
      </c>
      <c r="R937">
        <v>321</v>
      </c>
      <c r="S937">
        <v>46.44</v>
      </c>
      <c r="T937">
        <v>4.4000000000000004</v>
      </c>
      <c r="U937">
        <v>3.2</v>
      </c>
      <c r="V937" t="s">
        <v>84</v>
      </c>
    </row>
    <row r="938" spans="1:22" x14ac:dyDescent="0.35">
      <c r="A938" s="1">
        <v>45484</v>
      </c>
      <c r="B938" t="s">
        <v>108</v>
      </c>
      <c r="C938" s="2">
        <v>0.33604166666666668</v>
      </c>
      <c r="D938" t="s">
        <v>2111</v>
      </c>
      <c r="E938" t="s">
        <v>117</v>
      </c>
      <c r="F938" t="s">
        <v>2112</v>
      </c>
      <c r="G938" t="s">
        <v>67</v>
      </c>
      <c r="H938" t="s">
        <v>549</v>
      </c>
      <c r="I938" t="s">
        <v>148</v>
      </c>
      <c r="J938">
        <v>15.9</v>
      </c>
      <c r="K938" t="s">
        <v>29</v>
      </c>
      <c r="L938">
        <v>1</v>
      </c>
      <c r="M938" t="s">
        <v>420</v>
      </c>
      <c r="N938" t="s">
        <v>29</v>
      </c>
      <c r="O938" t="s">
        <v>29</v>
      </c>
      <c r="P938" t="s">
        <v>29</v>
      </c>
      <c r="Q938" t="s">
        <v>29</v>
      </c>
      <c r="R938" t="s">
        <v>29</v>
      </c>
      <c r="S938" t="s">
        <v>29</v>
      </c>
      <c r="T938" t="s">
        <v>29</v>
      </c>
      <c r="U938" t="s">
        <v>29</v>
      </c>
      <c r="V938" t="s">
        <v>29</v>
      </c>
    </row>
    <row r="939" spans="1:22" x14ac:dyDescent="0.35">
      <c r="A939" s="1">
        <v>45506</v>
      </c>
      <c r="B939" t="s">
        <v>39</v>
      </c>
      <c r="C939" s="2">
        <v>0.52454861111111106</v>
      </c>
      <c r="D939" t="s">
        <v>2113</v>
      </c>
      <c r="E939" t="s">
        <v>117</v>
      </c>
      <c r="F939" t="s">
        <v>2114</v>
      </c>
      <c r="G939" t="s">
        <v>56</v>
      </c>
      <c r="H939" t="s">
        <v>627</v>
      </c>
      <c r="I939" t="s">
        <v>76</v>
      </c>
      <c r="J939">
        <v>7.3</v>
      </c>
      <c r="K939" t="s">
        <v>29</v>
      </c>
      <c r="L939">
        <v>1</v>
      </c>
      <c r="M939" t="s">
        <v>224</v>
      </c>
      <c r="N939" t="s">
        <v>29</v>
      </c>
      <c r="O939" t="s">
        <v>29</v>
      </c>
      <c r="P939" t="s">
        <v>29</v>
      </c>
      <c r="Q939" t="s">
        <v>29</v>
      </c>
      <c r="R939" t="s">
        <v>29</v>
      </c>
      <c r="S939" t="s">
        <v>29</v>
      </c>
      <c r="T939" t="s">
        <v>29</v>
      </c>
      <c r="U939" t="s">
        <v>29</v>
      </c>
      <c r="V939" t="s">
        <v>29</v>
      </c>
    </row>
    <row r="940" spans="1:22" x14ac:dyDescent="0.35">
      <c r="A940" s="1">
        <v>45534</v>
      </c>
      <c r="B940" t="s">
        <v>39</v>
      </c>
      <c r="C940" s="2">
        <v>0.41923611111111109</v>
      </c>
      <c r="D940" t="s">
        <v>2115</v>
      </c>
      <c r="E940" t="s">
        <v>32</v>
      </c>
      <c r="F940" t="s">
        <v>2116</v>
      </c>
      <c r="G940" t="s">
        <v>43</v>
      </c>
      <c r="H940" t="s">
        <v>565</v>
      </c>
      <c r="I940" t="s">
        <v>63</v>
      </c>
      <c r="J940">
        <v>9.9</v>
      </c>
      <c r="K940">
        <v>19.600000000000001</v>
      </c>
      <c r="L940" t="s">
        <v>29</v>
      </c>
      <c r="M940" t="s">
        <v>29</v>
      </c>
      <c r="N940" t="s">
        <v>29</v>
      </c>
      <c r="O940" t="s">
        <v>29</v>
      </c>
      <c r="P940">
        <v>1</v>
      </c>
      <c r="Q940" t="s">
        <v>302</v>
      </c>
      <c r="R940">
        <v>874</v>
      </c>
      <c r="S940">
        <v>3.25</v>
      </c>
      <c r="T940" t="s">
        <v>29</v>
      </c>
      <c r="U940" t="s">
        <v>29</v>
      </c>
      <c r="V940" t="s">
        <v>107</v>
      </c>
    </row>
    <row r="941" spans="1:22" x14ac:dyDescent="0.35">
      <c r="A941" s="1">
        <v>45560</v>
      </c>
      <c r="B941" t="s">
        <v>53</v>
      </c>
      <c r="C941" s="2">
        <v>2.133101851851852E-2</v>
      </c>
      <c r="D941" t="s">
        <v>2117</v>
      </c>
      <c r="E941" t="s">
        <v>93</v>
      </c>
      <c r="F941" t="s">
        <v>2118</v>
      </c>
      <c r="G941" t="s">
        <v>146</v>
      </c>
      <c r="H941" t="s">
        <v>511</v>
      </c>
      <c r="I941" t="s">
        <v>590</v>
      </c>
      <c r="J941">
        <v>5.5</v>
      </c>
      <c r="K941" t="s">
        <v>29</v>
      </c>
      <c r="L941" t="s">
        <v>29</v>
      </c>
      <c r="M941" t="s">
        <v>29</v>
      </c>
      <c r="N941">
        <v>1</v>
      </c>
      <c r="O941" t="s">
        <v>97</v>
      </c>
      <c r="P941" t="s">
        <v>29</v>
      </c>
      <c r="Q941" t="s">
        <v>29</v>
      </c>
      <c r="R941" t="s">
        <v>29</v>
      </c>
      <c r="S941" t="s">
        <v>29</v>
      </c>
      <c r="T941" t="s">
        <v>29</v>
      </c>
      <c r="U941" t="s">
        <v>29</v>
      </c>
      <c r="V941" t="s">
        <v>29</v>
      </c>
    </row>
    <row r="942" spans="1:22" x14ac:dyDescent="0.35">
      <c r="A942" s="1">
        <v>45495</v>
      </c>
      <c r="B942" t="s">
        <v>108</v>
      </c>
      <c r="C942" s="2">
        <v>0.76873842592592589</v>
      </c>
      <c r="D942" t="s">
        <v>2119</v>
      </c>
      <c r="E942" t="s">
        <v>41</v>
      </c>
      <c r="F942" t="s">
        <v>2120</v>
      </c>
      <c r="G942" t="s">
        <v>56</v>
      </c>
      <c r="H942" t="s">
        <v>803</v>
      </c>
      <c r="I942" t="s">
        <v>96</v>
      </c>
      <c r="J942">
        <v>7.5</v>
      </c>
      <c r="K942">
        <v>21.3</v>
      </c>
      <c r="L942" t="s">
        <v>29</v>
      </c>
      <c r="M942" t="s">
        <v>29</v>
      </c>
      <c r="N942" t="s">
        <v>29</v>
      </c>
      <c r="O942" t="s">
        <v>29</v>
      </c>
      <c r="P942" t="s">
        <v>29</v>
      </c>
      <c r="Q942" t="s">
        <v>29</v>
      </c>
      <c r="R942">
        <v>790</v>
      </c>
      <c r="S942">
        <v>43.79</v>
      </c>
      <c r="T942">
        <v>4.8</v>
      </c>
      <c r="U942">
        <v>4.5999999999999996</v>
      </c>
      <c r="V942" t="s">
        <v>38</v>
      </c>
    </row>
    <row r="943" spans="1:22" x14ac:dyDescent="0.35">
      <c r="A943" s="1">
        <v>45382</v>
      </c>
      <c r="B943" t="s">
        <v>22</v>
      </c>
      <c r="C943" s="2">
        <v>7.3541666666666672E-2</v>
      </c>
      <c r="D943" t="s">
        <v>2121</v>
      </c>
      <c r="E943" t="s">
        <v>93</v>
      </c>
      <c r="F943" t="s">
        <v>2122</v>
      </c>
      <c r="G943" t="s">
        <v>50</v>
      </c>
      <c r="H943" t="s">
        <v>536</v>
      </c>
      <c r="I943" t="s">
        <v>189</v>
      </c>
      <c r="J943">
        <v>9.8000000000000007</v>
      </c>
      <c r="K943" t="s">
        <v>29</v>
      </c>
      <c r="L943" t="s">
        <v>29</v>
      </c>
      <c r="M943" t="s">
        <v>29</v>
      </c>
      <c r="N943">
        <v>1</v>
      </c>
      <c r="O943" t="s">
        <v>169</v>
      </c>
      <c r="P943" t="s">
        <v>29</v>
      </c>
      <c r="Q943" t="s">
        <v>29</v>
      </c>
      <c r="R943" t="s">
        <v>29</v>
      </c>
      <c r="S943" t="s">
        <v>29</v>
      </c>
      <c r="T943" t="s">
        <v>29</v>
      </c>
      <c r="U943" t="s">
        <v>29</v>
      </c>
      <c r="V943" t="s">
        <v>29</v>
      </c>
    </row>
    <row r="944" spans="1:22" x14ac:dyDescent="0.35">
      <c r="A944" s="1">
        <v>45431</v>
      </c>
      <c r="B944" t="s">
        <v>122</v>
      </c>
      <c r="C944" s="2">
        <v>0.85978009259259258</v>
      </c>
      <c r="D944" t="s">
        <v>2123</v>
      </c>
      <c r="E944" t="s">
        <v>93</v>
      </c>
      <c r="F944" t="s">
        <v>2124</v>
      </c>
      <c r="G944" t="s">
        <v>50</v>
      </c>
      <c r="H944" t="s">
        <v>239</v>
      </c>
      <c r="I944" t="s">
        <v>270</v>
      </c>
      <c r="J944">
        <v>8.6999999999999993</v>
      </c>
      <c r="K944" t="s">
        <v>29</v>
      </c>
      <c r="L944" t="s">
        <v>29</v>
      </c>
      <c r="M944" t="s">
        <v>29</v>
      </c>
      <c r="N944">
        <v>1</v>
      </c>
      <c r="O944" t="s">
        <v>97</v>
      </c>
      <c r="P944" t="s">
        <v>29</v>
      </c>
      <c r="Q944" t="s">
        <v>29</v>
      </c>
      <c r="R944" t="s">
        <v>29</v>
      </c>
      <c r="S944" t="s">
        <v>29</v>
      </c>
      <c r="T944" t="s">
        <v>29</v>
      </c>
      <c r="U944" t="s">
        <v>29</v>
      </c>
      <c r="V944" t="s">
        <v>29</v>
      </c>
    </row>
    <row r="945" spans="1:22" x14ac:dyDescent="0.35">
      <c r="A945" s="1">
        <v>45583</v>
      </c>
      <c r="B945" t="s">
        <v>47</v>
      </c>
      <c r="C945" s="2">
        <v>0.35957175925925927</v>
      </c>
      <c r="D945" t="s">
        <v>2125</v>
      </c>
      <c r="E945" t="s">
        <v>41</v>
      </c>
      <c r="F945" t="s">
        <v>2126</v>
      </c>
      <c r="G945" t="s">
        <v>56</v>
      </c>
      <c r="H945" t="s">
        <v>227</v>
      </c>
      <c r="I945" t="s">
        <v>164</v>
      </c>
      <c r="J945">
        <v>14.8</v>
      </c>
      <c r="K945">
        <v>27</v>
      </c>
      <c r="L945" t="s">
        <v>29</v>
      </c>
      <c r="M945" t="s">
        <v>29</v>
      </c>
      <c r="N945" t="s">
        <v>29</v>
      </c>
      <c r="O945" t="s">
        <v>29</v>
      </c>
      <c r="P945" t="s">
        <v>29</v>
      </c>
      <c r="Q945" t="s">
        <v>29</v>
      </c>
      <c r="R945">
        <v>56</v>
      </c>
      <c r="S945">
        <v>32.82</v>
      </c>
      <c r="T945">
        <v>4.5999999999999996</v>
      </c>
      <c r="U945">
        <v>4.9000000000000004</v>
      </c>
      <c r="V945" t="s">
        <v>149</v>
      </c>
    </row>
    <row r="946" spans="1:22" x14ac:dyDescent="0.35">
      <c r="A946" s="1">
        <v>45404</v>
      </c>
      <c r="B946" t="s">
        <v>154</v>
      </c>
      <c r="C946" s="2">
        <v>0.71096064814814819</v>
      </c>
      <c r="D946" t="s">
        <v>2127</v>
      </c>
      <c r="E946" t="s">
        <v>41</v>
      </c>
      <c r="F946" t="s">
        <v>2128</v>
      </c>
      <c r="G946" t="s">
        <v>56</v>
      </c>
      <c r="H946" t="s">
        <v>207</v>
      </c>
      <c r="I946" t="s">
        <v>211</v>
      </c>
      <c r="J946">
        <v>10.3</v>
      </c>
      <c r="K946">
        <v>29.2</v>
      </c>
      <c r="L946" t="s">
        <v>29</v>
      </c>
      <c r="M946" t="s">
        <v>29</v>
      </c>
      <c r="N946" t="s">
        <v>29</v>
      </c>
      <c r="O946" t="s">
        <v>29</v>
      </c>
      <c r="P946" t="s">
        <v>29</v>
      </c>
      <c r="Q946" t="s">
        <v>29</v>
      </c>
      <c r="R946">
        <v>889</v>
      </c>
      <c r="S946">
        <v>19.82</v>
      </c>
      <c r="T946">
        <v>4.7</v>
      </c>
      <c r="U946">
        <v>3.9</v>
      </c>
      <c r="V946" t="s">
        <v>46</v>
      </c>
    </row>
    <row r="947" spans="1:22" x14ac:dyDescent="0.35">
      <c r="A947" s="1">
        <v>45600</v>
      </c>
      <c r="B947" t="s">
        <v>30</v>
      </c>
      <c r="C947" s="2">
        <v>0.72618055555555561</v>
      </c>
      <c r="D947" t="s">
        <v>2129</v>
      </c>
      <c r="E947" t="s">
        <v>41</v>
      </c>
      <c r="F947" t="s">
        <v>2130</v>
      </c>
      <c r="G947" t="s">
        <v>43</v>
      </c>
      <c r="H947" t="s">
        <v>164</v>
      </c>
      <c r="I947" t="s">
        <v>690</v>
      </c>
      <c r="J947">
        <v>4.0999999999999996</v>
      </c>
      <c r="K947">
        <v>37.799999999999997</v>
      </c>
      <c r="L947" t="s">
        <v>29</v>
      </c>
      <c r="M947" t="s">
        <v>29</v>
      </c>
      <c r="N947" t="s">
        <v>29</v>
      </c>
      <c r="O947" t="s">
        <v>29</v>
      </c>
      <c r="P947" t="s">
        <v>29</v>
      </c>
      <c r="Q947" t="s">
        <v>29</v>
      </c>
      <c r="R947">
        <v>722</v>
      </c>
      <c r="S947">
        <v>40</v>
      </c>
      <c r="T947">
        <v>3.8</v>
      </c>
      <c r="U947">
        <v>4.9000000000000004</v>
      </c>
      <c r="V947" t="s">
        <v>84</v>
      </c>
    </row>
    <row r="948" spans="1:22" x14ac:dyDescent="0.35">
      <c r="A948" s="1">
        <v>45538</v>
      </c>
      <c r="B948" t="s">
        <v>53</v>
      </c>
      <c r="C948" s="2">
        <v>0.25864583333333335</v>
      </c>
      <c r="D948" t="s">
        <v>2131</v>
      </c>
      <c r="E948" t="s">
        <v>41</v>
      </c>
      <c r="F948" t="s">
        <v>2132</v>
      </c>
      <c r="G948" t="s">
        <v>67</v>
      </c>
      <c r="H948" t="s">
        <v>167</v>
      </c>
      <c r="I948" t="s">
        <v>822</v>
      </c>
      <c r="J948">
        <v>13.9</v>
      </c>
      <c r="K948">
        <v>30.3</v>
      </c>
      <c r="L948" t="s">
        <v>29</v>
      </c>
      <c r="M948" t="s">
        <v>29</v>
      </c>
      <c r="N948" t="s">
        <v>29</v>
      </c>
      <c r="O948" t="s">
        <v>29</v>
      </c>
      <c r="P948" t="s">
        <v>29</v>
      </c>
      <c r="Q948" t="s">
        <v>29</v>
      </c>
      <c r="R948">
        <v>175</v>
      </c>
      <c r="S948">
        <v>40.659999999999997</v>
      </c>
      <c r="T948">
        <v>4.0999999999999996</v>
      </c>
      <c r="U948">
        <v>4.5</v>
      </c>
      <c r="V948" t="s">
        <v>38</v>
      </c>
    </row>
    <row r="949" spans="1:22" x14ac:dyDescent="0.35">
      <c r="A949" s="1">
        <v>45380</v>
      </c>
      <c r="B949" t="s">
        <v>22</v>
      </c>
      <c r="C949" s="2">
        <v>0.26076388888888891</v>
      </c>
      <c r="D949" t="s">
        <v>2133</v>
      </c>
      <c r="E949" t="s">
        <v>41</v>
      </c>
      <c r="F949" t="s">
        <v>2134</v>
      </c>
      <c r="G949" t="s">
        <v>67</v>
      </c>
      <c r="H949" t="s">
        <v>336</v>
      </c>
      <c r="I949" t="s">
        <v>193</v>
      </c>
      <c r="J949">
        <v>7.9</v>
      </c>
      <c r="K949">
        <v>16.3</v>
      </c>
      <c r="L949" t="s">
        <v>29</v>
      </c>
      <c r="M949" t="s">
        <v>29</v>
      </c>
      <c r="N949" t="s">
        <v>29</v>
      </c>
      <c r="O949" t="s">
        <v>29</v>
      </c>
      <c r="P949" t="s">
        <v>29</v>
      </c>
      <c r="Q949" t="s">
        <v>29</v>
      </c>
      <c r="R949">
        <v>539</v>
      </c>
      <c r="S949">
        <v>10.89</v>
      </c>
      <c r="T949">
        <v>4.7</v>
      </c>
      <c r="U949">
        <v>4.2</v>
      </c>
      <c r="V949" t="s">
        <v>38</v>
      </c>
    </row>
    <row r="950" spans="1:22" x14ac:dyDescent="0.35">
      <c r="A950" s="1">
        <v>45293</v>
      </c>
      <c r="B950" t="s">
        <v>150</v>
      </c>
      <c r="C950" s="2">
        <v>0.81027777777777776</v>
      </c>
      <c r="D950" t="s">
        <v>2135</v>
      </c>
      <c r="E950" t="s">
        <v>93</v>
      </c>
      <c r="F950" t="s">
        <v>2136</v>
      </c>
      <c r="G950" t="s">
        <v>26</v>
      </c>
      <c r="H950" t="s">
        <v>176</v>
      </c>
      <c r="I950" t="s">
        <v>613</v>
      </c>
      <c r="J950">
        <v>4.0999999999999996</v>
      </c>
      <c r="K950" t="s">
        <v>29</v>
      </c>
      <c r="L950" t="s">
        <v>29</v>
      </c>
      <c r="M950" t="s">
        <v>29</v>
      </c>
      <c r="N950">
        <v>1</v>
      </c>
      <c r="O950" t="s">
        <v>337</v>
      </c>
      <c r="P950" t="s">
        <v>29</v>
      </c>
      <c r="Q950" t="s">
        <v>29</v>
      </c>
      <c r="R950" t="s">
        <v>29</v>
      </c>
      <c r="S950" t="s">
        <v>29</v>
      </c>
      <c r="T950" t="s">
        <v>29</v>
      </c>
      <c r="U950" t="s">
        <v>29</v>
      </c>
      <c r="V950" t="s">
        <v>29</v>
      </c>
    </row>
    <row r="951" spans="1:22" x14ac:dyDescent="0.35">
      <c r="A951" s="1">
        <v>45330</v>
      </c>
      <c r="B951" t="s">
        <v>59</v>
      </c>
      <c r="C951" s="2">
        <v>0.26800925925925928</v>
      </c>
      <c r="D951" t="s">
        <v>2137</v>
      </c>
      <c r="E951" t="s">
        <v>24</v>
      </c>
      <c r="F951" t="s">
        <v>2138</v>
      </c>
      <c r="G951" t="s">
        <v>26</v>
      </c>
      <c r="H951" t="s">
        <v>88</v>
      </c>
      <c r="I951" t="s">
        <v>235</v>
      </c>
      <c r="J951" t="s">
        <v>29</v>
      </c>
      <c r="K951" t="s">
        <v>29</v>
      </c>
      <c r="L951" t="s">
        <v>29</v>
      </c>
      <c r="M951" t="s">
        <v>29</v>
      </c>
      <c r="N951" t="s">
        <v>29</v>
      </c>
      <c r="O951" t="s">
        <v>29</v>
      </c>
      <c r="P951" t="s">
        <v>29</v>
      </c>
      <c r="Q951" t="s">
        <v>29</v>
      </c>
      <c r="R951" t="s">
        <v>29</v>
      </c>
      <c r="S951" t="s">
        <v>29</v>
      </c>
      <c r="T951" t="s">
        <v>29</v>
      </c>
      <c r="U951" t="s">
        <v>29</v>
      </c>
      <c r="V951" t="s">
        <v>29</v>
      </c>
    </row>
    <row r="952" spans="1:22" x14ac:dyDescent="0.35">
      <c r="A952" s="1">
        <v>45582</v>
      </c>
      <c r="B952" t="s">
        <v>47</v>
      </c>
      <c r="C952" s="2">
        <v>0.63203703703703706</v>
      </c>
      <c r="D952" t="s">
        <v>2139</v>
      </c>
      <c r="E952" t="s">
        <v>41</v>
      </c>
      <c r="F952" t="s">
        <v>2140</v>
      </c>
      <c r="G952" t="s">
        <v>67</v>
      </c>
      <c r="H952" t="s">
        <v>88</v>
      </c>
      <c r="I952" t="s">
        <v>819</v>
      </c>
      <c r="J952">
        <v>11.8</v>
      </c>
      <c r="K952">
        <v>43.6</v>
      </c>
      <c r="L952" t="s">
        <v>29</v>
      </c>
      <c r="M952" t="s">
        <v>29</v>
      </c>
      <c r="N952" t="s">
        <v>29</v>
      </c>
      <c r="O952" t="s">
        <v>29</v>
      </c>
      <c r="P952" t="s">
        <v>29</v>
      </c>
      <c r="Q952" t="s">
        <v>29</v>
      </c>
      <c r="R952">
        <v>822</v>
      </c>
      <c r="S952">
        <v>41.4</v>
      </c>
      <c r="T952">
        <v>4.0999999999999996</v>
      </c>
      <c r="U952">
        <v>4.3</v>
      </c>
      <c r="V952" t="s">
        <v>38</v>
      </c>
    </row>
    <row r="953" spans="1:22" x14ac:dyDescent="0.35">
      <c r="A953" s="1">
        <v>45447</v>
      </c>
      <c r="B953" t="s">
        <v>64</v>
      </c>
      <c r="C953" s="2">
        <v>0.66614583333333333</v>
      </c>
      <c r="D953" t="s">
        <v>2141</v>
      </c>
      <c r="E953" t="s">
        <v>41</v>
      </c>
      <c r="F953" t="s">
        <v>2142</v>
      </c>
      <c r="G953" t="s">
        <v>56</v>
      </c>
      <c r="H953" t="s">
        <v>346</v>
      </c>
      <c r="I953" t="s">
        <v>125</v>
      </c>
      <c r="J953">
        <v>7.2</v>
      </c>
      <c r="K953">
        <v>32</v>
      </c>
      <c r="L953" t="s">
        <v>29</v>
      </c>
      <c r="M953" t="s">
        <v>29</v>
      </c>
      <c r="N953" t="s">
        <v>29</v>
      </c>
      <c r="O953" t="s">
        <v>29</v>
      </c>
      <c r="P953" t="s">
        <v>29</v>
      </c>
      <c r="Q953" t="s">
        <v>29</v>
      </c>
      <c r="R953">
        <v>298</v>
      </c>
      <c r="S953">
        <v>34.71</v>
      </c>
      <c r="T953">
        <v>4.5999999999999996</v>
      </c>
      <c r="U953">
        <v>4.4000000000000004</v>
      </c>
      <c r="V953" t="s">
        <v>149</v>
      </c>
    </row>
    <row r="954" spans="1:22" x14ac:dyDescent="0.35">
      <c r="A954" s="1">
        <v>45463</v>
      </c>
      <c r="B954" t="s">
        <v>64</v>
      </c>
      <c r="C954" s="2">
        <v>0.2142013888888889</v>
      </c>
      <c r="D954" t="s">
        <v>2143</v>
      </c>
      <c r="E954" t="s">
        <v>41</v>
      </c>
      <c r="F954" t="s">
        <v>2144</v>
      </c>
      <c r="G954" t="s">
        <v>43</v>
      </c>
      <c r="H954" t="s">
        <v>808</v>
      </c>
      <c r="I954" t="s">
        <v>398</v>
      </c>
      <c r="J954">
        <v>2.1</v>
      </c>
      <c r="K954">
        <v>41.8</v>
      </c>
      <c r="L954" t="s">
        <v>29</v>
      </c>
      <c r="M954" t="s">
        <v>29</v>
      </c>
      <c r="N954" t="s">
        <v>29</v>
      </c>
      <c r="O954" t="s">
        <v>29</v>
      </c>
      <c r="P954" t="s">
        <v>29</v>
      </c>
      <c r="Q954" t="s">
        <v>29</v>
      </c>
      <c r="R954">
        <v>812</v>
      </c>
      <c r="S954">
        <v>34.68</v>
      </c>
      <c r="T954">
        <v>4.3</v>
      </c>
      <c r="U954">
        <v>3.9</v>
      </c>
      <c r="V954" t="s">
        <v>38</v>
      </c>
    </row>
    <row r="955" spans="1:22" x14ac:dyDescent="0.35">
      <c r="A955" s="1">
        <v>45353</v>
      </c>
      <c r="B955" t="s">
        <v>22</v>
      </c>
      <c r="C955" s="2">
        <v>0.47212962962962962</v>
      </c>
      <c r="D955" t="s">
        <v>2145</v>
      </c>
      <c r="E955" t="s">
        <v>41</v>
      </c>
      <c r="F955" t="s">
        <v>2146</v>
      </c>
      <c r="G955" t="s">
        <v>43</v>
      </c>
      <c r="H955" t="s">
        <v>266</v>
      </c>
      <c r="I955" t="s">
        <v>183</v>
      </c>
      <c r="J955">
        <v>2.4</v>
      </c>
      <c r="K955">
        <v>24.8</v>
      </c>
      <c r="L955" t="s">
        <v>29</v>
      </c>
      <c r="M955" t="s">
        <v>29</v>
      </c>
      <c r="N955" t="s">
        <v>29</v>
      </c>
      <c r="O955" t="s">
        <v>29</v>
      </c>
      <c r="P955" t="s">
        <v>29</v>
      </c>
      <c r="Q955" t="s">
        <v>29</v>
      </c>
      <c r="R955">
        <v>761</v>
      </c>
      <c r="S955">
        <v>26.32</v>
      </c>
      <c r="T955">
        <v>4.2</v>
      </c>
      <c r="U955">
        <v>4.3</v>
      </c>
      <c r="V955" t="s">
        <v>38</v>
      </c>
    </row>
    <row r="956" spans="1:22" x14ac:dyDescent="0.35">
      <c r="A956" s="1">
        <v>45397</v>
      </c>
      <c r="B956" t="s">
        <v>154</v>
      </c>
      <c r="C956" s="2">
        <v>0.82962962962962961</v>
      </c>
      <c r="D956" t="s">
        <v>2147</v>
      </c>
      <c r="E956" t="s">
        <v>117</v>
      </c>
      <c r="F956" t="s">
        <v>2148</v>
      </c>
      <c r="G956" t="s">
        <v>26</v>
      </c>
      <c r="H956" t="s">
        <v>627</v>
      </c>
      <c r="I956" t="s">
        <v>245</v>
      </c>
      <c r="J956">
        <v>11.5</v>
      </c>
      <c r="K956" t="s">
        <v>29</v>
      </c>
      <c r="L956">
        <v>1</v>
      </c>
      <c r="M956" t="s">
        <v>420</v>
      </c>
      <c r="N956" t="s">
        <v>29</v>
      </c>
      <c r="O956" t="s">
        <v>29</v>
      </c>
      <c r="P956" t="s">
        <v>29</v>
      </c>
      <c r="Q956" t="s">
        <v>29</v>
      </c>
      <c r="R956" t="s">
        <v>29</v>
      </c>
      <c r="S956" t="s">
        <v>29</v>
      </c>
      <c r="T956" t="s">
        <v>29</v>
      </c>
      <c r="U956" t="s">
        <v>29</v>
      </c>
      <c r="V956" t="s">
        <v>29</v>
      </c>
    </row>
    <row r="957" spans="1:22" x14ac:dyDescent="0.35">
      <c r="A957" s="1">
        <v>45408</v>
      </c>
      <c r="B957" t="s">
        <v>154</v>
      </c>
      <c r="C957" s="2">
        <v>0.57201388888888893</v>
      </c>
      <c r="D957" t="s">
        <v>2149</v>
      </c>
      <c r="E957" t="s">
        <v>41</v>
      </c>
      <c r="F957" t="s">
        <v>2150</v>
      </c>
      <c r="G957" t="s">
        <v>26</v>
      </c>
      <c r="H957" t="s">
        <v>555</v>
      </c>
      <c r="I957" t="s">
        <v>486</v>
      </c>
      <c r="J957">
        <v>11.8</v>
      </c>
      <c r="K957">
        <v>32.1</v>
      </c>
      <c r="L957" t="s">
        <v>29</v>
      </c>
      <c r="M957" t="s">
        <v>29</v>
      </c>
      <c r="N957" t="s">
        <v>29</v>
      </c>
      <c r="O957" t="s">
        <v>29</v>
      </c>
      <c r="P957" t="s">
        <v>29</v>
      </c>
      <c r="Q957" t="s">
        <v>29</v>
      </c>
      <c r="R957">
        <v>313</v>
      </c>
      <c r="S957">
        <v>13.5</v>
      </c>
      <c r="T957">
        <v>3.4</v>
      </c>
      <c r="U957">
        <v>4.9000000000000004</v>
      </c>
      <c r="V957" t="s">
        <v>38</v>
      </c>
    </row>
    <row r="958" spans="1:22" x14ac:dyDescent="0.35">
      <c r="A958" s="1">
        <v>45369</v>
      </c>
      <c r="B958" t="s">
        <v>22</v>
      </c>
      <c r="C958" s="2">
        <v>0.62027777777777782</v>
      </c>
      <c r="D958" t="s">
        <v>2151</v>
      </c>
      <c r="E958" t="s">
        <v>24</v>
      </c>
      <c r="F958" t="s">
        <v>2152</v>
      </c>
      <c r="G958" t="s">
        <v>43</v>
      </c>
      <c r="H958" t="s">
        <v>201</v>
      </c>
      <c r="I958" t="s">
        <v>147</v>
      </c>
      <c r="J958" t="s">
        <v>29</v>
      </c>
      <c r="K958" t="s">
        <v>29</v>
      </c>
      <c r="L958" t="s">
        <v>29</v>
      </c>
      <c r="M958" t="s">
        <v>29</v>
      </c>
      <c r="N958" t="s">
        <v>29</v>
      </c>
      <c r="O958" t="s">
        <v>29</v>
      </c>
      <c r="P958" t="s">
        <v>29</v>
      </c>
      <c r="Q958" t="s">
        <v>29</v>
      </c>
      <c r="R958" t="s">
        <v>29</v>
      </c>
      <c r="S958" t="s">
        <v>29</v>
      </c>
      <c r="T958" t="s">
        <v>29</v>
      </c>
      <c r="U958" t="s">
        <v>29</v>
      </c>
      <c r="V958" t="s">
        <v>29</v>
      </c>
    </row>
    <row r="959" spans="1:22" x14ac:dyDescent="0.35">
      <c r="A959" s="1">
        <v>45373</v>
      </c>
      <c r="B959" t="s">
        <v>22</v>
      </c>
      <c r="C959" s="2">
        <v>0.71684027777777781</v>
      </c>
      <c r="D959" t="s">
        <v>2153</v>
      </c>
      <c r="E959" t="s">
        <v>117</v>
      </c>
      <c r="F959" t="s">
        <v>2154</v>
      </c>
      <c r="G959" t="s">
        <v>146</v>
      </c>
      <c r="H959" t="s">
        <v>147</v>
      </c>
      <c r="I959" t="s">
        <v>332</v>
      </c>
      <c r="J959">
        <v>7.4</v>
      </c>
      <c r="K959" t="s">
        <v>29</v>
      </c>
      <c r="L959">
        <v>1</v>
      </c>
      <c r="M959" t="s">
        <v>420</v>
      </c>
      <c r="N959" t="s">
        <v>29</v>
      </c>
      <c r="O959" t="s">
        <v>29</v>
      </c>
      <c r="P959" t="s">
        <v>29</v>
      </c>
      <c r="Q959" t="s">
        <v>29</v>
      </c>
      <c r="R959" t="s">
        <v>29</v>
      </c>
      <c r="S959" t="s">
        <v>29</v>
      </c>
      <c r="T959" t="s">
        <v>29</v>
      </c>
      <c r="U959" t="s">
        <v>29</v>
      </c>
      <c r="V959" t="s">
        <v>29</v>
      </c>
    </row>
    <row r="960" spans="1:22" x14ac:dyDescent="0.35">
      <c r="A960" s="1">
        <v>45351</v>
      </c>
      <c r="B960" t="s">
        <v>59</v>
      </c>
      <c r="C960" s="2">
        <v>0.72040509259259256</v>
      </c>
      <c r="D960" t="s">
        <v>2155</v>
      </c>
      <c r="E960" t="s">
        <v>41</v>
      </c>
      <c r="F960" t="s">
        <v>2156</v>
      </c>
      <c r="G960" t="s">
        <v>67</v>
      </c>
      <c r="H960" t="s">
        <v>235</v>
      </c>
      <c r="I960" t="s">
        <v>822</v>
      </c>
      <c r="J960">
        <v>10.8</v>
      </c>
      <c r="K960">
        <v>29.2</v>
      </c>
      <c r="L960" t="s">
        <v>29</v>
      </c>
      <c r="M960" t="s">
        <v>29</v>
      </c>
      <c r="N960" t="s">
        <v>29</v>
      </c>
      <c r="O960" t="s">
        <v>29</v>
      </c>
      <c r="P960" t="s">
        <v>29</v>
      </c>
      <c r="Q960" t="s">
        <v>29</v>
      </c>
      <c r="R960">
        <v>217</v>
      </c>
      <c r="S960">
        <v>11.82</v>
      </c>
      <c r="T960">
        <v>3.9</v>
      </c>
      <c r="U960">
        <v>3.3</v>
      </c>
      <c r="V960" t="s">
        <v>84</v>
      </c>
    </row>
    <row r="961" spans="1:22" x14ac:dyDescent="0.35">
      <c r="A961" s="1">
        <v>45648</v>
      </c>
      <c r="B961" t="s">
        <v>78</v>
      </c>
      <c r="C961" s="2">
        <v>0.2996759259259259</v>
      </c>
      <c r="D961" t="s">
        <v>2157</v>
      </c>
      <c r="E961" t="s">
        <v>93</v>
      </c>
      <c r="F961" t="s">
        <v>2158</v>
      </c>
      <c r="G961" t="s">
        <v>56</v>
      </c>
      <c r="H961" t="s">
        <v>190</v>
      </c>
      <c r="I961" t="s">
        <v>299</v>
      </c>
      <c r="J961">
        <v>11.1</v>
      </c>
      <c r="K961" t="s">
        <v>29</v>
      </c>
      <c r="L961" t="s">
        <v>29</v>
      </c>
      <c r="M961" t="s">
        <v>29</v>
      </c>
      <c r="N961">
        <v>1</v>
      </c>
      <c r="O961" t="s">
        <v>169</v>
      </c>
      <c r="P961" t="s">
        <v>29</v>
      </c>
      <c r="Q961" t="s">
        <v>29</v>
      </c>
      <c r="R961" t="s">
        <v>29</v>
      </c>
      <c r="S961" t="s">
        <v>29</v>
      </c>
      <c r="T961" t="s">
        <v>29</v>
      </c>
      <c r="U961" t="s">
        <v>29</v>
      </c>
      <c r="V961" t="s">
        <v>29</v>
      </c>
    </row>
    <row r="962" spans="1:22" x14ac:dyDescent="0.35">
      <c r="A962" s="1">
        <v>45347</v>
      </c>
      <c r="B962" t="s">
        <v>59</v>
      </c>
      <c r="C962" s="2">
        <v>0.66267361111111112</v>
      </c>
      <c r="D962" t="s">
        <v>2159</v>
      </c>
      <c r="E962" t="s">
        <v>117</v>
      </c>
      <c r="F962" t="s">
        <v>2160</v>
      </c>
      <c r="G962" t="s">
        <v>67</v>
      </c>
      <c r="H962" t="s">
        <v>114</v>
      </c>
      <c r="I962" t="s">
        <v>129</v>
      </c>
      <c r="J962">
        <v>8.6999999999999993</v>
      </c>
      <c r="K962" t="s">
        <v>29</v>
      </c>
      <c r="L962">
        <v>1</v>
      </c>
      <c r="M962" t="s">
        <v>490</v>
      </c>
      <c r="N962" t="s">
        <v>29</v>
      </c>
      <c r="O962" t="s">
        <v>29</v>
      </c>
      <c r="P962" t="s">
        <v>29</v>
      </c>
      <c r="Q962" t="s">
        <v>29</v>
      </c>
      <c r="R962" t="s">
        <v>29</v>
      </c>
      <c r="S962" t="s">
        <v>29</v>
      </c>
      <c r="T962" t="s">
        <v>29</v>
      </c>
      <c r="U962" t="s">
        <v>29</v>
      </c>
      <c r="V962" t="s">
        <v>29</v>
      </c>
    </row>
    <row r="963" spans="1:22" x14ac:dyDescent="0.35">
      <c r="A963" s="1">
        <v>45582</v>
      </c>
      <c r="B963" t="s">
        <v>47</v>
      </c>
      <c r="C963" s="2">
        <v>0.70181712962962961</v>
      </c>
      <c r="D963" t="s">
        <v>2161</v>
      </c>
      <c r="E963" t="s">
        <v>41</v>
      </c>
      <c r="F963" t="s">
        <v>2162</v>
      </c>
      <c r="G963" t="s">
        <v>34</v>
      </c>
      <c r="H963" t="s">
        <v>193</v>
      </c>
      <c r="I963" t="s">
        <v>636</v>
      </c>
      <c r="J963">
        <v>4.5999999999999996</v>
      </c>
      <c r="K963">
        <v>29.4</v>
      </c>
      <c r="L963" t="s">
        <v>29</v>
      </c>
      <c r="M963" t="s">
        <v>29</v>
      </c>
      <c r="N963" t="s">
        <v>29</v>
      </c>
      <c r="O963" t="s">
        <v>29</v>
      </c>
      <c r="P963" t="s">
        <v>29</v>
      </c>
      <c r="Q963" t="s">
        <v>29</v>
      </c>
      <c r="R963">
        <v>811</v>
      </c>
      <c r="S963">
        <v>12.7</v>
      </c>
      <c r="T963">
        <v>4.2</v>
      </c>
      <c r="U963">
        <v>4.2</v>
      </c>
      <c r="V963" t="s">
        <v>38</v>
      </c>
    </row>
    <row r="964" spans="1:22" x14ac:dyDescent="0.35">
      <c r="A964" s="1">
        <v>45320</v>
      </c>
      <c r="B964" t="s">
        <v>150</v>
      </c>
      <c r="C964" s="2">
        <v>0.76598379629629632</v>
      </c>
      <c r="D964" t="s">
        <v>2163</v>
      </c>
      <c r="E964" t="s">
        <v>41</v>
      </c>
      <c r="F964" t="s">
        <v>2164</v>
      </c>
      <c r="G964" t="s">
        <v>43</v>
      </c>
      <c r="H964" t="s">
        <v>653</v>
      </c>
      <c r="I964" t="s">
        <v>312</v>
      </c>
      <c r="J964">
        <v>10.6</v>
      </c>
      <c r="K964">
        <v>40.200000000000003</v>
      </c>
      <c r="L964" t="s">
        <v>29</v>
      </c>
      <c r="M964" t="s">
        <v>29</v>
      </c>
      <c r="N964" t="s">
        <v>29</v>
      </c>
      <c r="O964" t="s">
        <v>29</v>
      </c>
      <c r="P964" t="s">
        <v>29</v>
      </c>
      <c r="Q964" t="s">
        <v>29</v>
      </c>
      <c r="R964">
        <v>438</v>
      </c>
      <c r="S964">
        <v>25.71</v>
      </c>
      <c r="T964">
        <v>4.2</v>
      </c>
      <c r="U964">
        <v>4.5999999999999996</v>
      </c>
      <c r="V964" t="s">
        <v>149</v>
      </c>
    </row>
    <row r="965" spans="1:22" x14ac:dyDescent="0.35">
      <c r="A965" s="1">
        <v>45299</v>
      </c>
      <c r="B965" t="s">
        <v>150</v>
      </c>
      <c r="C965" s="2">
        <v>0.79246527777777775</v>
      </c>
      <c r="D965" t="s">
        <v>2165</v>
      </c>
      <c r="E965" t="s">
        <v>32</v>
      </c>
      <c r="F965" t="s">
        <v>2166</v>
      </c>
      <c r="G965" t="s">
        <v>56</v>
      </c>
      <c r="H965" t="s">
        <v>435</v>
      </c>
      <c r="I965" t="s">
        <v>133</v>
      </c>
      <c r="J965">
        <v>4.5999999999999996</v>
      </c>
      <c r="K965">
        <v>14</v>
      </c>
      <c r="L965" t="s">
        <v>29</v>
      </c>
      <c r="M965" t="s">
        <v>29</v>
      </c>
      <c r="N965" t="s">
        <v>29</v>
      </c>
      <c r="O965" t="s">
        <v>29</v>
      </c>
      <c r="P965">
        <v>1</v>
      </c>
      <c r="Q965" t="s">
        <v>37</v>
      </c>
      <c r="R965">
        <v>682</v>
      </c>
      <c r="S965">
        <v>1.24</v>
      </c>
      <c r="T965" t="s">
        <v>29</v>
      </c>
      <c r="U965" t="s">
        <v>29</v>
      </c>
      <c r="V965" t="s">
        <v>84</v>
      </c>
    </row>
    <row r="966" spans="1:22" x14ac:dyDescent="0.35">
      <c r="A966" s="1">
        <v>45449</v>
      </c>
      <c r="B966" t="s">
        <v>64</v>
      </c>
      <c r="C966" s="2">
        <v>0.6525347222222222</v>
      </c>
      <c r="D966" t="s">
        <v>2167</v>
      </c>
      <c r="E966" t="s">
        <v>41</v>
      </c>
      <c r="F966" t="s">
        <v>2168</v>
      </c>
      <c r="G966" t="s">
        <v>43</v>
      </c>
      <c r="H966" t="s">
        <v>69</v>
      </c>
      <c r="I966" t="s">
        <v>58</v>
      </c>
      <c r="J966">
        <v>10.5</v>
      </c>
      <c r="K966">
        <v>28.7</v>
      </c>
      <c r="L966" t="s">
        <v>29</v>
      </c>
      <c r="M966" t="s">
        <v>29</v>
      </c>
      <c r="N966" t="s">
        <v>29</v>
      </c>
      <c r="O966" t="s">
        <v>29</v>
      </c>
      <c r="P966" t="s">
        <v>29</v>
      </c>
      <c r="Q966" t="s">
        <v>29</v>
      </c>
      <c r="R966">
        <v>294</v>
      </c>
      <c r="S966">
        <v>6.61</v>
      </c>
      <c r="T966">
        <v>4.3</v>
      </c>
      <c r="U966">
        <v>4.7</v>
      </c>
      <c r="V966" t="s">
        <v>149</v>
      </c>
    </row>
    <row r="967" spans="1:22" x14ac:dyDescent="0.35">
      <c r="A967" s="1">
        <v>45311</v>
      </c>
      <c r="B967" t="s">
        <v>150</v>
      </c>
      <c r="C967" s="2">
        <v>0.44784722222222223</v>
      </c>
      <c r="D967" t="s">
        <v>2169</v>
      </c>
      <c r="E967" t="s">
        <v>24</v>
      </c>
      <c r="F967" t="s">
        <v>2170</v>
      </c>
      <c r="G967" t="s">
        <v>34</v>
      </c>
      <c r="H967" t="s">
        <v>449</v>
      </c>
      <c r="I967" t="s">
        <v>498</v>
      </c>
      <c r="J967" t="s">
        <v>29</v>
      </c>
      <c r="K967" t="s">
        <v>29</v>
      </c>
      <c r="L967" t="s">
        <v>29</v>
      </c>
      <c r="M967" t="s">
        <v>29</v>
      </c>
      <c r="N967" t="s">
        <v>29</v>
      </c>
      <c r="O967" t="s">
        <v>29</v>
      </c>
      <c r="P967" t="s">
        <v>29</v>
      </c>
      <c r="Q967" t="s">
        <v>29</v>
      </c>
      <c r="R967" t="s">
        <v>29</v>
      </c>
      <c r="S967" t="s">
        <v>29</v>
      </c>
      <c r="T967" t="s">
        <v>29</v>
      </c>
      <c r="U967" t="s">
        <v>29</v>
      </c>
      <c r="V967" t="s">
        <v>29</v>
      </c>
    </row>
    <row r="968" spans="1:22" x14ac:dyDescent="0.35">
      <c r="A968" s="1">
        <v>45509</v>
      </c>
      <c r="B968" t="s">
        <v>39</v>
      </c>
      <c r="C968" s="2">
        <v>0.45208333333333334</v>
      </c>
      <c r="D968" t="s">
        <v>2171</v>
      </c>
      <c r="E968" t="s">
        <v>41</v>
      </c>
      <c r="F968" t="s">
        <v>2172</v>
      </c>
      <c r="G968" t="s">
        <v>43</v>
      </c>
      <c r="H968" t="s">
        <v>391</v>
      </c>
      <c r="I968" t="s">
        <v>935</v>
      </c>
      <c r="J968">
        <v>5.2</v>
      </c>
      <c r="K968">
        <v>36.9</v>
      </c>
      <c r="L968" t="s">
        <v>29</v>
      </c>
      <c r="M968" t="s">
        <v>29</v>
      </c>
      <c r="N968" t="s">
        <v>29</v>
      </c>
      <c r="O968" t="s">
        <v>29</v>
      </c>
      <c r="P968" t="s">
        <v>29</v>
      </c>
      <c r="Q968" t="s">
        <v>29</v>
      </c>
      <c r="R968">
        <v>272</v>
      </c>
      <c r="S968">
        <v>12.56</v>
      </c>
      <c r="T968">
        <v>4.7</v>
      </c>
      <c r="U968">
        <v>4.9000000000000004</v>
      </c>
      <c r="V968" t="s">
        <v>84</v>
      </c>
    </row>
    <row r="969" spans="1:22" x14ac:dyDescent="0.35">
      <c r="A969" s="1">
        <v>45377</v>
      </c>
      <c r="B969" t="s">
        <v>22</v>
      </c>
      <c r="C969" s="2">
        <v>0.22413194444444445</v>
      </c>
      <c r="D969" t="s">
        <v>2173</v>
      </c>
      <c r="E969" t="s">
        <v>32</v>
      </c>
      <c r="F969" t="s">
        <v>2174</v>
      </c>
      <c r="G969" t="s">
        <v>50</v>
      </c>
      <c r="H969" t="s">
        <v>161</v>
      </c>
      <c r="I969" t="s">
        <v>266</v>
      </c>
      <c r="J969">
        <v>4</v>
      </c>
      <c r="K969">
        <v>25.6</v>
      </c>
      <c r="L969" t="s">
        <v>29</v>
      </c>
      <c r="M969" t="s">
        <v>29</v>
      </c>
      <c r="N969" t="s">
        <v>29</v>
      </c>
      <c r="O969" t="s">
        <v>29</v>
      </c>
      <c r="P969">
        <v>1</v>
      </c>
      <c r="Q969" t="s">
        <v>83</v>
      </c>
      <c r="R969">
        <v>401</v>
      </c>
      <c r="S969">
        <v>5.42</v>
      </c>
      <c r="T969" t="s">
        <v>29</v>
      </c>
      <c r="U969" t="s">
        <v>29</v>
      </c>
      <c r="V969" t="s">
        <v>38</v>
      </c>
    </row>
    <row r="970" spans="1:22" x14ac:dyDescent="0.35">
      <c r="A970" s="1">
        <v>45536</v>
      </c>
      <c r="B970" t="s">
        <v>53</v>
      </c>
      <c r="C970" s="2">
        <v>1.7824074074074075E-3</v>
      </c>
      <c r="D970" t="s">
        <v>2175</v>
      </c>
      <c r="E970" t="s">
        <v>32</v>
      </c>
      <c r="F970" t="s">
        <v>2176</v>
      </c>
      <c r="G970" t="s">
        <v>34</v>
      </c>
      <c r="H970" t="s">
        <v>552</v>
      </c>
      <c r="I970" t="s">
        <v>153</v>
      </c>
      <c r="J970">
        <v>8.8000000000000007</v>
      </c>
      <c r="K970">
        <v>20.6</v>
      </c>
      <c r="L970" t="s">
        <v>29</v>
      </c>
      <c r="M970" t="s">
        <v>29</v>
      </c>
      <c r="N970" t="s">
        <v>29</v>
      </c>
      <c r="O970" t="s">
        <v>29</v>
      </c>
      <c r="P970">
        <v>1</v>
      </c>
      <c r="Q970" t="s">
        <v>37</v>
      </c>
      <c r="R970">
        <v>114</v>
      </c>
      <c r="S970">
        <v>8.1199999999999992</v>
      </c>
      <c r="T970" t="s">
        <v>29</v>
      </c>
      <c r="U970" t="s">
        <v>29</v>
      </c>
      <c r="V970" t="s">
        <v>38</v>
      </c>
    </row>
    <row r="971" spans="1:22" x14ac:dyDescent="0.35">
      <c r="A971" s="1">
        <v>45347</v>
      </c>
      <c r="B971" t="s">
        <v>59</v>
      </c>
      <c r="C971" s="2">
        <v>0.43299768518518517</v>
      </c>
      <c r="D971" t="s">
        <v>2177</v>
      </c>
      <c r="E971" t="s">
        <v>41</v>
      </c>
      <c r="F971" t="s">
        <v>2178</v>
      </c>
      <c r="G971" t="s">
        <v>50</v>
      </c>
      <c r="H971" t="s">
        <v>293</v>
      </c>
      <c r="I971" t="s">
        <v>454</v>
      </c>
      <c r="J971">
        <v>5.4</v>
      </c>
      <c r="K971">
        <v>44.3</v>
      </c>
      <c r="L971" t="s">
        <v>29</v>
      </c>
      <c r="M971" t="s">
        <v>29</v>
      </c>
      <c r="N971" t="s">
        <v>29</v>
      </c>
      <c r="O971" t="s">
        <v>29</v>
      </c>
      <c r="P971" t="s">
        <v>29</v>
      </c>
      <c r="Q971" t="s">
        <v>29</v>
      </c>
      <c r="R971">
        <v>173</v>
      </c>
      <c r="S971">
        <v>2.73</v>
      </c>
      <c r="T971">
        <v>5</v>
      </c>
      <c r="U971">
        <v>4.9000000000000004</v>
      </c>
      <c r="V971" t="s">
        <v>38</v>
      </c>
    </row>
    <row r="972" spans="1:22" x14ac:dyDescent="0.35">
      <c r="A972" s="1">
        <v>45620</v>
      </c>
      <c r="B972" t="s">
        <v>30</v>
      </c>
      <c r="C972" s="2">
        <v>0.85473379629629631</v>
      </c>
      <c r="D972" t="s">
        <v>2179</v>
      </c>
      <c r="E972" t="s">
        <v>41</v>
      </c>
      <c r="F972" t="s">
        <v>2180</v>
      </c>
      <c r="G972" t="s">
        <v>43</v>
      </c>
      <c r="H972" t="s">
        <v>315</v>
      </c>
      <c r="I972" t="s">
        <v>35</v>
      </c>
      <c r="J972">
        <v>6.7</v>
      </c>
      <c r="K972">
        <v>44.8</v>
      </c>
      <c r="L972" t="s">
        <v>29</v>
      </c>
      <c r="M972" t="s">
        <v>29</v>
      </c>
      <c r="N972" t="s">
        <v>29</v>
      </c>
      <c r="O972" t="s">
        <v>29</v>
      </c>
      <c r="P972" t="s">
        <v>29</v>
      </c>
      <c r="Q972" t="s">
        <v>29</v>
      </c>
      <c r="R972">
        <v>145</v>
      </c>
      <c r="S972">
        <v>36</v>
      </c>
      <c r="T972">
        <v>3.2</v>
      </c>
      <c r="U972">
        <v>4.5999999999999996</v>
      </c>
      <c r="V972" t="s">
        <v>38</v>
      </c>
    </row>
    <row r="973" spans="1:22" x14ac:dyDescent="0.35">
      <c r="A973" s="1">
        <v>45502</v>
      </c>
      <c r="B973" t="s">
        <v>108</v>
      </c>
      <c r="C973" s="2">
        <v>0.75755787037037037</v>
      </c>
      <c r="D973" t="s">
        <v>2181</v>
      </c>
      <c r="E973" t="s">
        <v>41</v>
      </c>
      <c r="F973" t="s">
        <v>2182</v>
      </c>
      <c r="G973" t="s">
        <v>67</v>
      </c>
      <c r="H973" t="s">
        <v>552</v>
      </c>
      <c r="I973" t="s">
        <v>132</v>
      </c>
      <c r="J973">
        <v>4.5</v>
      </c>
      <c r="K973">
        <v>40</v>
      </c>
      <c r="L973" t="s">
        <v>29</v>
      </c>
      <c r="M973" t="s">
        <v>29</v>
      </c>
      <c r="N973" t="s">
        <v>29</v>
      </c>
      <c r="O973" t="s">
        <v>29</v>
      </c>
      <c r="P973" t="s">
        <v>29</v>
      </c>
      <c r="Q973" t="s">
        <v>29</v>
      </c>
      <c r="R973">
        <v>252</v>
      </c>
      <c r="S973">
        <v>38.159999999999997</v>
      </c>
      <c r="T973">
        <v>5</v>
      </c>
      <c r="U973">
        <v>4.3</v>
      </c>
      <c r="V973" t="s">
        <v>38</v>
      </c>
    </row>
    <row r="974" spans="1:22" x14ac:dyDescent="0.35">
      <c r="A974" s="1">
        <v>45483</v>
      </c>
      <c r="B974" t="s">
        <v>108</v>
      </c>
      <c r="C974" s="2">
        <v>0.51736111111111116</v>
      </c>
      <c r="D974" t="s">
        <v>2183</v>
      </c>
      <c r="E974" t="s">
        <v>32</v>
      </c>
      <c r="F974" t="s">
        <v>2184</v>
      </c>
      <c r="G974" t="s">
        <v>67</v>
      </c>
      <c r="H974" t="s">
        <v>803</v>
      </c>
      <c r="I974" t="s">
        <v>194</v>
      </c>
      <c r="J974">
        <v>2.9</v>
      </c>
      <c r="K974">
        <v>28.2</v>
      </c>
      <c r="L974" t="s">
        <v>29</v>
      </c>
      <c r="M974" t="s">
        <v>29</v>
      </c>
      <c r="N974" t="s">
        <v>29</v>
      </c>
      <c r="O974" t="s">
        <v>29</v>
      </c>
      <c r="P974">
        <v>1</v>
      </c>
      <c r="Q974" t="s">
        <v>302</v>
      </c>
      <c r="R974">
        <v>118</v>
      </c>
      <c r="S974">
        <v>8.06</v>
      </c>
      <c r="T974" t="s">
        <v>29</v>
      </c>
      <c r="U974" t="s">
        <v>29</v>
      </c>
      <c r="V974" t="s">
        <v>46</v>
      </c>
    </row>
    <row r="975" spans="1:22" x14ac:dyDescent="0.35">
      <c r="A975" s="1">
        <v>45296</v>
      </c>
      <c r="B975" t="s">
        <v>150</v>
      </c>
      <c r="C975" s="2">
        <v>0.46534722222222225</v>
      </c>
      <c r="D975" t="s">
        <v>2185</v>
      </c>
      <c r="E975" t="s">
        <v>41</v>
      </c>
      <c r="F975" t="s">
        <v>2186</v>
      </c>
      <c r="G975" t="s">
        <v>56</v>
      </c>
      <c r="H975" t="s">
        <v>340</v>
      </c>
      <c r="I975" t="s">
        <v>96</v>
      </c>
      <c r="J975">
        <v>13.2</v>
      </c>
      <c r="K975">
        <v>17</v>
      </c>
      <c r="L975" t="s">
        <v>29</v>
      </c>
      <c r="M975" t="s">
        <v>29</v>
      </c>
      <c r="N975" t="s">
        <v>29</v>
      </c>
      <c r="O975" t="s">
        <v>29</v>
      </c>
      <c r="P975" t="s">
        <v>29</v>
      </c>
      <c r="Q975" t="s">
        <v>29</v>
      </c>
      <c r="R975">
        <v>74</v>
      </c>
      <c r="S975">
        <v>4.1500000000000004</v>
      </c>
      <c r="T975">
        <v>4.0999999999999996</v>
      </c>
      <c r="U975">
        <v>4.2</v>
      </c>
      <c r="V975" t="s">
        <v>107</v>
      </c>
    </row>
    <row r="976" spans="1:22" x14ac:dyDescent="0.35">
      <c r="A976" s="1">
        <v>45323</v>
      </c>
      <c r="B976" t="s">
        <v>59</v>
      </c>
      <c r="C976" s="2">
        <v>0.62251157407407409</v>
      </c>
      <c r="D976" t="s">
        <v>2187</v>
      </c>
      <c r="E976" t="s">
        <v>41</v>
      </c>
      <c r="F976" t="s">
        <v>2188</v>
      </c>
      <c r="G976" t="s">
        <v>26</v>
      </c>
      <c r="H976" t="s">
        <v>305</v>
      </c>
      <c r="I976" t="s">
        <v>366</v>
      </c>
      <c r="J976">
        <v>5.0999999999999996</v>
      </c>
      <c r="K976">
        <v>30.1</v>
      </c>
      <c r="L976" t="s">
        <v>29</v>
      </c>
      <c r="M976" t="s">
        <v>29</v>
      </c>
      <c r="N976" t="s">
        <v>29</v>
      </c>
      <c r="O976" t="s">
        <v>29</v>
      </c>
      <c r="P976" t="s">
        <v>29</v>
      </c>
      <c r="Q976" t="s">
        <v>29</v>
      </c>
      <c r="R976">
        <v>944</v>
      </c>
      <c r="S976">
        <v>16.7</v>
      </c>
      <c r="T976">
        <v>4.5999999999999996</v>
      </c>
      <c r="U976">
        <v>4.3</v>
      </c>
      <c r="V976" t="s">
        <v>38</v>
      </c>
    </row>
    <row r="977" spans="1:22" x14ac:dyDescent="0.35">
      <c r="A977" s="1">
        <v>45326</v>
      </c>
      <c r="B977" t="s">
        <v>59</v>
      </c>
      <c r="C977" s="2">
        <v>0.95195601851851852</v>
      </c>
      <c r="D977" t="s">
        <v>2189</v>
      </c>
      <c r="E977" t="s">
        <v>41</v>
      </c>
      <c r="F977" t="s">
        <v>2190</v>
      </c>
      <c r="G977" t="s">
        <v>43</v>
      </c>
      <c r="H977" t="s">
        <v>797</v>
      </c>
      <c r="I977" t="s">
        <v>417</v>
      </c>
      <c r="J977">
        <v>14.1</v>
      </c>
      <c r="K977">
        <v>37.700000000000003</v>
      </c>
      <c r="L977" t="s">
        <v>29</v>
      </c>
      <c r="M977" t="s">
        <v>29</v>
      </c>
      <c r="N977" t="s">
        <v>29</v>
      </c>
      <c r="O977" t="s">
        <v>29</v>
      </c>
      <c r="P977" t="s">
        <v>29</v>
      </c>
      <c r="Q977" t="s">
        <v>29</v>
      </c>
      <c r="R977">
        <v>758</v>
      </c>
      <c r="S977">
        <v>18.829999999999998</v>
      </c>
      <c r="T977">
        <v>4.3</v>
      </c>
      <c r="U977">
        <v>4.2</v>
      </c>
      <c r="V977" t="s">
        <v>84</v>
      </c>
    </row>
    <row r="978" spans="1:22" x14ac:dyDescent="0.35">
      <c r="A978" s="1">
        <v>45604</v>
      </c>
      <c r="B978" t="s">
        <v>30</v>
      </c>
      <c r="C978" s="2">
        <v>0.64825231481481482</v>
      </c>
      <c r="D978" t="s">
        <v>2191</v>
      </c>
      <c r="E978" t="s">
        <v>41</v>
      </c>
      <c r="F978" t="s">
        <v>2192</v>
      </c>
      <c r="G978" t="s">
        <v>67</v>
      </c>
      <c r="H978" t="s">
        <v>369</v>
      </c>
      <c r="I978" t="s">
        <v>62</v>
      </c>
      <c r="J978">
        <v>13.9</v>
      </c>
      <c r="K978">
        <v>41.6</v>
      </c>
      <c r="L978" t="s">
        <v>29</v>
      </c>
      <c r="M978" t="s">
        <v>29</v>
      </c>
      <c r="N978" t="s">
        <v>29</v>
      </c>
      <c r="O978" t="s">
        <v>29</v>
      </c>
      <c r="P978" t="s">
        <v>29</v>
      </c>
      <c r="Q978" t="s">
        <v>29</v>
      </c>
      <c r="R978">
        <v>57</v>
      </c>
      <c r="S978">
        <v>49.95</v>
      </c>
      <c r="T978">
        <v>4.4000000000000004</v>
      </c>
      <c r="U978">
        <v>4.7</v>
      </c>
      <c r="V978" t="s">
        <v>84</v>
      </c>
    </row>
    <row r="979" spans="1:22" x14ac:dyDescent="0.35">
      <c r="A979" s="1">
        <v>45544</v>
      </c>
      <c r="B979" t="s">
        <v>53</v>
      </c>
      <c r="C979" s="2">
        <v>0.75690972222222219</v>
      </c>
      <c r="D979" t="s">
        <v>2193</v>
      </c>
      <c r="E979" t="s">
        <v>41</v>
      </c>
      <c r="F979" t="s">
        <v>2194</v>
      </c>
      <c r="G979" t="s">
        <v>43</v>
      </c>
      <c r="H979" t="s">
        <v>808</v>
      </c>
      <c r="I979" t="s">
        <v>315</v>
      </c>
      <c r="J979">
        <v>5.7</v>
      </c>
      <c r="K979">
        <v>38.5</v>
      </c>
      <c r="L979" t="s">
        <v>29</v>
      </c>
      <c r="M979" t="s">
        <v>29</v>
      </c>
      <c r="N979" t="s">
        <v>29</v>
      </c>
      <c r="O979" t="s">
        <v>29</v>
      </c>
      <c r="P979" t="s">
        <v>29</v>
      </c>
      <c r="Q979" t="s">
        <v>29</v>
      </c>
      <c r="R979">
        <v>130</v>
      </c>
      <c r="S979">
        <v>20.92</v>
      </c>
      <c r="T979">
        <v>4.3</v>
      </c>
      <c r="U979">
        <v>4.5999999999999996</v>
      </c>
      <c r="V979" t="s">
        <v>38</v>
      </c>
    </row>
    <row r="980" spans="1:22" x14ac:dyDescent="0.35">
      <c r="A980" s="1">
        <v>45642</v>
      </c>
      <c r="B980" t="s">
        <v>78</v>
      </c>
      <c r="C980" s="2">
        <v>0.75457175925925923</v>
      </c>
      <c r="D980" t="s">
        <v>2195</v>
      </c>
      <c r="E980" t="s">
        <v>93</v>
      </c>
      <c r="F980" t="s">
        <v>2196</v>
      </c>
      <c r="G980" t="s">
        <v>50</v>
      </c>
      <c r="H980" t="s">
        <v>386</v>
      </c>
      <c r="I980" t="s">
        <v>417</v>
      </c>
      <c r="J980">
        <v>10.7</v>
      </c>
      <c r="K980" t="s">
        <v>29</v>
      </c>
      <c r="L980" t="s">
        <v>29</v>
      </c>
      <c r="M980" t="s">
        <v>29</v>
      </c>
      <c r="N980">
        <v>1</v>
      </c>
      <c r="O980" t="s">
        <v>169</v>
      </c>
      <c r="P980" t="s">
        <v>29</v>
      </c>
      <c r="Q980" t="s">
        <v>29</v>
      </c>
      <c r="R980" t="s">
        <v>29</v>
      </c>
      <c r="S980" t="s">
        <v>29</v>
      </c>
      <c r="T980" t="s">
        <v>29</v>
      </c>
      <c r="U980" t="s">
        <v>29</v>
      </c>
      <c r="V980" t="s">
        <v>29</v>
      </c>
    </row>
    <row r="981" spans="1:22" x14ac:dyDescent="0.35">
      <c r="A981" s="1">
        <v>45394</v>
      </c>
      <c r="B981" t="s">
        <v>154</v>
      </c>
      <c r="C981" s="2">
        <v>0.91954861111111108</v>
      </c>
      <c r="D981" t="s">
        <v>2197</v>
      </c>
      <c r="E981" t="s">
        <v>93</v>
      </c>
      <c r="F981" t="s">
        <v>2198</v>
      </c>
      <c r="G981" t="s">
        <v>56</v>
      </c>
      <c r="H981" t="s">
        <v>114</v>
      </c>
      <c r="I981" t="s">
        <v>654</v>
      </c>
      <c r="J981">
        <v>3.8</v>
      </c>
      <c r="K981" t="s">
        <v>29</v>
      </c>
      <c r="L981" t="s">
        <v>29</v>
      </c>
      <c r="M981" t="s">
        <v>29</v>
      </c>
      <c r="N981">
        <v>1</v>
      </c>
      <c r="O981" t="s">
        <v>115</v>
      </c>
      <c r="P981" t="s">
        <v>29</v>
      </c>
      <c r="Q981" t="s">
        <v>29</v>
      </c>
      <c r="R981" t="s">
        <v>29</v>
      </c>
      <c r="S981" t="s">
        <v>29</v>
      </c>
      <c r="T981" t="s">
        <v>29</v>
      </c>
      <c r="U981" t="s">
        <v>29</v>
      </c>
      <c r="V981" t="s">
        <v>29</v>
      </c>
    </row>
    <row r="982" spans="1:22" x14ac:dyDescent="0.35">
      <c r="A982" s="1">
        <v>45515</v>
      </c>
      <c r="B982" t="s">
        <v>39</v>
      </c>
      <c r="C982" s="2">
        <v>0.93606481481481485</v>
      </c>
      <c r="D982" t="s">
        <v>2199</v>
      </c>
      <c r="E982" t="s">
        <v>41</v>
      </c>
      <c r="F982" t="s">
        <v>2200</v>
      </c>
      <c r="G982" t="s">
        <v>50</v>
      </c>
      <c r="H982" t="s">
        <v>44</v>
      </c>
      <c r="I982" t="s">
        <v>214</v>
      </c>
      <c r="J982">
        <v>14</v>
      </c>
      <c r="K982">
        <v>36.200000000000003</v>
      </c>
      <c r="L982" t="s">
        <v>29</v>
      </c>
      <c r="M982" t="s">
        <v>29</v>
      </c>
      <c r="N982" t="s">
        <v>29</v>
      </c>
      <c r="O982" t="s">
        <v>29</v>
      </c>
      <c r="P982" t="s">
        <v>29</v>
      </c>
      <c r="Q982" t="s">
        <v>29</v>
      </c>
      <c r="R982">
        <v>795</v>
      </c>
      <c r="S982">
        <v>19.559999999999999</v>
      </c>
      <c r="T982">
        <v>3.9</v>
      </c>
      <c r="U982">
        <v>4.2</v>
      </c>
      <c r="V982" t="s">
        <v>38</v>
      </c>
    </row>
    <row r="983" spans="1:22" x14ac:dyDescent="0.35">
      <c r="A983" s="1">
        <v>45583</v>
      </c>
      <c r="B983" t="s">
        <v>47</v>
      </c>
      <c r="C983" s="2">
        <v>0.31026620370370372</v>
      </c>
      <c r="D983" t="s">
        <v>2201</v>
      </c>
      <c r="E983" t="s">
        <v>41</v>
      </c>
      <c r="F983" t="s">
        <v>2202</v>
      </c>
      <c r="G983" t="s">
        <v>56</v>
      </c>
      <c r="H983" t="s">
        <v>590</v>
      </c>
      <c r="I983" t="s">
        <v>270</v>
      </c>
      <c r="J983">
        <v>10.3</v>
      </c>
      <c r="K983">
        <v>20.399999999999999</v>
      </c>
      <c r="L983" t="s">
        <v>29</v>
      </c>
      <c r="M983" t="s">
        <v>29</v>
      </c>
      <c r="N983" t="s">
        <v>29</v>
      </c>
      <c r="O983" t="s">
        <v>29</v>
      </c>
      <c r="P983" t="s">
        <v>29</v>
      </c>
      <c r="Q983" t="s">
        <v>29</v>
      </c>
      <c r="R983">
        <v>304</v>
      </c>
      <c r="S983">
        <v>41.14</v>
      </c>
      <c r="T983">
        <v>4.7</v>
      </c>
      <c r="U983">
        <v>3.9</v>
      </c>
      <c r="V983" t="s">
        <v>84</v>
      </c>
    </row>
    <row r="984" spans="1:22" x14ac:dyDescent="0.35">
      <c r="A984" s="1">
        <v>45340</v>
      </c>
      <c r="B984" t="s">
        <v>59</v>
      </c>
      <c r="C984" s="2">
        <v>0.24401620370370369</v>
      </c>
      <c r="D984" t="s">
        <v>2203</v>
      </c>
      <c r="E984" t="s">
        <v>41</v>
      </c>
      <c r="F984" t="s">
        <v>2204</v>
      </c>
      <c r="G984" t="s">
        <v>67</v>
      </c>
      <c r="H984" t="s">
        <v>125</v>
      </c>
      <c r="I984" t="s">
        <v>248</v>
      </c>
      <c r="J984">
        <v>14.7</v>
      </c>
      <c r="K984">
        <v>23.2</v>
      </c>
      <c r="L984" t="s">
        <v>29</v>
      </c>
      <c r="M984" t="s">
        <v>29</v>
      </c>
      <c r="N984" t="s">
        <v>29</v>
      </c>
      <c r="O984" t="s">
        <v>29</v>
      </c>
      <c r="P984" t="s">
        <v>29</v>
      </c>
      <c r="Q984" t="s">
        <v>29</v>
      </c>
      <c r="R984">
        <v>147</v>
      </c>
      <c r="S984">
        <v>2.84</v>
      </c>
      <c r="T984">
        <v>3.7</v>
      </c>
      <c r="U984">
        <v>4.9000000000000004</v>
      </c>
      <c r="V984" t="s">
        <v>107</v>
      </c>
    </row>
    <row r="985" spans="1:22" x14ac:dyDescent="0.35">
      <c r="A985" s="1">
        <v>45503</v>
      </c>
      <c r="B985" t="s">
        <v>108</v>
      </c>
      <c r="C985" s="2">
        <v>0.63364583333333335</v>
      </c>
      <c r="D985" t="s">
        <v>2205</v>
      </c>
      <c r="E985" t="s">
        <v>93</v>
      </c>
      <c r="F985" t="s">
        <v>2206</v>
      </c>
      <c r="G985" t="s">
        <v>67</v>
      </c>
      <c r="H985" t="s">
        <v>449</v>
      </c>
      <c r="I985" t="s">
        <v>91</v>
      </c>
      <c r="J985">
        <v>6.7</v>
      </c>
      <c r="K985" t="s">
        <v>29</v>
      </c>
      <c r="L985" t="s">
        <v>29</v>
      </c>
      <c r="M985" t="s">
        <v>29</v>
      </c>
      <c r="N985">
        <v>1</v>
      </c>
      <c r="O985" t="s">
        <v>115</v>
      </c>
      <c r="P985" t="s">
        <v>29</v>
      </c>
      <c r="Q985" t="s">
        <v>29</v>
      </c>
      <c r="R985" t="s">
        <v>29</v>
      </c>
      <c r="S985" t="s">
        <v>29</v>
      </c>
      <c r="T985" t="s">
        <v>29</v>
      </c>
      <c r="U985" t="s">
        <v>29</v>
      </c>
      <c r="V985" t="s">
        <v>29</v>
      </c>
    </row>
    <row r="986" spans="1:22" x14ac:dyDescent="0.35">
      <c r="A986" s="1">
        <v>45338</v>
      </c>
      <c r="B986" t="s">
        <v>59</v>
      </c>
      <c r="C986" s="2">
        <v>0.61149305555555555</v>
      </c>
      <c r="D986" t="s">
        <v>2207</v>
      </c>
      <c r="E986" t="s">
        <v>41</v>
      </c>
      <c r="F986" t="s">
        <v>2208</v>
      </c>
      <c r="G986" t="s">
        <v>43</v>
      </c>
      <c r="H986" t="s">
        <v>62</v>
      </c>
      <c r="I986" t="s">
        <v>803</v>
      </c>
      <c r="J986">
        <v>4.8</v>
      </c>
      <c r="K986">
        <v>28.4</v>
      </c>
      <c r="L986" t="s">
        <v>29</v>
      </c>
      <c r="M986" t="s">
        <v>29</v>
      </c>
      <c r="N986" t="s">
        <v>29</v>
      </c>
      <c r="O986" t="s">
        <v>29</v>
      </c>
      <c r="P986" t="s">
        <v>29</v>
      </c>
      <c r="Q986" t="s">
        <v>29</v>
      </c>
      <c r="R986">
        <v>215</v>
      </c>
      <c r="S986">
        <v>16.41</v>
      </c>
      <c r="T986">
        <v>4.2</v>
      </c>
      <c r="U986">
        <v>3.8</v>
      </c>
      <c r="V986" t="s">
        <v>38</v>
      </c>
    </row>
    <row r="987" spans="1:22" x14ac:dyDescent="0.35">
      <c r="A987" s="1">
        <v>45605</v>
      </c>
      <c r="B987" t="s">
        <v>30</v>
      </c>
      <c r="C987" s="2">
        <v>0.51350694444444445</v>
      </c>
      <c r="D987" t="s">
        <v>2209</v>
      </c>
      <c r="E987" t="s">
        <v>32</v>
      </c>
      <c r="F987" t="s">
        <v>2210</v>
      </c>
      <c r="G987" t="s">
        <v>43</v>
      </c>
      <c r="H987" t="s">
        <v>249</v>
      </c>
      <c r="I987" t="s">
        <v>808</v>
      </c>
      <c r="J987">
        <v>7</v>
      </c>
      <c r="K987">
        <v>16.100000000000001</v>
      </c>
      <c r="L987" t="s">
        <v>29</v>
      </c>
      <c r="M987" t="s">
        <v>29</v>
      </c>
      <c r="N987" t="s">
        <v>29</v>
      </c>
      <c r="O987" t="s">
        <v>29</v>
      </c>
      <c r="P987">
        <v>1</v>
      </c>
      <c r="Q987" t="s">
        <v>83</v>
      </c>
      <c r="R987">
        <v>210</v>
      </c>
      <c r="S987">
        <v>18.11</v>
      </c>
      <c r="T987" t="s">
        <v>29</v>
      </c>
      <c r="U987" t="s">
        <v>29</v>
      </c>
      <c r="V987" t="s">
        <v>149</v>
      </c>
    </row>
    <row r="988" spans="1:22" x14ac:dyDescent="0.35">
      <c r="A988" s="1">
        <v>45307</v>
      </c>
      <c r="B988" t="s">
        <v>150</v>
      </c>
      <c r="C988" s="2">
        <v>0.56329861111111112</v>
      </c>
      <c r="D988" t="s">
        <v>2211</v>
      </c>
      <c r="E988" t="s">
        <v>41</v>
      </c>
      <c r="F988" t="s">
        <v>2212</v>
      </c>
      <c r="G988" t="s">
        <v>56</v>
      </c>
      <c r="H988" t="s">
        <v>290</v>
      </c>
      <c r="I988" t="s">
        <v>430</v>
      </c>
      <c r="J988">
        <v>4.0999999999999996</v>
      </c>
      <c r="K988">
        <v>31.8</v>
      </c>
      <c r="L988" t="s">
        <v>29</v>
      </c>
      <c r="M988" t="s">
        <v>29</v>
      </c>
      <c r="N988" t="s">
        <v>29</v>
      </c>
      <c r="O988" t="s">
        <v>29</v>
      </c>
      <c r="P988" t="s">
        <v>29</v>
      </c>
      <c r="Q988" t="s">
        <v>29</v>
      </c>
      <c r="R988">
        <v>315</v>
      </c>
      <c r="S988">
        <v>33.14</v>
      </c>
      <c r="T988">
        <v>3.7</v>
      </c>
      <c r="U988">
        <v>4.3</v>
      </c>
      <c r="V988" t="s">
        <v>46</v>
      </c>
    </row>
    <row r="989" spans="1:22" x14ac:dyDescent="0.35">
      <c r="A989" s="1">
        <v>45350</v>
      </c>
      <c r="B989" t="s">
        <v>59</v>
      </c>
      <c r="C989" s="2">
        <v>0.40156249999999999</v>
      </c>
      <c r="D989" t="s">
        <v>2213</v>
      </c>
      <c r="E989" t="s">
        <v>93</v>
      </c>
      <c r="F989" t="s">
        <v>2214</v>
      </c>
      <c r="G989" t="s">
        <v>50</v>
      </c>
      <c r="H989" t="s">
        <v>221</v>
      </c>
      <c r="I989" t="s">
        <v>653</v>
      </c>
      <c r="J989">
        <v>4.3</v>
      </c>
      <c r="K989" t="s">
        <v>29</v>
      </c>
      <c r="L989" t="s">
        <v>29</v>
      </c>
      <c r="M989" t="s">
        <v>29</v>
      </c>
      <c r="N989">
        <v>1</v>
      </c>
      <c r="O989" t="s">
        <v>115</v>
      </c>
      <c r="P989" t="s">
        <v>29</v>
      </c>
      <c r="Q989" t="s">
        <v>29</v>
      </c>
      <c r="R989" t="s">
        <v>29</v>
      </c>
      <c r="S989" t="s">
        <v>29</v>
      </c>
      <c r="T989" t="s">
        <v>29</v>
      </c>
      <c r="U989" t="s">
        <v>29</v>
      </c>
      <c r="V989" t="s">
        <v>29</v>
      </c>
    </row>
    <row r="990" spans="1:22" x14ac:dyDescent="0.35">
      <c r="A990" s="1">
        <v>45380</v>
      </c>
      <c r="B990" t="s">
        <v>22</v>
      </c>
      <c r="C990" s="2">
        <v>0.60163194444444446</v>
      </c>
      <c r="D990" t="s">
        <v>2215</v>
      </c>
      <c r="E990" t="s">
        <v>117</v>
      </c>
      <c r="F990" t="s">
        <v>2216</v>
      </c>
      <c r="G990" t="s">
        <v>56</v>
      </c>
      <c r="H990" t="s">
        <v>267</v>
      </c>
      <c r="I990" t="s">
        <v>173</v>
      </c>
      <c r="J990">
        <v>9.5</v>
      </c>
      <c r="K990" t="s">
        <v>29</v>
      </c>
      <c r="L990">
        <v>1</v>
      </c>
      <c r="M990" t="s">
        <v>490</v>
      </c>
      <c r="N990" t="s">
        <v>29</v>
      </c>
      <c r="O990" t="s">
        <v>29</v>
      </c>
      <c r="P990" t="s">
        <v>29</v>
      </c>
      <c r="Q990" t="s">
        <v>29</v>
      </c>
      <c r="R990" t="s">
        <v>29</v>
      </c>
      <c r="S990" t="s">
        <v>29</v>
      </c>
      <c r="T990" t="s">
        <v>29</v>
      </c>
      <c r="U990" t="s">
        <v>29</v>
      </c>
      <c r="V990" t="s">
        <v>29</v>
      </c>
    </row>
    <row r="991" spans="1:22" x14ac:dyDescent="0.35">
      <c r="A991" s="1">
        <v>45484</v>
      </c>
      <c r="B991" t="s">
        <v>108</v>
      </c>
      <c r="C991" s="2">
        <v>0.37800925925925927</v>
      </c>
      <c r="D991" t="s">
        <v>2217</v>
      </c>
      <c r="E991" t="s">
        <v>93</v>
      </c>
      <c r="F991" t="s">
        <v>2218</v>
      </c>
      <c r="G991" t="s">
        <v>50</v>
      </c>
      <c r="H991" t="s">
        <v>137</v>
      </c>
      <c r="I991" t="s">
        <v>120</v>
      </c>
      <c r="J991">
        <v>7.8</v>
      </c>
      <c r="K991" t="s">
        <v>29</v>
      </c>
      <c r="L991" t="s">
        <v>29</v>
      </c>
      <c r="M991" t="s">
        <v>29</v>
      </c>
      <c r="N991">
        <v>1</v>
      </c>
      <c r="O991" t="s">
        <v>337</v>
      </c>
      <c r="P991" t="s">
        <v>29</v>
      </c>
      <c r="Q991" t="s">
        <v>29</v>
      </c>
      <c r="R991" t="s">
        <v>29</v>
      </c>
      <c r="S991" t="s">
        <v>29</v>
      </c>
      <c r="T991" t="s">
        <v>29</v>
      </c>
      <c r="U991" t="s">
        <v>29</v>
      </c>
      <c r="V991" t="s">
        <v>29</v>
      </c>
    </row>
    <row r="992" spans="1:22" x14ac:dyDescent="0.35">
      <c r="A992" s="1">
        <v>45526</v>
      </c>
      <c r="B992" t="s">
        <v>39</v>
      </c>
      <c r="C992" s="2">
        <v>0.7394560185185185</v>
      </c>
      <c r="D992" t="s">
        <v>2219</v>
      </c>
      <c r="E992" t="s">
        <v>41</v>
      </c>
      <c r="F992" t="s">
        <v>2220</v>
      </c>
      <c r="G992" t="s">
        <v>67</v>
      </c>
      <c r="H992" t="s">
        <v>323</v>
      </c>
      <c r="I992" t="s">
        <v>819</v>
      </c>
      <c r="J992">
        <v>12</v>
      </c>
      <c r="K992">
        <v>37.799999999999997</v>
      </c>
      <c r="L992" t="s">
        <v>29</v>
      </c>
      <c r="M992" t="s">
        <v>29</v>
      </c>
      <c r="N992" t="s">
        <v>29</v>
      </c>
      <c r="O992" t="s">
        <v>29</v>
      </c>
      <c r="P992" t="s">
        <v>29</v>
      </c>
      <c r="Q992" t="s">
        <v>29</v>
      </c>
      <c r="R992">
        <v>737</v>
      </c>
      <c r="S992">
        <v>41.78</v>
      </c>
      <c r="T992">
        <v>4.4000000000000004</v>
      </c>
      <c r="U992">
        <v>3.7</v>
      </c>
      <c r="V992" t="s">
        <v>38</v>
      </c>
    </row>
    <row r="993" spans="1:22" x14ac:dyDescent="0.35">
      <c r="A993" s="1">
        <v>45522</v>
      </c>
      <c r="B993" t="s">
        <v>39</v>
      </c>
      <c r="C993" s="2">
        <v>0.74254629629629632</v>
      </c>
      <c r="D993" t="s">
        <v>2221</v>
      </c>
      <c r="E993" t="s">
        <v>41</v>
      </c>
      <c r="F993" t="s">
        <v>2222</v>
      </c>
      <c r="G993" t="s">
        <v>50</v>
      </c>
      <c r="H993" t="s">
        <v>305</v>
      </c>
      <c r="I993" t="s">
        <v>201</v>
      </c>
      <c r="J993">
        <v>5</v>
      </c>
      <c r="K993">
        <v>44.3</v>
      </c>
      <c r="L993" t="s">
        <v>29</v>
      </c>
      <c r="M993" t="s">
        <v>29</v>
      </c>
      <c r="N993" t="s">
        <v>29</v>
      </c>
      <c r="O993" t="s">
        <v>29</v>
      </c>
      <c r="P993" t="s">
        <v>29</v>
      </c>
      <c r="Q993" t="s">
        <v>29</v>
      </c>
      <c r="R993">
        <v>109</v>
      </c>
      <c r="S993">
        <v>8.5500000000000007</v>
      </c>
      <c r="T993">
        <v>4.5999999999999996</v>
      </c>
      <c r="U993">
        <v>4.9000000000000004</v>
      </c>
      <c r="V993" t="s">
        <v>38</v>
      </c>
    </row>
    <row r="994" spans="1:22" x14ac:dyDescent="0.35">
      <c r="A994" s="1">
        <v>45592</v>
      </c>
      <c r="B994" t="s">
        <v>47</v>
      </c>
      <c r="C994" s="2">
        <v>0.72265046296296298</v>
      </c>
      <c r="D994" t="s">
        <v>2223</v>
      </c>
      <c r="E994" t="s">
        <v>117</v>
      </c>
      <c r="F994" t="s">
        <v>2224</v>
      </c>
      <c r="G994" t="s">
        <v>67</v>
      </c>
      <c r="H994" t="s">
        <v>248</v>
      </c>
      <c r="I994" t="s">
        <v>800</v>
      </c>
      <c r="J994">
        <v>14</v>
      </c>
      <c r="K994" t="s">
        <v>29</v>
      </c>
      <c r="L994">
        <v>1</v>
      </c>
      <c r="M994" t="s">
        <v>121</v>
      </c>
      <c r="N994" t="s">
        <v>29</v>
      </c>
      <c r="O994" t="s">
        <v>29</v>
      </c>
      <c r="P994" t="s">
        <v>29</v>
      </c>
      <c r="Q994" t="s">
        <v>29</v>
      </c>
      <c r="R994" t="s">
        <v>29</v>
      </c>
      <c r="S994" t="s">
        <v>29</v>
      </c>
      <c r="T994" t="s">
        <v>29</v>
      </c>
      <c r="U994" t="s">
        <v>29</v>
      </c>
      <c r="V994" t="s">
        <v>29</v>
      </c>
    </row>
    <row r="995" spans="1:22" x14ac:dyDescent="0.35">
      <c r="A995" s="1">
        <v>45292</v>
      </c>
      <c r="B995" t="s">
        <v>150</v>
      </c>
      <c r="C995" s="2">
        <v>0.75356481481481485</v>
      </c>
      <c r="D995" t="s">
        <v>2225</v>
      </c>
      <c r="E995" t="s">
        <v>41</v>
      </c>
      <c r="F995" t="s">
        <v>2226</v>
      </c>
      <c r="G995" t="s">
        <v>43</v>
      </c>
      <c r="H995" t="s">
        <v>474</v>
      </c>
      <c r="I995" t="s">
        <v>153</v>
      </c>
      <c r="J995">
        <v>3.8</v>
      </c>
      <c r="K995">
        <v>20.100000000000001</v>
      </c>
      <c r="L995" t="s">
        <v>29</v>
      </c>
      <c r="M995" t="s">
        <v>29</v>
      </c>
      <c r="N995" t="s">
        <v>29</v>
      </c>
      <c r="O995" t="s">
        <v>29</v>
      </c>
      <c r="P995" t="s">
        <v>29</v>
      </c>
      <c r="Q995" t="s">
        <v>29</v>
      </c>
      <c r="R995">
        <v>142</v>
      </c>
      <c r="S995">
        <v>38.69</v>
      </c>
      <c r="T995">
        <v>4</v>
      </c>
      <c r="U995">
        <v>4.5</v>
      </c>
      <c r="V995" t="s">
        <v>107</v>
      </c>
    </row>
    <row r="996" spans="1:22" x14ac:dyDescent="0.35">
      <c r="A996" s="1">
        <v>45433</v>
      </c>
      <c r="B996" t="s">
        <v>122</v>
      </c>
      <c r="C996" s="2">
        <v>0.44199074074074074</v>
      </c>
      <c r="D996" t="s">
        <v>2227</v>
      </c>
      <c r="E996" t="s">
        <v>41</v>
      </c>
      <c r="F996" t="s">
        <v>2228</v>
      </c>
      <c r="G996" t="s">
        <v>67</v>
      </c>
      <c r="H996" t="s">
        <v>520</v>
      </c>
      <c r="I996" t="s">
        <v>336</v>
      </c>
      <c r="J996">
        <v>7.3</v>
      </c>
      <c r="K996">
        <v>16.600000000000001</v>
      </c>
      <c r="L996" t="s">
        <v>29</v>
      </c>
      <c r="M996" t="s">
        <v>29</v>
      </c>
      <c r="N996" t="s">
        <v>29</v>
      </c>
      <c r="O996" t="s">
        <v>29</v>
      </c>
      <c r="P996" t="s">
        <v>29</v>
      </c>
      <c r="Q996" t="s">
        <v>29</v>
      </c>
      <c r="R996">
        <v>415</v>
      </c>
      <c r="S996">
        <v>28.51</v>
      </c>
      <c r="T996">
        <v>4.3</v>
      </c>
      <c r="U996">
        <v>4.5999999999999996</v>
      </c>
      <c r="V996" t="s">
        <v>38</v>
      </c>
    </row>
    <row r="997" spans="1:22" x14ac:dyDescent="0.35">
      <c r="A997" s="1">
        <v>45556</v>
      </c>
      <c r="B997" t="s">
        <v>53</v>
      </c>
      <c r="C997" s="2">
        <v>0.3258564814814815</v>
      </c>
      <c r="D997" t="s">
        <v>2229</v>
      </c>
      <c r="E997" t="s">
        <v>41</v>
      </c>
      <c r="F997" t="s">
        <v>2230</v>
      </c>
      <c r="G997" t="s">
        <v>34</v>
      </c>
      <c r="H997" t="s">
        <v>653</v>
      </c>
      <c r="I997" t="s">
        <v>323</v>
      </c>
      <c r="J997">
        <v>8.6999999999999993</v>
      </c>
      <c r="K997">
        <v>28.5</v>
      </c>
      <c r="L997" t="s">
        <v>29</v>
      </c>
      <c r="M997" t="s">
        <v>29</v>
      </c>
      <c r="N997" t="s">
        <v>29</v>
      </c>
      <c r="O997" t="s">
        <v>29</v>
      </c>
      <c r="P997" t="s">
        <v>29</v>
      </c>
      <c r="Q997" t="s">
        <v>29</v>
      </c>
      <c r="R997">
        <v>329</v>
      </c>
      <c r="S997">
        <v>49</v>
      </c>
      <c r="T997">
        <v>4.2</v>
      </c>
      <c r="U997">
        <v>4.5999999999999996</v>
      </c>
      <c r="V997" t="s">
        <v>38</v>
      </c>
    </row>
    <row r="998" spans="1:22" x14ac:dyDescent="0.35">
      <c r="A998" s="1">
        <v>45351</v>
      </c>
      <c r="B998" t="s">
        <v>59</v>
      </c>
      <c r="C998" s="2">
        <v>0.84309027777777779</v>
      </c>
      <c r="D998" t="s">
        <v>2231</v>
      </c>
      <c r="E998" t="s">
        <v>41</v>
      </c>
      <c r="F998" t="s">
        <v>2232</v>
      </c>
      <c r="G998" t="s">
        <v>43</v>
      </c>
      <c r="H998" t="s">
        <v>407</v>
      </c>
      <c r="I998" t="s">
        <v>63</v>
      </c>
      <c r="J998">
        <v>4.5</v>
      </c>
      <c r="K998">
        <v>16.2</v>
      </c>
      <c r="L998" t="s">
        <v>29</v>
      </c>
      <c r="M998" t="s">
        <v>29</v>
      </c>
      <c r="N998" t="s">
        <v>29</v>
      </c>
      <c r="O998" t="s">
        <v>29</v>
      </c>
      <c r="P998" t="s">
        <v>29</v>
      </c>
      <c r="Q998" t="s">
        <v>29</v>
      </c>
      <c r="R998">
        <v>960</v>
      </c>
      <c r="S998">
        <v>15.82</v>
      </c>
      <c r="T998">
        <v>4.4000000000000004</v>
      </c>
      <c r="U998">
        <v>3.7</v>
      </c>
      <c r="V998" t="s">
        <v>38</v>
      </c>
    </row>
    <row r="999" spans="1:22" x14ac:dyDescent="0.35">
      <c r="A999" s="1">
        <v>45495</v>
      </c>
      <c r="B999" t="s">
        <v>108</v>
      </c>
      <c r="C999" s="2">
        <v>0.4856597222222222</v>
      </c>
      <c r="D999" t="s">
        <v>2233</v>
      </c>
      <c r="E999" t="s">
        <v>41</v>
      </c>
      <c r="F999" t="s">
        <v>2234</v>
      </c>
      <c r="G999" t="s">
        <v>43</v>
      </c>
      <c r="H999" t="s">
        <v>51</v>
      </c>
      <c r="I999" t="s">
        <v>235</v>
      </c>
      <c r="J999">
        <v>4.4000000000000004</v>
      </c>
      <c r="K999">
        <v>28.1</v>
      </c>
      <c r="L999" t="s">
        <v>29</v>
      </c>
      <c r="M999" t="s">
        <v>29</v>
      </c>
      <c r="N999" t="s">
        <v>29</v>
      </c>
      <c r="O999" t="s">
        <v>29</v>
      </c>
      <c r="P999" t="s">
        <v>29</v>
      </c>
      <c r="Q999" t="s">
        <v>29</v>
      </c>
      <c r="R999">
        <v>227</v>
      </c>
      <c r="S999">
        <v>46.75</v>
      </c>
      <c r="T999">
        <v>4.9000000000000004</v>
      </c>
      <c r="U999">
        <v>4.2</v>
      </c>
      <c r="V999" t="s">
        <v>38</v>
      </c>
    </row>
    <row r="1000" spans="1:22" x14ac:dyDescent="0.35">
      <c r="A1000" s="1">
        <v>45466</v>
      </c>
      <c r="B1000" t="s">
        <v>64</v>
      </c>
      <c r="C1000" s="2">
        <v>0.57809027777777777</v>
      </c>
      <c r="D1000" t="s">
        <v>2235</v>
      </c>
      <c r="E1000" t="s">
        <v>117</v>
      </c>
      <c r="F1000" t="s">
        <v>2236</v>
      </c>
      <c r="G1000" t="s">
        <v>34</v>
      </c>
      <c r="H1000" t="s">
        <v>350</v>
      </c>
      <c r="I1000" t="s">
        <v>714</v>
      </c>
      <c r="J1000">
        <v>19.600000000000001</v>
      </c>
      <c r="K1000" t="s">
        <v>29</v>
      </c>
      <c r="L1000">
        <v>1</v>
      </c>
      <c r="M1000" t="s">
        <v>224</v>
      </c>
      <c r="N1000" t="s">
        <v>29</v>
      </c>
      <c r="O1000" t="s">
        <v>29</v>
      </c>
      <c r="P1000" t="s">
        <v>29</v>
      </c>
      <c r="Q1000" t="s">
        <v>29</v>
      </c>
      <c r="R1000" t="s">
        <v>29</v>
      </c>
      <c r="S1000" t="s">
        <v>29</v>
      </c>
      <c r="T1000" t="s">
        <v>29</v>
      </c>
      <c r="U1000" t="s">
        <v>29</v>
      </c>
      <c r="V1000" t="s">
        <v>29</v>
      </c>
    </row>
    <row r="1001" spans="1:22" x14ac:dyDescent="0.35">
      <c r="A1001" s="1">
        <v>45448</v>
      </c>
      <c r="B1001" t="s">
        <v>64</v>
      </c>
      <c r="C1001" s="2">
        <v>0.57739583333333333</v>
      </c>
      <c r="D1001" t="s">
        <v>2237</v>
      </c>
      <c r="E1001" t="s">
        <v>41</v>
      </c>
      <c r="F1001" t="s">
        <v>2238</v>
      </c>
      <c r="G1001" t="s">
        <v>34</v>
      </c>
      <c r="H1001" t="s">
        <v>249</v>
      </c>
      <c r="I1001" t="s">
        <v>207</v>
      </c>
      <c r="J1001">
        <v>5</v>
      </c>
      <c r="K1001">
        <v>42</v>
      </c>
      <c r="L1001" t="s">
        <v>29</v>
      </c>
      <c r="M1001" t="s">
        <v>29</v>
      </c>
      <c r="N1001" t="s">
        <v>29</v>
      </c>
      <c r="O1001" t="s">
        <v>29</v>
      </c>
      <c r="P1001" t="s">
        <v>29</v>
      </c>
      <c r="Q1001" t="s">
        <v>29</v>
      </c>
      <c r="R1001">
        <v>450</v>
      </c>
      <c r="S1001">
        <v>17.940000000000001</v>
      </c>
      <c r="T1001">
        <v>4.5</v>
      </c>
      <c r="U1001">
        <v>4.2</v>
      </c>
      <c r="V1001" t="s">
        <v>84</v>
      </c>
    </row>
    <row r="1002" spans="1:22" x14ac:dyDescent="0.35">
      <c r="A1002" s="1">
        <v>45614</v>
      </c>
      <c r="B1002" t="s">
        <v>30</v>
      </c>
      <c r="C1002" s="2">
        <v>5.226851851851852E-2</v>
      </c>
      <c r="D1002" t="s">
        <v>2239</v>
      </c>
      <c r="E1002" t="s">
        <v>117</v>
      </c>
      <c r="F1002" t="s">
        <v>2240</v>
      </c>
      <c r="G1002" t="s">
        <v>34</v>
      </c>
      <c r="H1002" t="s">
        <v>132</v>
      </c>
      <c r="I1002" t="s">
        <v>336</v>
      </c>
      <c r="J1002">
        <v>19.899999999999999</v>
      </c>
      <c r="K1002" t="s">
        <v>29</v>
      </c>
      <c r="L1002">
        <v>1</v>
      </c>
      <c r="M1002" t="s">
        <v>378</v>
      </c>
      <c r="N1002" t="s">
        <v>29</v>
      </c>
      <c r="O1002" t="s">
        <v>29</v>
      </c>
      <c r="P1002" t="s">
        <v>29</v>
      </c>
      <c r="Q1002" t="s">
        <v>29</v>
      </c>
      <c r="R1002" t="s">
        <v>29</v>
      </c>
      <c r="S1002" t="s">
        <v>29</v>
      </c>
      <c r="T1002" t="s">
        <v>29</v>
      </c>
      <c r="U1002" t="s">
        <v>29</v>
      </c>
      <c r="V1002" t="s">
        <v>29</v>
      </c>
    </row>
    <row r="1003" spans="1:22" x14ac:dyDescent="0.35">
      <c r="A1003" s="1">
        <v>45302</v>
      </c>
      <c r="B1003" t="s">
        <v>150</v>
      </c>
      <c r="C1003" s="2">
        <v>0.92054398148148153</v>
      </c>
      <c r="D1003" t="s">
        <v>2241</v>
      </c>
      <c r="E1003" t="s">
        <v>41</v>
      </c>
      <c r="F1003" t="s">
        <v>2242</v>
      </c>
      <c r="G1003" t="s">
        <v>34</v>
      </c>
      <c r="H1003" t="s">
        <v>803</v>
      </c>
      <c r="I1003" t="s">
        <v>153</v>
      </c>
      <c r="J1003">
        <v>11.4</v>
      </c>
      <c r="K1003">
        <v>41.1</v>
      </c>
      <c r="L1003" t="s">
        <v>29</v>
      </c>
      <c r="M1003" t="s">
        <v>29</v>
      </c>
      <c r="N1003" t="s">
        <v>29</v>
      </c>
      <c r="O1003" t="s">
        <v>29</v>
      </c>
      <c r="P1003" t="s">
        <v>29</v>
      </c>
      <c r="Q1003" t="s">
        <v>29</v>
      </c>
      <c r="R1003">
        <v>241</v>
      </c>
      <c r="S1003">
        <v>33.29</v>
      </c>
      <c r="T1003">
        <v>3.8</v>
      </c>
      <c r="U1003">
        <v>4.7</v>
      </c>
      <c r="V1003" t="s">
        <v>84</v>
      </c>
    </row>
    <row r="1004" spans="1:22" x14ac:dyDescent="0.35">
      <c r="A1004" s="1">
        <v>45632</v>
      </c>
      <c r="B1004" t="s">
        <v>78</v>
      </c>
      <c r="C1004" s="2">
        <v>0.47675925925925927</v>
      </c>
      <c r="D1004" t="s">
        <v>2243</v>
      </c>
      <c r="E1004" t="s">
        <v>41</v>
      </c>
      <c r="F1004" t="s">
        <v>2244</v>
      </c>
      <c r="G1004" t="s">
        <v>56</v>
      </c>
      <c r="H1004" t="s">
        <v>129</v>
      </c>
      <c r="I1004" t="s">
        <v>51</v>
      </c>
      <c r="J1004">
        <v>7.7</v>
      </c>
      <c r="K1004">
        <v>42.6</v>
      </c>
      <c r="L1004" t="s">
        <v>29</v>
      </c>
      <c r="M1004" t="s">
        <v>29</v>
      </c>
      <c r="N1004" t="s">
        <v>29</v>
      </c>
      <c r="O1004" t="s">
        <v>29</v>
      </c>
      <c r="P1004" t="s">
        <v>29</v>
      </c>
      <c r="Q1004" t="s">
        <v>29</v>
      </c>
      <c r="R1004">
        <v>781</v>
      </c>
      <c r="S1004">
        <v>48.44</v>
      </c>
      <c r="T1004">
        <v>4.2</v>
      </c>
      <c r="U1004">
        <v>4.7</v>
      </c>
      <c r="V1004" t="s">
        <v>149</v>
      </c>
    </row>
    <row r="1005" spans="1:22" x14ac:dyDescent="0.35">
      <c r="A1005" s="1">
        <v>45336</v>
      </c>
      <c r="B1005" t="s">
        <v>59</v>
      </c>
      <c r="C1005" s="2">
        <v>0.62788194444444445</v>
      </c>
      <c r="D1005" t="s">
        <v>2245</v>
      </c>
      <c r="E1005" t="s">
        <v>41</v>
      </c>
      <c r="F1005" t="s">
        <v>2246</v>
      </c>
      <c r="G1005" t="s">
        <v>146</v>
      </c>
      <c r="H1005" t="s">
        <v>68</v>
      </c>
      <c r="I1005" t="s">
        <v>36</v>
      </c>
      <c r="J1005">
        <v>14.3</v>
      </c>
      <c r="K1005">
        <v>26</v>
      </c>
      <c r="L1005" t="s">
        <v>29</v>
      </c>
      <c r="M1005" t="s">
        <v>29</v>
      </c>
      <c r="N1005" t="s">
        <v>29</v>
      </c>
      <c r="O1005" t="s">
        <v>29</v>
      </c>
      <c r="P1005" t="s">
        <v>29</v>
      </c>
      <c r="Q1005" t="s">
        <v>29</v>
      </c>
      <c r="R1005">
        <v>284</v>
      </c>
      <c r="S1005">
        <v>16.97</v>
      </c>
      <c r="T1005">
        <v>3.6</v>
      </c>
      <c r="U1005">
        <v>4.7</v>
      </c>
      <c r="V1005" t="s">
        <v>38</v>
      </c>
    </row>
    <row r="1006" spans="1:22" x14ac:dyDescent="0.35">
      <c r="A1006" s="1">
        <v>45441</v>
      </c>
      <c r="B1006" t="s">
        <v>122</v>
      </c>
      <c r="C1006" s="2">
        <v>5.3854166666666668E-2</v>
      </c>
      <c r="D1006" t="s">
        <v>2247</v>
      </c>
      <c r="E1006" t="s">
        <v>93</v>
      </c>
      <c r="F1006" t="s">
        <v>2248</v>
      </c>
      <c r="G1006" t="s">
        <v>56</v>
      </c>
      <c r="H1006" t="s">
        <v>207</v>
      </c>
      <c r="I1006" t="s">
        <v>111</v>
      </c>
      <c r="J1006">
        <v>6.8</v>
      </c>
      <c r="K1006" t="s">
        <v>29</v>
      </c>
      <c r="L1006" t="s">
        <v>29</v>
      </c>
      <c r="M1006" t="s">
        <v>29</v>
      </c>
      <c r="N1006">
        <v>1</v>
      </c>
      <c r="O1006" t="s">
        <v>169</v>
      </c>
      <c r="P1006" t="s">
        <v>29</v>
      </c>
      <c r="Q1006" t="s">
        <v>29</v>
      </c>
      <c r="R1006" t="s">
        <v>29</v>
      </c>
      <c r="S1006" t="s">
        <v>29</v>
      </c>
      <c r="T1006" t="s">
        <v>29</v>
      </c>
      <c r="U1006" t="s">
        <v>29</v>
      </c>
      <c r="V1006" t="s">
        <v>29</v>
      </c>
    </row>
    <row r="1007" spans="1:22" x14ac:dyDescent="0.35">
      <c r="A1007" s="1">
        <v>45367</v>
      </c>
      <c r="B1007" t="s">
        <v>22</v>
      </c>
      <c r="C1007" s="2">
        <v>0.81364583333333329</v>
      </c>
      <c r="D1007" t="s">
        <v>2249</v>
      </c>
      <c r="E1007" t="s">
        <v>93</v>
      </c>
      <c r="F1007" t="s">
        <v>2250</v>
      </c>
      <c r="G1007" t="s">
        <v>43</v>
      </c>
      <c r="H1007" t="s">
        <v>486</v>
      </c>
      <c r="I1007" t="s">
        <v>690</v>
      </c>
      <c r="J1007">
        <v>3.8</v>
      </c>
      <c r="K1007" t="s">
        <v>29</v>
      </c>
      <c r="L1007" t="s">
        <v>29</v>
      </c>
      <c r="M1007" t="s">
        <v>29</v>
      </c>
      <c r="N1007">
        <v>1</v>
      </c>
      <c r="O1007" t="s">
        <v>337</v>
      </c>
      <c r="P1007" t="s">
        <v>29</v>
      </c>
      <c r="Q1007" t="s">
        <v>29</v>
      </c>
      <c r="R1007" t="s">
        <v>29</v>
      </c>
      <c r="S1007" t="s">
        <v>29</v>
      </c>
      <c r="T1007" t="s">
        <v>29</v>
      </c>
      <c r="U1007" t="s">
        <v>29</v>
      </c>
      <c r="V1007" t="s">
        <v>29</v>
      </c>
    </row>
    <row r="1008" spans="1:22" x14ac:dyDescent="0.35">
      <c r="A1008" s="1">
        <v>45393</v>
      </c>
      <c r="B1008" t="s">
        <v>154</v>
      </c>
      <c r="C1008" s="2">
        <v>0.42074074074074075</v>
      </c>
      <c r="D1008" t="s">
        <v>2251</v>
      </c>
      <c r="E1008" t="s">
        <v>93</v>
      </c>
      <c r="F1008" t="s">
        <v>2252</v>
      </c>
      <c r="G1008" t="s">
        <v>43</v>
      </c>
      <c r="H1008" t="s">
        <v>383</v>
      </c>
      <c r="I1008" t="s">
        <v>120</v>
      </c>
      <c r="J1008">
        <v>9.4</v>
      </c>
      <c r="K1008" t="s">
        <v>29</v>
      </c>
      <c r="L1008" t="s">
        <v>29</v>
      </c>
      <c r="M1008" t="s">
        <v>29</v>
      </c>
      <c r="N1008">
        <v>1</v>
      </c>
      <c r="O1008" t="s">
        <v>337</v>
      </c>
      <c r="P1008" t="s">
        <v>29</v>
      </c>
      <c r="Q1008" t="s">
        <v>29</v>
      </c>
      <c r="R1008" t="s">
        <v>29</v>
      </c>
      <c r="S1008" t="s">
        <v>29</v>
      </c>
      <c r="T1008" t="s">
        <v>29</v>
      </c>
      <c r="U1008" t="s">
        <v>29</v>
      </c>
      <c r="V1008" t="s">
        <v>29</v>
      </c>
    </row>
    <row r="1009" spans="1:22" x14ac:dyDescent="0.35">
      <c r="A1009" s="1">
        <v>45650</v>
      </c>
      <c r="B1009" t="s">
        <v>78</v>
      </c>
      <c r="C1009" s="2">
        <v>0.43106481481481479</v>
      </c>
      <c r="D1009" t="s">
        <v>2253</v>
      </c>
      <c r="E1009" t="s">
        <v>41</v>
      </c>
      <c r="F1009" t="s">
        <v>2254</v>
      </c>
      <c r="G1009" t="s">
        <v>56</v>
      </c>
      <c r="H1009" t="s">
        <v>96</v>
      </c>
      <c r="I1009" t="s">
        <v>892</v>
      </c>
      <c r="J1009">
        <v>5</v>
      </c>
      <c r="K1009">
        <v>32.6</v>
      </c>
      <c r="L1009" t="s">
        <v>29</v>
      </c>
      <c r="M1009" t="s">
        <v>29</v>
      </c>
      <c r="N1009" t="s">
        <v>29</v>
      </c>
      <c r="O1009" t="s">
        <v>29</v>
      </c>
      <c r="P1009" t="s">
        <v>29</v>
      </c>
      <c r="Q1009" t="s">
        <v>29</v>
      </c>
      <c r="R1009">
        <v>245</v>
      </c>
      <c r="S1009">
        <v>12.28</v>
      </c>
      <c r="T1009">
        <v>4.0999999999999996</v>
      </c>
      <c r="U1009">
        <v>4.2</v>
      </c>
      <c r="V1009" t="s">
        <v>84</v>
      </c>
    </row>
    <row r="1010" spans="1:22" x14ac:dyDescent="0.35">
      <c r="A1010" s="1">
        <v>45629</v>
      </c>
      <c r="B1010" t="s">
        <v>78</v>
      </c>
      <c r="C1010" s="2">
        <v>0.47953703703703704</v>
      </c>
      <c r="D1010" t="s">
        <v>2255</v>
      </c>
      <c r="E1010" t="s">
        <v>117</v>
      </c>
      <c r="F1010" t="s">
        <v>2256</v>
      </c>
      <c r="G1010" t="s">
        <v>67</v>
      </c>
      <c r="H1010" t="s">
        <v>210</v>
      </c>
      <c r="I1010" t="s">
        <v>239</v>
      </c>
      <c r="J1010">
        <v>19.2</v>
      </c>
      <c r="K1010" t="s">
        <v>29</v>
      </c>
      <c r="L1010">
        <v>1</v>
      </c>
      <c r="M1010" t="s">
        <v>420</v>
      </c>
      <c r="N1010" t="s">
        <v>29</v>
      </c>
      <c r="O1010" t="s">
        <v>29</v>
      </c>
      <c r="P1010" t="s">
        <v>29</v>
      </c>
      <c r="Q1010" t="s">
        <v>29</v>
      </c>
      <c r="R1010" t="s">
        <v>29</v>
      </c>
      <c r="S1010" t="s">
        <v>29</v>
      </c>
      <c r="T1010" t="s">
        <v>29</v>
      </c>
      <c r="U1010" t="s">
        <v>29</v>
      </c>
      <c r="V1010" t="s">
        <v>29</v>
      </c>
    </row>
    <row r="1011" spans="1:22" x14ac:dyDescent="0.35">
      <c r="A1011" s="1">
        <v>45602</v>
      </c>
      <c r="B1011" t="s">
        <v>30</v>
      </c>
      <c r="C1011" s="2">
        <v>2.3946759259259258E-2</v>
      </c>
      <c r="D1011" t="s">
        <v>2257</v>
      </c>
      <c r="E1011" t="s">
        <v>41</v>
      </c>
      <c r="F1011" t="s">
        <v>2258</v>
      </c>
      <c r="G1011" t="s">
        <v>67</v>
      </c>
      <c r="H1011" t="s">
        <v>935</v>
      </c>
      <c r="I1011" t="s">
        <v>238</v>
      </c>
      <c r="J1011">
        <v>3.2</v>
      </c>
      <c r="K1011">
        <v>24.9</v>
      </c>
      <c r="L1011" t="s">
        <v>29</v>
      </c>
      <c r="M1011" t="s">
        <v>29</v>
      </c>
      <c r="N1011" t="s">
        <v>29</v>
      </c>
      <c r="O1011" t="s">
        <v>29</v>
      </c>
      <c r="P1011" t="s">
        <v>29</v>
      </c>
      <c r="Q1011" t="s">
        <v>29</v>
      </c>
      <c r="R1011">
        <v>184</v>
      </c>
      <c r="S1011">
        <v>45.91</v>
      </c>
      <c r="T1011">
        <v>4.3</v>
      </c>
      <c r="U1011">
        <v>4.3</v>
      </c>
      <c r="V1011" t="s">
        <v>84</v>
      </c>
    </row>
    <row r="1012" spans="1:22" x14ac:dyDescent="0.35">
      <c r="A1012" s="1">
        <v>45473</v>
      </c>
      <c r="B1012" t="s">
        <v>64</v>
      </c>
      <c r="C1012" s="2">
        <v>0.95166666666666666</v>
      </c>
      <c r="D1012" t="s">
        <v>2259</v>
      </c>
      <c r="E1012" t="s">
        <v>41</v>
      </c>
      <c r="F1012" t="s">
        <v>2260</v>
      </c>
      <c r="G1012" t="s">
        <v>56</v>
      </c>
      <c r="H1012" t="s">
        <v>227</v>
      </c>
      <c r="I1012" t="s">
        <v>106</v>
      </c>
      <c r="J1012">
        <v>12.3</v>
      </c>
      <c r="K1012">
        <v>23.3</v>
      </c>
      <c r="L1012" t="s">
        <v>29</v>
      </c>
      <c r="M1012" t="s">
        <v>29</v>
      </c>
      <c r="N1012" t="s">
        <v>29</v>
      </c>
      <c r="O1012" t="s">
        <v>29</v>
      </c>
      <c r="P1012" t="s">
        <v>29</v>
      </c>
      <c r="Q1012" t="s">
        <v>29</v>
      </c>
      <c r="R1012">
        <v>516</v>
      </c>
      <c r="S1012">
        <v>48.33</v>
      </c>
      <c r="T1012">
        <v>4.2</v>
      </c>
      <c r="U1012">
        <v>4.8</v>
      </c>
      <c r="V1012" t="s">
        <v>38</v>
      </c>
    </row>
    <row r="1013" spans="1:22" x14ac:dyDescent="0.35">
      <c r="A1013" s="1">
        <v>45609</v>
      </c>
      <c r="B1013" t="s">
        <v>30</v>
      </c>
      <c r="C1013" s="2">
        <v>0.91012731481481479</v>
      </c>
      <c r="D1013" t="s">
        <v>2261</v>
      </c>
      <c r="E1013" t="s">
        <v>117</v>
      </c>
      <c r="F1013" t="s">
        <v>2262</v>
      </c>
      <c r="G1013" t="s">
        <v>56</v>
      </c>
      <c r="H1013" t="s">
        <v>220</v>
      </c>
      <c r="I1013" t="s">
        <v>172</v>
      </c>
      <c r="J1013">
        <v>8.1</v>
      </c>
      <c r="K1013" t="s">
        <v>29</v>
      </c>
      <c r="L1013">
        <v>1</v>
      </c>
      <c r="M1013" t="s">
        <v>420</v>
      </c>
      <c r="N1013" t="s">
        <v>29</v>
      </c>
      <c r="O1013" t="s">
        <v>29</v>
      </c>
      <c r="P1013" t="s">
        <v>29</v>
      </c>
      <c r="Q1013" t="s">
        <v>29</v>
      </c>
      <c r="R1013" t="s">
        <v>29</v>
      </c>
      <c r="S1013" t="s">
        <v>29</v>
      </c>
      <c r="T1013" t="s">
        <v>29</v>
      </c>
      <c r="U1013" t="s">
        <v>29</v>
      </c>
      <c r="V1013" t="s">
        <v>29</v>
      </c>
    </row>
    <row r="1014" spans="1:22" x14ac:dyDescent="0.35">
      <c r="A1014" s="1">
        <v>45337</v>
      </c>
      <c r="B1014" t="s">
        <v>59</v>
      </c>
      <c r="C1014" s="2">
        <v>0.82379629629629625</v>
      </c>
      <c r="D1014" t="s">
        <v>2263</v>
      </c>
      <c r="E1014" t="s">
        <v>41</v>
      </c>
      <c r="F1014" t="s">
        <v>2264</v>
      </c>
      <c r="G1014" t="s">
        <v>34</v>
      </c>
      <c r="H1014" t="s">
        <v>88</v>
      </c>
      <c r="I1014" t="s">
        <v>585</v>
      </c>
      <c r="J1014">
        <v>7.5</v>
      </c>
      <c r="K1014">
        <v>44.8</v>
      </c>
      <c r="L1014" t="s">
        <v>29</v>
      </c>
      <c r="M1014" t="s">
        <v>29</v>
      </c>
      <c r="N1014" t="s">
        <v>29</v>
      </c>
      <c r="O1014" t="s">
        <v>29</v>
      </c>
      <c r="P1014" t="s">
        <v>29</v>
      </c>
      <c r="Q1014" t="s">
        <v>29</v>
      </c>
      <c r="R1014">
        <v>315</v>
      </c>
      <c r="S1014">
        <v>14.16</v>
      </c>
      <c r="T1014">
        <v>3.8</v>
      </c>
      <c r="U1014">
        <v>5</v>
      </c>
      <c r="V1014" t="s">
        <v>38</v>
      </c>
    </row>
    <row r="1015" spans="1:22" x14ac:dyDescent="0.35">
      <c r="A1015" s="1">
        <v>45465</v>
      </c>
      <c r="B1015" t="s">
        <v>64</v>
      </c>
      <c r="C1015" s="2">
        <v>0.48439814814814813</v>
      </c>
      <c r="D1015" t="s">
        <v>2265</v>
      </c>
      <c r="E1015" t="s">
        <v>41</v>
      </c>
      <c r="F1015" t="s">
        <v>2266</v>
      </c>
      <c r="G1015" t="s">
        <v>43</v>
      </c>
      <c r="H1015" t="s">
        <v>665</v>
      </c>
      <c r="I1015" t="s">
        <v>147</v>
      </c>
      <c r="J1015">
        <v>4.8</v>
      </c>
      <c r="K1015">
        <v>15.9</v>
      </c>
      <c r="L1015" t="s">
        <v>29</v>
      </c>
      <c r="M1015" t="s">
        <v>29</v>
      </c>
      <c r="N1015" t="s">
        <v>29</v>
      </c>
      <c r="O1015" t="s">
        <v>29</v>
      </c>
      <c r="P1015" t="s">
        <v>29</v>
      </c>
      <c r="Q1015" t="s">
        <v>29</v>
      </c>
      <c r="R1015">
        <v>686</v>
      </c>
      <c r="S1015">
        <v>26.44</v>
      </c>
      <c r="T1015">
        <v>4</v>
      </c>
      <c r="U1015">
        <v>4.9000000000000004</v>
      </c>
      <c r="V1015" t="s">
        <v>38</v>
      </c>
    </row>
    <row r="1016" spans="1:22" x14ac:dyDescent="0.35">
      <c r="A1016" s="1">
        <v>45427</v>
      </c>
      <c r="B1016" t="s">
        <v>122</v>
      </c>
      <c r="C1016" s="2">
        <v>0.44217592592592592</v>
      </c>
      <c r="D1016" t="s">
        <v>2267</v>
      </c>
      <c r="E1016" t="s">
        <v>93</v>
      </c>
      <c r="F1016" t="s">
        <v>2268</v>
      </c>
      <c r="G1016" t="s">
        <v>34</v>
      </c>
      <c r="H1016" t="s">
        <v>58</v>
      </c>
      <c r="I1016" t="s">
        <v>249</v>
      </c>
      <c r="J1016">
        <v>6.9</v>
      </c>
      <c r="K1016" t="s">
        <v>29</v>
      </c>
      <c r="L1016" t="s">
        <v>29</v>
      </c>
      <c r="M1016" t="s">
        <v>29</v>
      </c>
      <c r="N1016">
        <v>1</v>
      </c>
      <c r="O1016" t="s">
        <v>97</v>
      </c>
      <c r="P1016" t="s">
        <v>29</v>
      </c>
      <c r="Q1016" t="s">
        <v>29</v>
      </c>
      <c r="R1016" t="s">
        <v>29</v>
      </c>
      <c r="S1016" t="s">
        <v>29</v>
      </c>
      <c r="T1016" t="s">
        <v>29</v>
      </c>
      <c r="U1016" t="s">
        <v>29</v>
      </c>
      <c r="V1016" t="s">
        <v>29</v>
      </c>
    </row>
    <row r="1017" spans="1:22" x14ac:dyDescent="0.35">
      <c r="A1017" s="1">
        <v>45560</v>
      </c>
      <c r="B1017" t="s">
        <v>53</v>
      </c>
      <c r="C1017" s="2">
        <v>0.75043981481481481</v>
      </c>
      <c r="D1017" t="s">
        <v>2269</v>
      </c>
      <c r="E1017" t="s">
        <v>24</v>
      </c>
      <c r="F1017" t="s">
        <v>2270</v>
      </c>
      <c r="G1017" t="s">
        <v>34</v>
      </c>
      <c r="H1017" t="s">
        <v>449</v>
      </c>
      <c r="I1017" t="s">
        <v>355</v>
      </c>
      <c r="J1017" t="s">
        <v>29</v>
      </c>
      <c r="K1017" t="s">
        <v>29</v>
      </c>
      <c r="L1017" t="s">
        <v>29</v>
      </c>
      <c r="M1017" t="s">
        <v>29</v>
      </c>
      <c r="N1017" t="s">
        <v>29</v>
      </c>
      <c r="O1017" t="s">
        <v>29</v>
      </c>
      <c r="P1017" t="s">
        <v>29</v>
      </c>
      <c r="Q1017" t="s">
        <v>29</v>
      </c>
      <c r="R1017" t="s">
        <v>29</v>
      </c>
      <c r="S1017" t="s">
        <v>29</v>
      </c>
      <c r="T1017" t="s">
        <v>29</v>
      </c>
      <c r="U1017" t="s">
        <v>29</v>
      </c>
      <c r="V1017" t="s">
        <v>29</v>
      </c>
    </row>
    <row r="1018" spans="1:22" x14ac:dyDescent="0.35">
      <c r="A1018" s="1">
        <v>45476</v>
      </c>
      <c r="B1018" t="s">
        <v>108</v>
      </c>
      <c r="C1018" s="2">
        <v>0.24047453703703703</v>
      </c>
      <c r="D1018" t="s">
        <v>2271</v>
      </c>
      <c r="E1018" t="s">
        <v>93</v>
      </c>
      <c r="F1018" t="s">
        <v>2272</v>
      </c>
      <c r="G1018" t="s">
        <v>26</v>
      </c>
      <c r="H1018" t="s">
        <v>270</v>
      </c>
      <c r="I1018" t="s">
        <v>36</v>
      </c>
      <c r="J1018">
        <v>4</v>
      </c>
      <c r="K1018" t="s">
        <v>29</v>
      </c>
      <c r="L1018" t="s">
        <v>29</v>
      </c>
      <c r="M1018" t="s">
        <v>29</v>
      </c>
      <c r="N1018">
        <v>1</v>
      </c>
      <c r="O1018" t="s">
        <v>115</v>
      </c>
      <c r="P1018" t="s">
        <v>29</v>
      </c>
      <c r="Q1018" t="s">
        <v>29</v>
      </c>
      <c r="R1018" t="s">
        <v>29</v>
      </c>
      <c r="S1018" t="s">
        <v>29</v>
      </c>
      <c r="T1018" t="s">
        <v>29</v>
      </c>
      <c r="U1018" t="s">
        <v>29</v>
      </c>
      <c r="V1018" t="s">
        <v>29</v>
      </c>
    </row>
    <row r="1019" spans="1:22" x14ac:dyDescent="0.35">
      <c r="A1019" s="1">
        <v>45407</v>
      </c>
      <c r="B1019" t="s">
        <v>154</v>
      </c>
      <c r="C1019" s="2">
        <v>0.89311342592592591</v>
      </c>
      <c r="D1019" t="s">
        <v>2273</v>
      </c>
      <c r="E1019" t="s">
        <v>41</v>
      </c>
      <c r="F1019" t="s">
        <v>2274</v>
      </c>
      <c r="G1019" t="s">
        <v>56</v>
      </c>
      <c r="H1019" t="s">
        <v>808</v>
      </c>
      <c r="I1019" t="s">
        <v>962</v>
      </c>
      <c r="J1019">
        <v>14.7</v>
      </c>
      <c r="K1019">
        <v>42.2</v>
      </c>
      <c r="L1019" t="s">
        <v>29</v>
      </c>
      <c r="M1019" t="s">
        <v>29</v>
      </c>
      <c r="N1019" t="s">
        <v>29</v>
      </c>
      <c r="O1019" t="s">
        <v>29</v>
      </c>
      <c r="P1019" t="s">
        <v>29</v>
      </c>
      <c r="Q1019" t="s">
        <v>29</v>
      </c>
      <c r="R1019">
        <v>203</v>
      </c>
      <c r="S1019">
        <v>40.61</v>
      </c>
      <c r="T1019">
        <v>4.3</v>
      </c>
      <c r="U1019">
        <v>5</v>
      </c>
      <c r="V1019" t="s">
        <v>107</v>
      </c>
    </row>
    <row r="1020" spans="1:22" x14ac:dyDescent="0.35">
      <c r="A1020" s="1">
        <v>45535</v>
      </c>
      <c r="B1020" t="s">
        <v>39</v>
      </c>
      <c r="C1020" s="2">
        <v>0.69900462962962961</v>
      </c>
      <c r="D1020" t="s">
        <v>2275</v>
      </c>
      <c r="E1020" t="s">
        <v>41</v>
      </c>
      <c r="F1020" t="s">
        <v>2276</v>
      </c>
      <c r="G1020" t="s">
        <v>26</v>
      </c>
      <c r="H1020" t="s">
        <v>254</v>
      </c>
      <c r="I1020" t="s">
        <v>355</v>
      </c>
      <c r="J1020">
        <v>10</v>
      </c>
      <c r="K1020">
        <v>20.8</v>
      </c>
      <c r="L1020" t="s">
        <v>29</v>
      </c>
      <c r="M1020" t="s">
        <v>29</v>
      </c>
      <c r="N1020" t="s">
        <v>29</v>
      </c>
      <c r="O1020" t="s">
        <v>29</v>
      </c>
      <c r="P1020" t="s">
        <v>29</v>
      </c>
      <c r="Q1020" t="s">
        <v>29</v>
      </c>
      <c r="R1020">
        <v>332</v>
      </c>
      <c r="S1020">
        <v>22.06</v>
      </c>
      <c r="T1020">
        <v>4.2</v>
      </c>
      <c r="U1020">
        <v>4.7</v>
      </c>
      <c r="V1020" t="s">
        <v>38</v>
      </c>
    </row>
    <row r="1021" spans="1:22" x14ac:dyDescent="0.35">
      <c r="A1021" s="1">
        <v>45353</v>
      </c>
      <c r="B1021" t="s">
        <v>22</v>
      </c>
      <c r="C1021" s="2">
        <v>0.51265046296296302</v>
      </c>
      <c r="D1021" t="s">
        <v>2277</v>
      </c>
      <c r="E1021" t="s">
        <v>41</v>
      </c>
      <c r="F1021" t="s">
        <v>2278</v>
      </c>
      <c r="G1021" t="s">
        <v>43</v>
      </c>
      <c r="H1021" t="s">
        <v>69</v>
      </c>
      <c r="I1021" t="s">
        <v>91</v>
      </c>
      <c r="J1021">
        <v>12.9</v>
      </c>
      <c r="K1021">
        <v>37.4</v>
      </c>
      <c r="L1021" t="s">
        <v>29</v>
      </c>
      <c r="M1021" t="s">
        <v>29</v>
      </c>
      <c r="N1021" t="s">
        <v>29</v>
      </c>
      <c r="O1021" t="s">
        <v>29</v>
      </c>
      <c r="P1021" t="s">
        <v>29</v>
      </c>
      <c r="Q1021" t="s">
        <v>29</v>
      </c>
      <c r="R1021">
        <v>326</v>
      </c>
      <c r="S1021">
        <v>32.21</v>
      </c>
      <c r="T1021">
        <v>4.4000000000000004</v>
      </c>
      <c r="U1021">
        <v>4.9000000000000004</v>
      </c>
      <c r="V1021" t="s">
        <v>38</v>
      </c>
    </row>
    <row r="1022" spans="1:22" x14ac:dyDescent="0.35">
      <c r="A1022" s="1">
        <v>45461</v>
      </c>
      <c r="B1022" t="s">
        <v>64</v>
      </c>
      <c r="C1022" s="2">
        <v>0.36288194444444444</v>
      </c>
      <c r="D1022" t="s">
        <v>2279</v>
      </c>
      <c r="E1022" t="s">
        <v>41</v>
      </c>
      <c r="F1022" t="s">
        <v>2280</v>
      </c>
      <c r="G1022" t="s">
        <v>34</v>
      </c>
      <c r="H1022" t="s">
        <v>36</v>
      </c>
      <c r="I1022" t="s">
        <v>531</v>
      </c>
      <c r="J1022">
        <v>11.4</v>
      </c>
      <c r="K1022">
        <v>39.799999999999997</v>
      </c>
      <c r="L1022" t="s">
        <v>29</v>
      </c>
      <c r="M1022" t="s">
        <v>29</v>
      </c>
      <c r="N1022" t="s">
        <v>29</v>
      </c>
      <c r="O1022" t="s">
        <v>29</v>
      </c>
      <c r="P1022" t="s">
        <v>29</v>
      </c>
      <c r="Q1022" t="s">
        <v>29</v>
      </c>
      <c r="R1022">
        <v>159</v>
      </c>
      <c r="S1022">
        <v>33.07</v>
      </c>
      <c r="T1022">
        <v>4.0999999999999996</v>
      </c>
      <c r="U1022">
        <v>4.5</v>
      </c>
      <c r="V1022" t="s">
        <v>149</v>
      </c>
    </row>
    <row r="1023" spans="1:22" x14ac:dyDescent="0.35">
      <c r="A1023" s="1">
        <v>45401</v>
      </c>
      <c r="B1023" t="s">
        <v>154</v>
      </c>
      <c r="C1023" s="2">
        <v>0.69107638888888889</v>
      </c>
      <c r="D1023" t="s">
        <v>2281</v>
      </c>
      <c r="E1023" t="s">
        <v>93</v>
      </c>
      <c r="F1023" t="s">
        <v>2282</v>
      </c>
      <c r="G1023" t="s">
        <v>43</v>
      </c>
      <c r="H1023" t="s">
        <v>377</v>
      </c>
      <c r="I1023" t="s">
        <v>111</v>
      </c>
      <c r="J1023">
        <v>5.8</v>
      </c>
      <c r="K1023" t="s">
        <v>29</v>
      </c>
      <c r="L1023" t="s">
        <v>29</v>
      </c>
      <c r="M1023" t="s">
        <v>29</v>
      </c>
      <c r="N1023">
        <v>1</v>
      </c>
      <c r="O1023" t="s">
        <v>115</v>
      </c>
      <c r="P1023" t="s">
        <v>29</v>
      </c>
      <c r="Q1023" t="s">
        <v>29</v>
      </c>
      <c r="R1023" t="s">
        <v>29</v>
      </c>
      <c r="S1023" t="s">
        <v>29</v>
      </c>
      <c r="T1023" t="s">
        <v>29</v>
      </c>
      <c r="U1023" t="s">
        <v>29</v>
      </c>
      <c r="V1023" t="s">
        <v>29</v>
      </c>
    </row>
    <row r="1024" spans="1:22" x14ac:dyDescent="0.35">
      <c r="A1024" s="1">
        <v>45343</v>
      </c>
      <c r="B1024" t="s">
        <v>59</v>
      </c>
      <c r="C1024" s="2">
        <v>0.83293981481481483</v>
      </c>
      <c r="D1024" t="s">
        <v>2283</v>
      </c>
      <c r="E1024" t="s">
        <v>41</v>
      </c>
      <c r="F1024" t="s">
        <v>2284</v>
      </c>
      <c r="G1024" t="s">
        <v>50</v>
      </c>
      <c r="H1024" t="s">
        <v>693</v>
      </c>
      <c r="I1024" t="s">
        <v>665</v>
      </c>
      <c r="J1024">
        <v>7.5</v>
      </c>
      <c r="K1024">
        <v>41.2</v>
      </c>
      <c r="L1024" t="s">
        <v>29</v>
      </c>
      <c r="M1024" t="s">
        <v>29</v>
      </c>
      <c r="N1024" t="s">
        <v>29</v>
      </c>
      <c r="O1024" t="s">
        <v>29</v>
      </c>
      <c r="P1024" t="s">
        <v>29</v>
      </c>
      <c r="Q1024" t="s">
        <v>29</v>
      </c>
      <c r="R1024">
        <v>325</v>
      </c>
      <c r="S1024">
        <v>4.01</v>
      </c>
      <c r="T1024">
        <v>4.9000000000000004</v>
      </c>
      <c r="U1024">
        <v>4.2</v>
      </c>
      <c r="V1024" t="s">
        <v>38</v>
      </c>
    </row>
    <row r="1025" spans="1:22" x14ac:dyDescent="0.35">
      <c r="A1025" s="1">
        <v>45451</v>
      </c>
      <c r="B1025" t="s">
        <v>64</v>
      </c>
      <c r="C1025" s="2">
        <v>0.7525694444444444</v>
      </c>
      <c r="D1025" t="s">
        <v>2285</v>
      </c>
      <c r="E1025" t="s">
        <v>93</v>
      </c>
      <c r="F1025" t="s">
        <v>2286</v>
      </c>
      <c r="G1025" t="s">
        <v>67</v>
      </c>
      <c r="H1025" t="s">
        <v>613</v>
      </c>
      <c r="I1025" t="s">
        <v>536</v>
      </c>
      <c r="J1025">
        <v>3.9</v>
      </c>
      <c r="K1025" t="s">
        <v>29</v>
      </c>
      <c r="L1025" t="s">
        <v>29</v>
      </c>
      <c r="M1025" t="s">
        <v>29</v>
      </c>
      <c r="N1025">
        <v>1</v>
      </c>
      <c r="O1025" t="s">
        <v>115</v>
      </c>
      <c r="P1025" t="s">
        <v>29</v>
      </c>
      <c r="Q1025" t="s">
        <v>29</v>
      </c>
      <c r="R1025" t="s">
        <v>29</v>
      </c>
      <c r="S1025" t="s">
        <v>29</v>
      </c>
      <c r="T1025" t="s">
        <v>29</v>
      </c>
      <c r="U1025" t="s">
        <v>29</v>
      </c>
      <c r="V1025" t="s">
        <v>29</v>
      </c>
    </row>
    <row r="1026" spans="1:22" x14ac:dyDescent="0.35">
      <c r="A1026" s="1">
        <v>45417</v>
      </c>
      <c r="B1026" t="s">
        <v>122</v>
      </c>
      <c r="C1026" s="2">
        <v>0.49951388888888887</v>
      </c>
      <c r="D1026" t="s">
        <v>2287</v>
      </c>
      <c r="E1026" t="s">
        <v>32</v>
      </c>
      <c r="F1026" t="s">
        <v>2288</v>
      </c>
      <c r="G1026" t="s">
        <v>26</v>
      </c>
      <c r="H1026" t="s">
        <v>193</v>
      </c>
      <c r="I1026" t="s">
        <v>293</v>
      </c>
      <c r="J1026">
        <v>9.9</v>
      </c>
      <c r="K1026">
        <v>22.9</v>
      </c>
      <c r="L1026" t="s">
        <v>29</v>
      </c>
      <c r="M1026" t="s">
        <v>29</v>
      </c>
      <c r="N1026" t="s">
        <v>29</v>
      </c>
      <c r="O1026" t="s">
        <v>29</v>
      </c>
      <c r="P1026">
        <v>1</v>
      </c>
      <c r="Q1026" t="s">
        <v>302</v>
      </c>
      <c r="R1026">
        <v>685</v>
      </c>
      <c r="S1026">
        <v>2.14</v>
      </c>
      <c r="T1026" t="s">
        <v>29</v>
      </c>
      <c r="U1026" t="s">
        <v>29</v>
      </c>
      <c r="V1026" t="s">
        <v>38</v>
      </c>
    </row>
    <row r="1027" spans="1:22" x14ac:dyDescent="0.35">
      <c r="A1027" s="1">
        <v>45552</v>
      </c>
      <c r="B1027" t="s">
        <v>53</v>
      </c>
      <c r="C1027" s="2">
        <v>0.59027777777777779</v>
      </c>
      <c r="D1027" t="s">
        <v>2289</v>
      </c>
      <c r="E1027" t="s">
        <v>93</v>
      </c>
      <c r="F1027" t="s">
        <v>2290</v>
      </c>
      <c r="G1027" t="s">
        <v>56</v>
      </c>
      <c r="H1027" t="s">
        <v>140</v>
      </c>
      <c r="I1027" t="s">
        <v>137</v>
      </c>
      <c r="J1027">
        <v>3.3</v>
      </c>
      <c r="K1027" t="s">
        <v>29</v>
      </c>
      <c r="L1027" t="s">
        <v>29</v>
      </c>
      <c r="M1027" t="s">
        <v>29</v>
      </c>
      <c r="N1027">
        <v>1</v>
      </c>
      <c r="O1027" t="s">
        <v>337</v>
      </c>
      <c r="P1027" t="s">
        <v>29</v>
      </c>
      <c r="Q1027" t="s">
        <v>29</v>
      </c>
      <c r="R1027" t="s">
        <v>29</v>
      </c>
      <c r="S1027" t="s">
        <v>29</v>
      </c>
      <c r="T1027" t="s">
        <v>29</v>
      </c>
      <c r="U1027" t="s">
        <v>29</v>
      </c>
      <c r="V1027" t="s">
        <v>29</v>
      </c>
    </row>
    <row r="1028" spans="1:22" x14ac:dyDescent="0.35">
      <c r="A1028" s="1">
        <v>45533</v>
      </c>
      <c r="B1028" t="s">
        <v>39</v>
      </c>
      <c r="C1028" s="2">
        <v>0.7822337962962963</v>
      </c>
      <c r="D1028" t="s">
        <v>2291</v>
      </c>
      <c r="E1028" t="s">
        <v>41</v>
      </c>
      <c r="F1028" t="s">
        <v>2292</v>
      </c>
      <c r="G1028" t="s">
        <v>43</v>
      </c>
      <c r="H1028" t="s">
        <v>744</v>
      </c>
      <c r="I1028" t="s">
        <v>565</v>
      </c>
      <c r="J1028">
        <v>6.8</v>
      </c>
      <c r="K1028">
        <v>29.7</v>
      </c>
      <c r="L1028" t="s">
        <v>29</v>
      </c>
      <c r="M1028" t="s">
        <v>29</v>
      </c>
      <c r="N1028" t="s">
        <v>29</v>
      </c>
      <c r="O1028" t="s">
        <v>29</v>
      </c>
      <c r="P1028" t="s">
        <v>29</v>
      </c>
      <c r="Q1028" t="s">
        <v>29</v>
      </c>
      <c r="R1028">
        <v>378</v>
      </c>
      <c r="S1028">
        <v>30.94</v>
      </c>
      <c r="T1028">
        <v>4.2</v>
      </c>
      <c r="U1028">
        <v>4.5999999999999996</v>
      </c>
      <c r="V1028" t="s">
        <v>38</v>
      </c>
    </row>
    <row r="1029" spans="1:22" x14ac:dyDescent="0.35">
      <c r="A1029" s="1">
        <v>45536</v>
      </c>
      <c r="B1029" t="s">
        <v>53</v>
      </c>
      <c r="C1029" s="2">
        <v>1.0671296296296297E-2</v>
      </c>
      <c r="D1029" t="s">
        <v>2293</v>
      </c>
      <c r="E1029" t="s">
        <v>41</v>
      </c>
      <c r="F1029" t="s">
        <v>2294</v>
      </c>
      <c r="G1029" t="s">
        <v>50</v>
      </c>
      <c r="H1029" t="s">
        <v>168</v>
      </c>
      <c r="I1029" t="s">
        <v>81</v>
      </c>
      <c r="J1029">
        <v>11.4</v>
      </c>
      <c r="K1029">
        <v>32.6</v>
      </c>
      <c r="L1029" t="s">
        <v>29</v>
      </c>
      <c r="M1029" t="s">
        <v>29</v>
      </c>
      <c r="N1029" t="s">
        <v>29</v>
      </c>
      <c r="O1029" t="s">
        <v>29</v>
      </c>
      <c r="P1029" t="s">
        <v>29</v>
      </c>
      <c r="Q1029" t="s">
        <v>29</v>
      </c>
      <c r="R1029">
        <v>150</v>
      </c>
      <c r="S1029">
        <v>11.04</v>
      </c>
      <c r="T1029">
        <v>4.0999999999999996</v>
      </c>
      <c r="U1029">
        <v>5</v>
      </c>
      <c r="V1029" t="s">
        <v>38</v>
      </c>
    </row>
    <row r="1030" spans="1:22" x14ac:dyDescent="0.35">
      <c r="A1030" s="1">
        <v>45492</v>
      </c>
      <c r="B1030" t="s">
        <v>108</v>
      </c>
      <c r="C1030" s="2">
        <v>0.37311342592592595</v>
      </c>
      <c r="D1030" t="s">
        <v>2295</v>
      </c>
      <c r="E1030" t="s">
        <v>41</v>
      </c>
      <c r="F1030" t="s">
        <v>2296</v>
      </c>
      <c r="G1030" t="s">
        <v>26</v>
      </c>
      <c r="H1030" t="s">
        <v>744</v>
      </c>
      <c r="I1030" t="s">
        <v>299</v>
      </c>
      <c r="J1030">
        <v>4.5</v>
      </c>
      <c r="K1030">
        <v>21.3</v>
      </c>
      <c r="L1030" t="s">
        <v>29</v>
      </c>
      <c r="M1030" t="s">
        <v>29</v>
      </c>
      <c r="N1030" t="s">
        <v>29</v>
      </c>
      <c r="O1030" t="s">
        <v>29</v>
      </c>
      <c r="P1030" t="s">
        <v>29</v>
      </c>
      <c r="Q1030" t="s">
        <v>29</v>
      </c>
      <c r="R1030">
        <v>329</v>
      </c>
      <c r="S1030">
        <v>42.71</v>
      </c>
      <c r="T1030">
        <v>4.5</v>
      </c>
      <c r="U1030">
        <v>4.3</v>
      </c>
      <c r="V1030" t="s">
        <v>84</v>
      </c>
    </row>
    <row r="1031" spans="1:22" x14ac:dyDescent="0.35">
      <c r="A1031" s="1">
        <v>45584</v>
      </c>
      <c r="B1031" t="s">
        <v>47</v>
      </c>
      <c r="C1031" s="2">
        <v>0.4528935185185185</v>
      </c>
      <c r="D1031" t="s">
        <v>2297</v>
      </c>
      <c r="E1031" t="s">
        <v>41</v>
      </c>
      <c r="F1031" t="s">
        <v>2298</v>
      </c>
      <c r="G1031" t="s">
        <v>34</v>
      </c>
      <c r="H1031" t="s">
        <v>797</v>
      </c>
      <c r="I1031" t="s">
        <v>281</v>
      </c>
      <c r="J1031">
        <v>7.9</v>
      </c>
      <c r="K1031">
        <v>33.9</v>
      </c>
      <c r="L1031" t="s">
        <v>29</v>
      </c>
      <c r="M1031" t="s">
        <v>29</v>
      </c>
      <c r="N1031" t="s">
        <v>29</v>
      </c>
      <c r="O1031" t="s">
        <v>29</v>
      </c>
      <c r="P1031" t="s">
        <v>29</v>
      </c>
      <c r="Q1031" t="s">
        <v>29</v>
      </c>
      <c r="R1031">
        <v>84</v>
      </c>
      <c r="S1031">
        <v>37.659999999999997</v>
      </c>
      <c r="T1031">
        <v>4.3</v>
      </c>
      <c r="U1031">
        <v>4.7</v>
      </c>
      <c r="V1031" t="s">
        <v>84</v>
      </c>
    </row>
    <row r="1032" spans="1:22" x14ac:dyDescent="0.35">
      <c r="A1032" s="1">
        <v>45441</v>
      </c>
      <c r="B1032" t="s">
        <v>122</v>
      </c>
      <c r="C1032" s="2">
        <v>0.27515046296296297</v>
      </c>
      <c r="D1032" t="s">
        <v>2299</v>
      </c>
      <c r="E1032" t="s">
        <v>32</v>
      </c>
      <c r="F1032" t="s">
        <v>2300</v>
      </c>
      <c r="G1032" t="s">
        <v>67</v>
      </c>
      <c r="H1032" t="s">
        <v>536</v>
      </c>
      <c r="I1032" t="s">
        <v>96</v>
      </c>
      <c r="J1032">
        <v>8</v>
      </c>
      <c r="K1032">
        <v>17.899999999999999</v>
      </c>
      <c r="L1032" t="s">
        <v>29</v>
      </c>
      <c r="M1032" t="s">
        <v>29</v>
      </c>
      <c r="N1032" t="s">
        <v>29</v>
      </c>
      <c r="O1032" t="s">
        <v>29</v>
      </c>
      <c r="P1032">
        <v>1</v>
      </c>
      <c r="Q1032" t="s">
        <v>83</v>
      </c>
      <c r="R1032">
        <v>80</v>
      </c>
      <c r="S1032">
        <v>12.88</v>
      </c>
      <c r="T1032" t="s">
        <v>29</v>
      </c>
      <c r="U1032" t="s">
        <v>29</v>
      </c>
      <c r="V1032" t="s">
        <v>46</v>
      </c>
    </row>
    <row r="1033" spans="1:22" x14ac:dyDescent="0.35">
      <c r="A1033" s="1">
        <v>45374</v>
      </c>
      <c r="B1033" t="s">
        <v>22</v>
      </c>
      <c r="C1033" s="2">
        <v>0.60226851851851848</v>
      </c>
      <c r="D1033" t="s">
        <v>2301</v>
      </c>
      <c r="E1033" t="s">
        <v>41</v>
      </c>
      <c r="F1033" t="s">
        <v>2302</v>
      </c>
      <c r="G1033" t="s">
        <v>34</v>
      </c>
      <c r="H1033" t="s">
        <v>106</v>
      </c>
      <c r="I1033" t="s">
        <v>531</v>
      </c>
      <c r="J1033">
        <v>13.7</v>
      </c>
      <c r="K1033">
        <v>33.1</v>
      </c>
      <c r="L1033" t="s">
        <v>29</v>
      </c>
      <c r="M1033" t="s">
        <v>29</v>
      </c>
      <c r="N1033" t="s">
        <v>29</v>
      </c>
      <c r="O1033" t="s">
        <v>29</v>
      </c>
      <c r="P1033" t="s">
        <v>29</v>
      </c>
      <c r="Q1033" t="s">
        <v>29</v>
      </c>
      <c r="R1033">
        <v>1124</v>
      </c>
      <c r="S1033">
        <v>5.28</v>
      </c>
      <c r="T1033">
        <v>4.2</v>
      </c>
      <c r="U1033">
        <v>3.8</v>
      </c>
      <c r="V1033" t="s">
        <v>38</v>
      </c>
    </row>
    <row r="1034" spans="1:22" x14ac:dyDescent="0.35">
      <c r="A1034" s="1">
        <v>45458</v>
      </c>
      <c r="B1034" t="s">
        <v>64</v>
      </c>
      <c r="C1034" s="2">
        <v>0.19686342592592593</v>
      </c>
      <c r="D1034" t="s">
        <v>2303</v>
      </c>
      <c r="E1034" t="s">
        <v>41</v>
      </c>
      <c r="F1034" t="s">
        <v>2304</v>
      </c>
      <c r="G1034" t="s">
        <v>43</v>
      </c>
      <c r="H1034" t="s">
        <v>803</v>
      </c>
      <c r="I1034" t="s">
        <v>441</v>
      </c>
      <c r="J1034">
        <v>5.5</v>
      </c>
      <c r="K1034">
        <v>29.7</v>
      </c>
      <c r="L1034" t="s">
        <v>29</v>
      </c>
      <c r="M1034" t="s">
        <v>29</v>
      </c>
      <c r="N1034" t="s">
        <v>29</v>
      </c>
      <c r="O1034" t="s">
        <v>29</v>
      </c>
      <c r="P1034" t="s">
        <v>29</v>
      </c>
      <c r="Q1034" t="s">
        <v>29</v>
      </c>
      <c r="R1034">
        <v>1628</v>
      </c>
      <c r="S1034">
        <v>48.93</v>
      </c>
      <c r="T1034">
        <v>3.7</v>
      </c>
      <c r="U1034">
        <v>4.5</v>
      </c>
      <c r="V1034" t="s">
        <v>38</v>
      </c>
    </row>
    <row r="1035" spans="1:22" x14ac:dyDescent="0.35">
      <c r="A1035" s="1">
        <v>45410</v>
      </c>
      <c r="B1035" t="s">
        <v>154</v>
      </c>
      <c r="C1035" s="2">
        <v>0.38739583333333333</v>
      </c>
      <c r="D1035" t="s">
        <v>2305</v>
      </c>
      <c r="E1035" t="s">
        <v>24</v>
      </c>
      <c r="F1035" t="s">
        <v>2306</v>
      </c>
      <c r="G1035" t="s">
        <v>43</v>
      </c>
      <c r="H1035" t="s">
        <v>197</v>
      </c>
      <c r="I1035" t="s">
        <v>281</v>
      </c>
      <c r="J1035" t="s">
        <v>29</v>
      </c>
      <c r="K1035" t="s">
        <v>29</v>
      </c>
      <c r="L1035" t="s">
        <v>29</v>
      </c>
      <c r="M1035" t="s">
        <v>29</v>
      </c>
      <c r="N1035" t="s">
        <v>29</v>
      </c>
      <c r="O1035" t="s">
        <v>29</v>
      </c>
      <c r="P1035" t="s">
        <v>29</v>
      </c>
      <c r="Q1035" t="s">
        <v>29</v>
      </c>
      <c r="R1035" t="s">
        <v>29</v>
      </c>
      <c r="S1035" t="s">
        <v>29</v>
      </c>
      <c r="T1035" t="s">
        <v>29</v>
      </c>
      <c r="U1035" t="s">
        <v>29</v>
      </c>
      <c r="V1035" t="s">
        <v>29</v>
      </c>
    </row>
    <row r="1036" spans="1:22" x14ac:dyDescent="0.35">
      <c r="A1036" s="1">
        <v>45566</v>
      </c>
      <c r="B1036" t="s">
        <v>47</v>
      </c>
      <c r="C1036" s="2">
        <v>0.84334490740740742</v>
      </c>
      <c r="D1036" t="s">
        <v>2307</v>
      </c>
      <c r="E1036" t="s">
        <v>24</v>
      </c>
      <c r="F1036" t="s">
        <v>2308</v>
      </c>
      <c r="G1036" t="s">
        <v>146</v>
      </c>
      <c r="H1036" t="s">
        <v>140</v>
      </c>
      <c r="I1036" t="s">
        <v>161</v>
      </c>
      <c r="J1036" t="s">
        <v>29</v>
      </c>
      <c r="K1036" t="s">
        <v>29</v>
      </c>
      <c r="L1036" t="s">
        <v>29</v>
      </c>
      <c r="M1036" t="s">
        <v>29</v>
      </c>
      <c r="N1036" t="s">
        <v>29</v>
      </c>
      <c r="O1036" t="s">
        <v>29</v>
      </c>
      <c r="P1036" t="s">
        <v>29</v>
      </c>
      <c r="Q1036" t="s">
        <v>29</v>
      </c>
      <c r="R1036" t="s">
        <v>29</v>
      </c>
      <c r="S1036" t="s">
        <v>29</v>
      </c>
      <c r="T1036" t="s">
        <v>29</v>
      </c>
      <c r="U1036" t="s">
        <v>29</v>
      </c>
      <c r="V1036" t="s">
        <v>29</v>
      </c>
    </row>
    <row r="1037" spans="1:22" x14ac:dyDescent="0.35">
      <c r="A1037" s="1">
        <v>45371</v>
      </c>
      <c r="B1037" t="s">
        <v>22</v>
      </c>
      <c r="C1037" s="2">
        <v>0.79226851851851854</v>
      </c>
      <c r="D1037" t="s">
        <v>2309</v>
      </c>
      <c r="E1037" t="s">
        <v>41</v>
      </c>
      <c r="F1037" t="s">
        <v>2310</v>
      </c>
      <c r="G1037" t="s">
        <v>56</v>
      </c>
      <c r="H1037" t="s">
        <v>391</v>
      </c>
      <c r="I1037" t="s">
        <v>665</v>
      </c>
      <c r="J1037">
        <v>2.9</v>
      </c>
      <c r="K1037">
        <v>19.399999999999999</v>
      </c>
      <c r="L1037" t="s">
        <v>29</v>
      </c>
      <c r="M1037" t="s">
        <v>29</v>
      </c>
      <c r="N1037" t="s">
        <v>29</v>
      </c>
      <c r="O1037" t="s">
        <v>29</v>
      </c>
      <c r="P1037" t="s">
        <v>29</v>
      </c>
      <c r="Q1037" t="s">
        <v>29</v>
      </c>
      <c r="R1037">
        <v>408</v>
      </c>
      <c r="S1037">
        <v>38.979999999999997</v>
      </c>
      <c r="T1037">
        <v>3.3</v>
      </c>
      <c r="U1037">
        <v>4.8</v>
      </c>
      <c r="V1037" t="s">
        <v>38</v>
      </c>
    </row>
    <row r="1038" spans="1:22" x14ac:dyDescent="0.35">
      <c r="A1038" s="1">
        <v>45455</v>
      </c>
      <c r="B1038" t="s">
        <v>64</v>
      </c>
      <c r="C1038" s="2">
        <v>0.93690972222222224</v>
      </c>
      <c r="D1038" t="s">
        <v>2311</v>
      </c>
      <c r="E1038" t="s">
        <v>41</v>
      </c>
      <c r="F1038" t="s">
        <v>2312</v>
      </c>
      <c r="G1038" t="s">
        <v>43</v>
      </c>
      <c r="H1038" t="s">
        <v>62</v>
      </c>
      <c r="I1038" t="s">
        <v>744</v>
      </c>
      <c r="J1038">
        <v>8.1</v>
      </c>
      <c r="K1038">
        <v>33.4</v>
      </c>
      <c r="L1038" t="s">
        <v>29</v>
      </c>
      <c r="M1038" t="s">
        <v>29</v>
      </c>
      <c r="N1038" t="s">
        <v>29</v>
      </c>
      <c r="O1038" t="s">
        <v>29</v>
      </c>
      <c r="P1038" t="s">
        <v>29</v>
      </c>
      <c r="Q1038" t="s">
        <v>29</v>
      </c>
      <c r="R1038">
        <v>447</v>
      </c>
      <c r="S1038">
        <v>35.67</v>
      </c>
      <c r="T1038">
        <v>3.8</v>
      </c>
      <c r="U1038">
        <v>4.2</v>
      </c>
      <c r="V1038" t="s">
        <v>107</v>
      </c>
    </row>
    <row r="1039" spans="1:22" x14ac:dyDescent="0.35">
      <c r="A1039" s="1">
        <v>45445</v>
      </c>
      <c r="B1039" t="s">
        <v>64</v>
      </c>
      <c r="C1039" s="2">
        <v>0.99430555555555555</v>
      </c>
      <c r="D1039" t="s">
        <v>2313</v>
      </c>
      <c r="E1039" t="s">
        <v>32</v>
      </c>
      <c r="F1039" t="s">
        <v>2314</v>
      </c>
      <c r="G1039" t="s">
        <v>50</v>
      </c>
      <c r="H1039" t="s">
        <v>267</v>
      </c>
      <c r="I1039" t="s">
        <v>245</v>
      </c>
      <c r="J1039">
        <v>3.8</v>
      </c>
      <c r="K1039">
        <v>25.7</v>
      </c>
      <c r="L1039" t="s">
        <v>29</v>
      </c>
      <c r="M1039" t="s">
        <v>29</v>
      </c>
      <c r="N1039" t="s">
        <v>29</v>
      </c>
      <c r="O1039" t="s">
        <v>29</v>
      </c>
      <c r="P1039">
        <v>1</v>
      </c>
      <c r="Q1039" t="s">
        <v>83</v>
      </c>
      <c r="R1039">
        <v>138</v>
      </c>
      <c r="S1039">
        <v>12.87</v>
      </c>
      <c r="T1039" t="s">
        <v>29</v>
      </c>
      <c r="U1039" t="s">
        <v>29</v>
      </c>
      <c r="V1039" t="s">
        <v>107</v>
      </c>
    </row>
    <row r="1040" spans="1:22" x14ac:dyDescent="0.35">
      <c r="A1040" s="1">
        <v>45311</v>
      </c>
      <c r="B1040" t="s">
        <v>150</v>
      </c>
      <c r="C1040" s="2">
        <v>0.69664351851851847</v>
      </c>
      <c r="D1040" t="s">
        <v>2315</v>
      </c>
      <c r="E1040" t="s">
        <v>41</v>
      </c>
      <c r="F1040" t="s">
        <v>2316</v>
      </c>
      <c r="G1040" t="s">
        <v>67</v>
      </c>
      <c r="H1040" t="s">
        <v>87</v>
      </c>
      <c r="I1040" t="s">
        <v>214</v>
      </c>
      <c r="J1040">
        <v>6.7</v>
      </c>
      <c r="K1040">
        <v>27.6</v>
      </c>
      <c r="L1040" t="s">
        <v>29</v>
      </c>
      <c r="M1040" t="s">
        <v>29</v>
      </c>
      <c r="N1040" t="s">
        <v>29</v>
      </c>
      <c r="O1040" t="s">
        <v>29</v>
      </c>
      <c r="P1040" t="s">
        <v>29</v>
      </c>
      <c r="Q1040" t="s">
        <v>29</v>
      </c>
      <c r="R1040">
        <v>3250</v>
      </c>
      <c r="S1040">
        <v>38.130000000000003</v>
      </c>
      <c r="T1040">
        <v>4.2</v>
      </c>
      <c r="U1040">
        <v>4.5</v>
      </c>
      <c r="V1040" t="s">
        <v>38</v>
      </c>
    </row>
    <row r="1041" spans="1:22" x14ac:dyDescent="0.35">
      <c r="A1041" s="1">
        <v>45532</v>
      </c>
      <c r="B1041" t="s">
        <v>39</v>
      </c>
      <c r="C1041" s="2">
        <v>0.67427083333333337</v>
      </c>
      <c r="D1041" t="s">
        <v>2317</v>
      </c>
      <c r="E1041" t="s">
        <v>93</v>
      </c>
      <c r="F1041" t="s">
        <v>2318</v>
      </c>
      <c r="G1041" t="s">
        <v>43</v>
      </c>
      <c r="H1041" t="s">
        <v>148</v>
      </c>
      <c r="I1041" t="s">
        <v>153</v>
      </c>
      <c r="J1041">
        <v>8.1</v>
      </c>
      <c r="K1041" t="s">
        <v>29</v>
      </c>
      <c r="L1041" t="s">
        <v>29</v>
      </c>
      <c r="M1041" t="s">
        <v>29</v>
      </c>
      <c r="N1041">
        <v>1</v>
      </c>
      <c r="O1041" t="s">
        <v>169</v>
      </c>
      <c r="P1041" t="s">
        <v>29</v>
      </c>
      <c r="Q1041" t="s">
        <v>29</v>
      </c>
      <c r="R1041" t="s">
        <v>29</v>
      </c>
      <c r="S1041" t="s">
        <v>29</v>
      </c>
      <c r="T1041" t="s">
        <v>29</v>
      </c>
      <c r="U1041" t="s">
        <v>29</v>
      </c>
      <c r="V1041" t="s">
        <v>29</v>
      </c>
    </row>
    <row r="1042" spans="1:22" x14ac:dyDescent="0.35">
      <c r="A1042" s="1">
        <v>45453</v>
      </c>
      <c r="B1042" t="s">
        <v>64</v>
      </c>
      <c r="C1042" s="2">
        <v>0.73646990740740736</v>
      </c>
      <c r="D1042" t="s">
        <v>2319</v>
      </c>
      <c r="E1042" t="s">
        <v>24</v>
      </c>
      <c r="F1042" t="s">
        <v>2320</v>
      </c>
      <c r="G1042" t="s">
        <v>146</v>
      </c>
      <c r="H1042" t="s">
        <v>531</v>
      </c>
      <c r="I1042" t="s">
        <v>412</v>
      </c>
      <c r="J1042" t="s">
        <v>29</v>
      </c>
      <c r="K1042" t="s">
        <v>29</v>
      </c>
      <c r="L1042" t="s">
        <v>29</v>
      </c>
      <c r="M1042" t="s">
        <v>29</v>
      </c>
      <c r="N1042" t="s">
        <v>29</v>
      </c>
      <c r="O1042" t="s">
        <v>29</v>
      </c>
      <c r="P1042" t="s">
        <v>29</v>
      </c>
      <c r="Q1042" t="s">
        <v>29</v>
      </c>
      <c r="R1042" t="s">
        <v>29</v>
      </c>
      <c r="S1042" t="s">
        <v>29</v>
      </c>
      <c r="T1042" t="s">
        <v>29</v>
      </c>
      <c r="U1042" t="s">
        <v>29</v>
      </c>
      <c r="V1042" t="s">
        <v>29</v>
      </c>
    </row>
    <row r="1043" spans="1:22" x14ac:dyDescent="0.35">
      <c r="A1043" s="1">
        <v>45565</v>
      </c>
      <c r="B1043" t="s">
        <v>53</v>
      </c>
      <c r="C1043" s="2">
        <v>0.39482638888888888</v>
      </c>
      <c r="D1043" t="s">
        <v>2321</v>
      </c>
      <c r="E1043" t="s">
        <v>93</v>
      </c>
      <c r="F1043" t="s">
        <v>2322</v>
      </c>
      <c r="G1043" t="s">
        <v>56</v>
      </c>
      <c r="H1043" t="s">
        <v>350</v>
      </c>
      <c r="I1043" t="s">
        <v>202</v>
      </c>
      <c r="J1043">
        <v>5</v>
      </c>
      <c r="K1043" t="s">
        <v>29</v>
      </c>
      <c r="L1043" t="s">
        <v>29</v>
      </c>
      <c r="M1043" t="s">
        <v>29</v>
      </c>
      <c r="N1043">
        <v>1</v>
      </c>
      <c r="O1043" t="s">
        <v>97</v>
      </c>
      <c r="P1043" t="s">
        <v>29</v>
      </c>
      <c r="Q1043" t="s">
        <v>29</v>
      </c>
      <c r="R1043" t="s">
        <v>29</v>
      </c>
      <c r="S1043" t="s">
        <v>29</v>
      </c>
      <c r="T1043" t="s">
        <v>29</v>
      </c>
      <c r="U1043" t="s">
        <v>29</v>
      </c>
      <c r="V1043" t="s">
        <v>29</v>
      </c>
    </row>
    <row r="1044" spans="1:22" x14ac:dyDescent="0.35">
      <c r="A1044" s="1">
        <v>45435</v>
      </c>
      <c r="B1044" t="s">
        <v>122</v>
      </c>
      <c r="C1044" s="2">
        <v>0.87924768518518515</v>
      </c>
      <c r="D1044" t="s">
        <v>2323</v>
      </c>
      <c r="E1044" t="s">
        <v>41</v>
      </c>
      <c r="F1044" t="s">
        <v>2324</v>
      </c>
      <c r="G1044" t="s">
        <v>26</v>
      </c>
      <c r="H1044" t="s">
        <v>51</v>
      </c>
      <c r="I1044" t="s">
        <v>147</v>
      </c>
      <c r="J1044">
        <v>14.1</v>
      </c>
      <c r="K1044">
        <v>18.2</v>
      </c>
      <c r="L1044" t="s">
        <v>29</v>
      </c>
      <c r="M1044" t="s">
        <v>29</v>
      </c>
      <c r="N1044" t="s">
        <v>29</v>
      </c>
      <c r="O1044" t="s">
        <v>29</v>
      </c>
      <c r="P1044" t="s">
        <v>29</v>
      </c>
      <c r="Q1044" t="s">
        <v>29</v>
      </c>
      <c r="R1044">
        <v>493</v>
      </c>
      <c r="S1044">
        <v>24.71</v>
      </c>
      <c r="T1044">
        <v>3.2</v>
      </c>
      <c r="U1044">
        <v>4.5</v>
      </c>
      <c r="V1044" t="s">
        <v>107</v>
      </c>
    </row>
    <row r="1045" spans="1:22" x14ac:dyDescent="0.35">
      <c r="A1045" s="1">
        <v>45326</v>
      </c>
      <c r="B1045" t="s">
        <v>59</v>
      </c>
      <c r="C1045" s="2">
        <v>0.66276620370370365</v>
      </c>
      <c r="D1045" t="s">
        <v>2325</v>
      </c>
      <c r="E1045" t="s">
        <v>41</v>
      </c>
      <c r="F1045" t="s">
        <v>2326</v>
      </c>
      <c r="G1045" t="s">
        <v>146</v>
      </c>
      <c r="H1045" t="s">
        <v>935</v>
      </c>
      <c r="I1045" t="s">
        <v>36</v>
      </c>
      <c r="J1045">
        <v>9.8000000000000007</v>
      </c>
      <c r="K1045">
        <v>44.4</v>
      </c>
      <c r="L1045" t="s">
        <v>29</v>
      </c>
      <c r="M1045" t="s">
        <v>29</v>
      </c>
      <c r="N1045" t="s">
        <v>29</v>
      </c>
      <c r="O1045" t="s">
        <v>29</v>
      </c>
      <c r="P1045" t="s">
        <v>29</v>
      </c>
      <c r="Q1045" t="s">
        <v>29</v>
      </c>
      <c r="R1045">
        <v>417</v>
      </c>
      <c r="S1045">
        <v>49.95</v>
      </c>
      <c r="T1045">
        <v>4.2</v>
      </c>
      <c r="U1045">
        <v>4.0999999999999996</v>
      </c>
      <c r="V1045" t="s">
        <v>149</v>
      </c>
    </row>
    <row r="1046" spans="1:22" x14ac:dyDescent="0.35">
      <c r="A1046" s="1">
        <v>45476</v>
      </c>
      <c r="B1046" t="s">
        <v>108</v>
      </c>
      <c r="C1046" s="2">
        <v>0.35146990740740741</v>
      </c>
      <c r="D1046" t="s">
        <v>2327</v>
      </c>
      <c r="E1046" t="s">
        <v>41</v>
      </c>
      <c r="F1046" t="s">
        <v>2328</v>
      </c>
      <c r="G1046" t="s">
        <v>34</v>
      </c>
      <c r="H1046" t="s">
        <v>312</v>
      </c>
      <c r="I1046" t="s">
        <v>220</v>
      </c>
      <c r="J1046">
        <v>13.3</v>
      </c>
      <c r="K1046">
        <v>43.9</v>
      </c>
      <c r="L1046" t="s">
        <v>29</v>
      </c>
      <c r="M1046" t="s">
        <v>29</v>
      </c>
      <c r="N1046" t="s">
        <v>29</v>
      </c>
      <c r="O1046" t="s">
        <v>29</v>
      </c>
      <c r="P1046" t="s">
        <v>29</v>
      </c>
      <c r="Q1046" t="s">
        <v>29</v>
      </c>
      <c r="R1046">
        <v>105</v>
      </c>
      <c r="S1046">
        <v>38.72</v>
      </c>
      <c r="T1046">
        <v>4.2</v>
      </c>
      <c r="U1046">
        <v>4.9000000000000004</v>
      </c>
      <c r="V1046" t="s">
        <v>149</v>
      </c>
    </row>
    <row r="1047" spans="1:22" x14ac:dyDescent="0.35">
      <c r="A1047" s="1">
        <v>45307</v>
      </c>
      <c r="B1047" t="s">
        <v>150</v>
      </c>
      <c r="C1047" s="2">
        <v>0.43887731481481479</v>
      </c>
      <c r="D1047" t="s">
        <v>2329</v>
      </c>
      <c r="E1047" t="s">
        <v>41</v>
      </c>
      <c r="F1047" t="s">
        <v>2330</v>
      </c>
      <c r="G1047" t="s">
        <v>50</v>
      </c>
      <c r="H1047" t="s">
        <v>486</v>
      </c>
      <c r="I1047" t="s">
        <v>493</v>
      </c>
      <c r="J1047">
        <v>5.7</v>
      </c>
      <c r="K1047">
        <v>28.4</v>
      </c>
      <c r="L1047" t="s">
        <v>29</v>
      </c>
      <c r="M1047" t="s">
        <v>29</v>
      </c>
      <c r="N1047" t="s">
        <v>29</v>
      </c>
      <c r="O1047" t="s">
        <v>29</v>
      </c>
      <c r="P1047" t="s">
        <v>29</v>
      </c>
      <c r="Q1047" t="s">
        <v>29</v>
      </c>
      <c r="R1047">
        <v>941</v>
      </c>
      <c r="S1047">
        <v>45.71</v>
      </c>
      <c r="T1047">
        <v>3.4</v>
      </c>
      <c r="U1047">
        <v>4.2</v>
      </c>
      <c r="V1047" t="s">
        <v>84</v>
      </c>
    </row>
    <row r="1048" spans="1:22" x14ac:dyDescent="0.35">
      <c r="A1048" s="1">
        <v>45494</v>
      </c>
      <c r="B1048" t="s">
        <v>108</v>
      </c>
      <c r="C1048" s="2">
        <v>0.34425925925925926</v>
      </c>
      <c r="D1048" t="s">
        <v>2331</v>
      </c>
      <c r="E1048" t="s">
        <v>24</v>
      </c>
      <c r="F1048" t="s">
        <v>2332</v>
      </c>
      <c r="G1048" t="s">
        <v>34</v>
      </c>
      <c r="H1048" t="s">
        <v>147</v>
      </c>
      <c r="I1048" t="s">
        <v>35</v>
      </c>
      <c r="J1048" t="s">
        <v>29</v>
      </c>
      <c r="K1048" t="s">
        <v>29</v>
      </c>
      <c r="L1048" t="s">
        <v>29</v>
      </c>
      <c r="M1048" t="s">
        <v>29</v>
      </c>
      <c r="N1048" t="s">
        <v>29</v>
      </c>
      <c r="O1048" t="s">
        <v>29</v>
      </c>
      <c r="P1048" t="s">
        <v>29</v>
      </c>
      <c r="Q1048" t="s">
        <v>29</v>
      </c>
      <c r="R1048" t="s">
        <v>29</v>
      </c>
      <c r="S1048" t="s">
        <v>29</v>
      </c>
      <c r="T1048" t="s">
        <v>29</v>
      </c>
      <c r="U1048" t="s">
        <v>29</v>
      </c>
      <c r="V1048" t="s">
        <v>29</v>
      </c>
    </row>
    <row r="1049" spans="1:22" x14ac:dyDescent="0.35">
      <c r="A1049" s="1">
        <v>45341</v>
      </c>
      <c r="B1049" t="s">
        <v>59</v>
      </c>
      <c r="C1049" s="2">
        <v>0.79481481481481486</v>
      </c>
      <c r="D1049" t="s">
        <v>2333</v>
      </c>
      <c r="E1049" t="s">
        <v>41</v>
      </c>
      <c r="F1049" t="s">
        <v>2334</v>
      </c>
      <c r="G1049" t="s">
        <v>34</v>
      </c>
      <c r="H1049" t="s">
        <v>892</v>
      </c>
      <c r="I1049" t="s">
        <v>305</v>
      </c>
      <c r="J1049">
        <v>2.1</v>
      </c>
      <c r="K1049">
        <v>18.600000000000001</v>
      </c>
      <c r="L1049" t="s">
        <v>29</v>
      </c>
      <c r="M1049" t="s">
        <v>29</v>
      </c>
      <c r="N1049" t="s">
        <v>29</v>
      </c>
      <c r="O1049" t="s">
        <v>29</v>
      </c>
      <c r="P1049" t="s">
        <v>29</v>
      </c>
      <c r="Q1049" t="s">
        <v>29</v>
      </c>
      <c r="R1049">
        <v>880</v>
      </c>
      <c r="S1049">
        <v>23.26</v>
      </c>
      <c r="T1049">
        <v>4.0999999999999996</v>
      </c>
      <c r="U1049">
        <v>4.2</v>
      </c>
      <c r="V1049" t="s">
        <v>38</v>
      </c>
    </row>
    <row r="1050" spans="1:22" x14ac:dyDescent="0.35">
      <c r="A1050" s="1">
        <v>45399</v>
      </c>
      <c r="B1050" t="s">
        <v>154</v>
      </c>
      <c r="C1050" s="2">
        <v>2.0138888888888888E-3</v>
      </c>
      <c r="D1050" t="s">
        <v>2335</v>
      </c>
      <c r="E1050" t="s">
        <v>41</v>
      </c>
      <c r="F1050" t="s">
        <v>2336</v>
      </c>
      <c r="G1050" t="s">
        <v>67</v>
      </c>
      <c r="H1050" t="s">
        <v>45</v>
      </c>
      <c r="I1050" t="s">
        <v>267</v>
      </c>
      <c r="J1050">
        <v>8.6</v>
      </c>
      <c r="K1050">
        <v>39.1</v>
      </c>
      <c r="L1050" t="s">
        <v>29</v>
      </c>
      <c r="M1050" t="s">
        <v>29</v>
      </c>
      <c r="N1050" t="s">
        <v>29</v>
      </c>
      <c r="O1050" t="s">
        <v>29</v>
      </c>
      <c r="P1050" t="s">
        <v>29</v>
      </c>
      <c r="Q1050" t="s">
        <v>29</v>
      </c>
      <c r="R1050">
        <v>678</v>
      </c>
      <c r="S1050">
        <v>46.99</v>
      </c>
      <c r="T1050">
        <v>4.3</v>
      </c>
      <c r="U1050">
        <v>3.8</v>
      </c>
      <c r="V1050" t="s">
        <v>107</v>
      </c>
    </row>
    <row r="1051" spans="1:22" x14ac:dyDescent="0.35">
      <c r="A1051" s="1">
        <v>45553</v>
      </c>
      <c r="B1051" t="s">
        <v>53</v>
      </c>
      <c r="C1051" s="2">
        <v>0.40163194444444444</v>
      </c>
      <c r="D1051" t="s">
        <v>2337</v>
      </c>
      <c r="E1051" t="s">
        <v>117</v>
      </c>
      <c r="F1051" t="s">
        <v>2338</v>
      </c>
      <c r="G1051" t="s">
        <v>50</v>
      </c>
      <c r="H1051" t="s">
        <v>350</v>
      </c>
      <c r="I1051" t="s">
        <v>374</v>
      </c>
      <c r="J1051">
        <v>19.2</v>
      </c>
      <c r="K1051" t="s">
        <v>29</v>
      </c>
      <c r="L1051">
        <v>1</v>
      </c>
      <c r="M1051" t="s">
        <v>490</v>
      </c>
      <c r="N1051" t="s">
        <v>29</v>
      </c>
      <c r="O1051" t="s">
        <v>29</v>
      </c>
      <c r="P1051" t="s">
        <v>29</v>
      </c>
      <c r="Q1051" t="s">
        <v>29</v>
      </c>
      <c r="R1051" t="s">
        <v>29</v>
      </c>
      <c r="S1051" t="s">
        <v>29</v>
      </c>
      <c r="T1051" t="s">
        <v>29</v>
      </c>
      <c r="U1051" t="s">
        <v>29</v>
      </c>
      <c r="V1051" t="s">
        <v>29</v>
      </c>
    </row>
    <row r="1052" spans="1:22" x14ac:dyDescent="0.35">
      <c r="A1052" s="1">
        <v>45301</v>
      </c>
      <c r="B1052" t="s">
        <v>150</v>
      </c>
      <c r="C1052" s="2">
        <v>0.38843749999999999</v>
      </c>
      <c r="D1052" t="s">
        <v>2339</v>
      </c>
      <c r="E1052" t="s">
        <v>24</v>
      </c>
      <c r="F1052" t="s">
        <v>2340</v>
      </c>
      <c r="G1052" t="s">
        <v>67</v>
      </c>
      <c r="H1052" t="s">
        <v>808</v>
      </c>
      <c r="I1052" t="s">
        <v>822</v>
      </c>
      <c r="J1052" t="s">
        <v>29</v>
      </c>
      <c r="K1052" t="s">
        <v>29</v>
      </c>
      <c r="L1052" t="s">
        <v>29</v>
      </c>
      <c r="M1052" t="s">
        <v>29</v>
      </c>
      <c r="N1052" t="s">
        <v>29</v>
      </c>
      <c r="O1052" t="s">
        <v>29</v>
      </c>
      <c r="P1052" t="s">
        <v>29</v>
      </c>
      <c r="Q1052" t="s">
        <v>29</v>
      </c>
      <c r="R1052" t="s">
        <v>29</v>
      </c>
      <c r="S1052" t="s">
        <v>29</v>
      </c>
      <c r="T1052" t="s">
        <v>29</v>
      </c>
      <c r="U1052" t="s">
        <v>29</v>
      </c>
      <c r="V1052" t="s">
        <v>29</v>
      </c>
    </row>
    <row r="1053" spans="1:22" x14ac:dyDescent="0.35">
      <c r="A1053" s="1">
        <v>45463</v>
      </c>
      <c r="B1053" t="s">
        <v>64</v>
      </c>
      <c r="C1053" s="2">
        <v>0.83456018518518515</v>
      </c>
      <c r="D1053" t="s">
        <v>2341</v>
      </c>
      <c r="E1053" t="s">
        <v>93</v>
      </c>
      <c r="F1053" t="s">
        <v>2342</v>
      </c>
      <c r="G1053" t="s">
        <v>50</v>
      </c>
      <c r="H1053" t="s">
        <v>296</v>
      </c>
      <c r="I1053" t="s">
        <v>797</v>
      </c>
      <c r="J1053">
        <v>7.7</v>
      </c>
      <c r="K1053" t="s">
        <v>29</v>
      </c>
      <c r="L1053" t="s">
        <v>29</v>
      </c>
      <c r="M1053" t="s">
        <v>29</v>
      </c>
      <c r="N1053">
        <v>1</v>
      </c>
      <c r="O1053" t="s">
        <v>115</v>
      </c>
      <c r="P1053" t="s">
        <v>29</v>
      </c>
      <c r="Q1053" t="s">
        <v>29</v>
      </c>
      <c r="R1053" t="s">
        <v>29</v>
      </c>
      <c r="S1053" t="s">
        <v>29</v>
      </c>
      <c r="T1053" t="s">
        <v>29</v>
      </c>
      <c r="U1053" t="s">
        <v>29</v>
      </c>
      <c r="V1053" t="s">
        <v>29</v>
      </c>
    </row>
    <row r="1054" spans="1:22" x14ac:dyDescent="0.35">
      <c r="A1054" s="1">
        <v>45416</v>
      </c>
      <c r="B1054" t="s">
        <v>122</v>
      </c>
      <c r="C1054" s="2">
        <v>0.29520833333333335</v>
      </c>
      <c r="D1054" t="s">
        <v>2343</v>
      </c>
      <c r="E1054" t="s">
        <v>41</v>
      </c>
      <c r="F1054" t="s">
        <v>2344</v>
      </c>
      <c r="G1054" t="s">
        <v>67</v>
      </c>
      <c r="H1054" t="s">
        <v>202</v>
      </c>
      <c r="I1054" t="s">
        <v>653</v>
      </c>
      <c r="J1054">
        <v>9.5</v>
      </c>
      <c r="K1054">
        <v>26.8</v>
      </c>
      <c r="L1054" t="s">
        <v>29</v>
      </c>
      <c r="M1054" t="s">
        <v>29</v>
      </c>
      <c r="N1054" t="s">
        <v>29</v>
      </c>
      <c r="O1054" t="s">
        <v>29</v>
      </c>
      <c r="P1054" t="s">
        <v>29</v>
      </c>
      <c r="Q1054" t="s">
        <v>29</v>
      </c>
      <c r="R1054">
        <v>638</v>
      </c>
      <c r="S1054">
        <v>27.47</v>
      </c>
      <c r="T1054">
        <v>4.4000000000000004</v>
      </c>
      <c r="U1054">
        <v>3.6</v>
      </c>
      <c r="V1054" t="s">
        <v>38</v>
      </c>
    </row>
    <row r="1055" spans="1:22" x14ac:dyDescent="0.35">
      <c r="A1055" s="1">
        <v>45306</v>
      </c>
      <c r="B1055" t="s">
        <v>150</v>
      </c>
      <c r="C1055" s="2">
        <v>0.62532407407407409</v>
      </c>
      <c r="D1055" t="s">
        <v>2345</v>
      </c>
      <c r="E1055" t="s">
        <v>41</v>
      </c>
      <c r="F1055" t="s">
        <v>2346</v>
      </c>
      <c r="G1055" t="s">
        <v>50</v>
      </c>
      <c r="H1055" t="s">
        <v>103</v>
      </c>
      <c r="I1055" t="s">
        <v>148</v>
      </c>
      <c r="J1055">
        <v>7.4</v>
      </c>
      <c r="K1055">
        <v>30.3</v>
      </c>
      <c r="L1055" t="s">
        <v>29</v>
      </c>
      <c r="M1055" t="s">
        <v>29</v>
      </c>
      <c r="N1055" t="s">
        <v>29</v>
      </c>
      <c r="O1055" t="s">
        <v>29</v>
      </c>
      <c r="P1055" t="s">
        <v>29</v>
      </c>
      <c r="Q1055" t="s">
        <v>29</v>
      </c>
      <c r="R1055">
        <v>1280</v>
      </c>
      <c r="S1055">
        <v>44.62</v>
      </c>
      <c r="T1055">
        <v>3</v>
      </c>
      <c r="U1055">
        <v>4.3</v>
      </c>
      <c r="V1055" t="s">
        <v>38</v>
      </c>
    </row>
    <row r="1056" spans="1:22" x14ac:dyDescent="0.35">
      <c r="A1056" s="1">
        <v>45536</v>
      </c>
      <c r="B1056" t="s">
        <v>53</v>
      </c>
      <c r="C1056" s="2">
        <v>0.43194444444444446</v>
      </c>
      <c r="D1056" t="s">
        <v>2347</v>
      </c>
      <c r="E1056" t="s">
        <v>117</v>
      </c>
      <c r="F1056" t="s">
        <v>2348</v>
      </c>
      <c r="G1056" t="s">
        <v>67</v>
      </c>
      <c r="H1056" t="s">
        <v>290</v>
      </c>
      <c r="I1056" t="s">
        <v>425</v>
      </c>
      <c r="J1056">
        <v>10.8</v>
      </c>
      <c r="K1056" t="s">
        <v>29</v>
      </c>
      <c r="L1056">
        <v>1</v>
      </c>
      <c r="M1056" t="s">
        <v>378</v>
      </c>
      <c r="N1056" t="s">
        <v>29</v>
      </c>
      <c r="O1056" t="s">
        <v>29</v>
      </c>
      <c r="P1056" t="s">
        <v>29</v>
      </c>
      <c r="Q1056" t="s">
        <v>29</v>
      </c>
      <c r="R1056" t="s">
        <v>29</v>
      </c>
      <c r="S1056" t="s">
        <v>29</v>
      </c>
      <c r="T1056" t="s">
        <v>29</v>
      </c>
      <c r="U1056" t="s">
        <v>29</v>
      </c>
      <c r="V1056" t="s">
        <v>29</v>
      </c>
    </row>
    <row r="1057" spans="1:22" x14ac:dyDescent="0.35">
      <c r="A1057" s="1">
        <v>45360</v>
      </c>
      <c r="B1057" t="s">
        <v>22</v>
      </c>
      <c r="C1057" s="2">
        <v>0.88695601851851846</v>
      </c>
      <c r="D1057" t="s">
        <v>2349</v>
      </c>
      <c r="E1057" t="s">
        <v>93</v>
      </c>
      <c r="F1057" t="s">
        <v>2350</v>
      </c>
      <c r="G1057" t="s">
        <v>146</v>
      </c>
      <c r="H1057" t="s">
        <v>103</v>
      </c>
      <c r="I1057" t="s">
        <v>263</v>
      </c>
      <c r="J1057">
        <v>9.5</v>
      </c>
      <c r="K1057" t="s">
        <v>29</v>
      </c>
      <c r="L1057" t="s">
        <v>29</v>
      </c>
      <c r="M1057" t="s">
        <v>29</v>
      </c>
      <c r="N1057">
        <v>1</v>
      </c>
      <c r="O1057" t="s">
        <v>337</v>
      </c>
      <c r="P1057" t="s">
        <v>29</v>
      </c>
      <c r="Q1057" t="s">
        <v>29</v>
      </c>
      <c r="R1057" t="s">
        <v>29</v>
      </c>
      <c r="S1057" t="s">
        <v>29</v>
      </c>
      <c r="T1057" t="s">
        <v>29</v>
      </c>
      <c r="U1057" t="s">
        <v>29</v>
      </c>
      <c r="V1057" t="s">
        <v>29</v>
      </c>
    </row>
    <row r="1058" spans="1:22" x14ac:dyDescent="0.35">
      <c r="A1058" s="1">
        <v>45599</v>
      </c>
      <c r="B1058" t="s">
        <v>30</v>
      </c>
      <c r="C1058" s="2">
        <v>0.18461805555555555</v>
      </c>
      <c r="D1058" t="s">
        <v>2351</v>
      </c>
      <c r="E1058" t="s">
        <v>41</v>
      </c>
      <c r="F1058" t="s">
        <v>2352</v>
      </c>
      <c r="G1058" t="s">
        <v>56</v>
      </c>
      <c r="H1058" t="s">
        <v>102</v>
      </c>
      <c r="I1058" t="s">
        <v>180</v>
      </c>
      <c r="J1058">
        <v>11.7</v>
      </c>
      <c r="K1058">
        <v>28.8</v>
      </c>
      <c r="L1058" t="s">
        <v>29</v>
      </c>
      <c r="M1058" t="s">
        <v>29</v>
      </c>
      <c r="N1058" t="s">
        <v>29</v>
      </c>
      <c r="O1058" t="s">
        <v>29</v>
      </c>
      <c r="P1058" t="s">
        <v>29</v>
      </c>
      <c r="Q1058" t="s">
        <v>29</v>
      </c>
      <c r="R1058">
        <v>234</v>
      </c>
      <c r="S1058">
        <v>23.17</v>
      </c>
      <c r="T1058">
        <v>4.9000000000000004</v>
      </c>
      <c r="U1058">
        <v>3.8</v>
      </c>
      <c r="V1058" t="s">
        <v>38</v>
      </c>
    </row>
    <row r="1059" spans="1:22" x14ac:dyDescent="0.35">
      <c r="A1059" s="1">
        <v>45362</v>
      </c>
      <c r="B1059" t="s">
        <v>22</v>
      </c>
      <c r="C1059" s="2">
        <v>0.51697916666666666</v>
      </c>
      <c r="D1059" t="s">
        <v>2353</v>
      </c>
      <c r="E1059" t="s">
        <v>41</v>
      </c>
      <c r="F1059" t="s">
        <v>2354</v>
      </c>
      <c r="G1059" t="s">
        <v>56</v>
      </c>
      <c r="H1059" t="s">
        <v>323</v>
      </c>
      <c r="I1059" t="s">
        <v>349</v>
      </c>
      <c r="J1059">
        <v>11.8</v>
      </c>
      <c r="K1059">
        <v>34.700000000000003</v>
      </c>
      <c r="L1059" t="s">
        <v>29</v>
      </c>
      <c r="M1059" t="s">
        <v>29</v>
      </c>
      <c r="N1059" t="s">
        <v>29</v>
      </c>
      <c r="O1059" t="s">
        <v>29</v>
      </c>
      <c r="P1059" t="s">
        <v>29</v>
      </c>
      <c r="Q1059" t="s">
        <v>29</v>
      </c>
      <c r="R1059">
        <v>820</v>
      </c>
      <c r="S1059">
        <v>48.11</v>
      </c>
      <c r="T1059">
        <v>4.8</v>
      </c>
      <c r="U1059">
        <v>4.5999999999999996</v>
      </c>
      <c r="V1059" t="s">
        <v>107</v>
      </c>
    </row>
    <row r="1060" spans="1:22" x14ac:dyDescent="0.35">
      <c r="A1060" s="1">
        <v>45503</v>
      </c>
      <c r="B1060" t="s">
        <v>108</v>
      </c>
      <c r="C1060" s="2">
        <v>0.9544907407407407</v>
      </c>
      <c r="D1060" t="s">
        <v>2355</v>
      </c>
      <c r="E1060" t="s">
        <v>24</v>
      </c>
      <c r="F1060" t="s">
        <v>2356</v>
      </c>
      <c r="G1060" t="s">
        <v>34</v>
      </c>
      <c r="H1060" t="s">
        <v>157</v>
      </c>
      <c r="I1060" t="s">
        <v>164</v>
      </c>
      <c r="J1060" t="s">
        <v>29</v>
      </c>
      <c r="K1060" t="s">
        <v>29</v>
      </c>
      <c r="L1060" t="s">
        <v>29</v>
      </c>
      <c r="M1060" t="s">
        <v>29</v>
      </c>
      <c r="N1060" t="s">
        <v>29</v>
      </c>
      <c r="O1060" t="s">
        <v>29</v>
      </c>
      <c r="P1060" t="s">
        <v>29</v>
      </c>
      <c r="Q1060" t="s">
        <v>29</v>
      </c>
      <c r="R1060" t="s">
        <v>29</v>
      </c>
      <c r="S1060" t="s">
        <v>29</v>
      </c>
      <c r="T1060" t="s">
        <v>29</v>
      </c>
      <c r="U1060" t="s">
        <v>29</v>
      </c>
      <c r="V1060" t="s">
        <v>29</v>
      </c>
    </row>
    <row r="1061" spans="1:22" x14ac:dyDescent="0.35">
      <c r="A1061" s="1">
        <v>45632</v>
      </c>
      <c r="B1061" t="s">
        <v>78</v>
      </c>
      <c r="C1061" s="2">
        <v>0.50736111111111115</v>
      </c>
      <c r="D1061" t="s">
        <v>2357</v>
      </c>
      <c r="E1061" t="s">
        <v>24</v>
      </c>
      <c r="F1061" t="s">
        <v>2358</v>
      </c>
      <c r="G1061" t="s">
        <v>56</v>
      </c>
      <c r="H1061" t="s">
        <v>962</v>
      </c>
      <c r="I1061" t="s">
        <v>172</v>
      </c>
      <c r="J1061" t="s">
        <v>29</v>
      </c>
      <c r="K1061" t="s">
        <v>29</v>
      </c>
      <c r="L1061" t="s">
        <v>29</v>
      </c>
      <c r="M1061" t="s">
        <v>29</v>
      </c>
      <c r="N1061" t="s">
        <v>29</v>
      </c>
      <c r="O1061" t="s">
        <v>29</v>
      </c>
      <c r="P1061" t="s">
        <v>29</v>
      </c>
      <c r="Q1061" t="s">
        <v>29</v>
      </c>
      <c r="R1061" t="s">
        <v>29</v>
      </c>
      <c r="S1061" t="s">
        <v>29</v>
      </c>
      <c r="T1061" t="s">
        <v>29</v>
      </c>
      <c r="U1061" t="s">
        <v>29</v>
      </c>
      <c r="V1061" t="s">
        <v>29</v>
      </c>
    </row>
    <row r="1062" spans="1:22" x14ac:dyDescent="0.35">
      <c r="A1062" s="1">
        <v>45369</v>
      </c>
      <c r="B1062" t="s">
        <v>22</v>
      </c>
      <c r="C1062" s="2">
        <v>0.45078703703703704</v>
      </c>
      <c r="D1062" t="s">
        <v>2359</v>
      </c>
      <c r="E1062" t="s">
        <v>41</v>
      </c>
      <c r="F1062" t="s">
        <v>2360</v>
      </c>
      <c r="G1062" t="s">
        <v>34</v>
      </c>
      <c r="H1062" t="s">
        <v>293</v>
      </c>
      <c r="I1062" t="s">
        <v>221</v>
      </c>
      <c r="J1062">
        <v>7.9</v>
      </c>
      <c r="K1062">
        <v>36.9</v>
      </c>
      <c r="L1062" t="s">
        <v>29</v>
      </c>
      <c r="M1062" t="s">
        <v>29</v>
      </c>
      <c r="N1062" t="s">
        <v>29</v>
      </c>
      <c r="O1062" t="s">
        <v>29</v>
      </c>
      <c r="P1062" t="s">
        <v>29</v>
      </c>
      <c r="Q1062" t="s">
        <v>29</v>
      </c>
      <c r="R1062">
        <v>237</v>
      </c>
      <c r="S1062">
        <v>32.96</v>
      </c>
      <c r="T1062">
        <v>3.9</v>
      </c>
      <c r="U1062">
        <v>4.3</v>
      </c>
      <c r="V1062" t="s">
        <v>38</v>
      </c>
    </row>
    <row r="1063" spans="1:22" x14ac:dyDescent="0.35">
      <c r="A1063" s="1">
        <v>45465</v>
      </c>
      <c r="B1063" t="s">
        <v>64</v>
      </c>
      <c r="C1063" s="2">
        <v>0.71043981481481477</v>
      </c>
      <c r="D1063" t="s">
        <v>2361</v>
      </c>
      <c r="E1063" t="s">
        <v>41</v>
      </c>
      <c r="F1063" t="s">
        <v>2362</v>
      </c>
      <c r="G1063" t="s">
        <v>43</v>
      </c>
      <c r="H1063" t="s">
        <v>148</v>
      </c>
      <c r="I1063" t="s">
        <v>82</v>
      </c>
      <c r="J1063">
        <v>9.1</v>
      </c>
      <c r="K1063">
        <v>40.5</v>
      </c>
      <c r="L1063" t="s">
        <v>29</v>
      </c>
      <c r="M1063" t="s">
        <v>29</v>
      </c>
      <c r="N1063" t="s">
        <v>29</v>
      </c>
      <c r="O1063" t="s">
        <v>29</v>
      </c>
      <c r="P1063" t="s">
        <v>29</v>
      </c>
      <c r="Q1063" t="s">
        <v>29</v>
      </c>
      <c r="R1063">
        <v>169</v>
      </c>
      <c r="S1063">
        <v>41.18</v>
      </c>
      <c r="T1063">
        <v>3.9</v>
      </c>
      <c r="U1063">
        <v>4.3</v>
      </c>
      <c r="V1063" t="s">
        <v>38</v>
      </c>
    </row>
    <row r="1064" spans="1:22" x14ac:dyDescent="0.35">
      <c r="A1064" s="1">
        <v>45488</v>
      </c>
      <c r="B1064" t="s">
        <v>108</v>
      </c>
      <c r="C1064" s="2">
        <v>0.87581018518518516</v>
      </c>
      <c r="D1064" t="s">
        <v>2363</v>
      </c>
      <c r="E1064" t="s">
        <v>117</v>
      </c>
      <c r="F1064" t="s">
        <v>2364</v>
      </c>
      <c r="G1064" t="s">
        <v>43</v>
      </c>
      <c r="H1064" t="s">
        <v>102</v>
      </c>
      <c r="I1064" t="s">
        <v>106</v>
      </c>
      <c r="J1064">
        <v>19.8</v>
      </c>
      <c r="K1064" t="s">
        <v>29</v>
      </c>
      <c r="L1064">
        <v>1</v>
      </c>
      <c r="M1064" t="s">
        <v>490</v>
      </c>
      <c r="N1064" t="s">
        <v>29</v>
      </c>
      <c r="O1064" t="s">
        <v>29</v>
      </c>
      <c r="P1064" t="s">
        <v>29</v>
      </c>
      <c r="Q1064" t="s">
        <v>29</v>
      </c>
      <c r="R1064" t="s">
        <v>29</v>
      </c>
      <c r="S1064" t="s">
        <v>29</v>
      </c>
      <c r="T1064" t="s">
        <v>29</v>
      </c>
      <c r="U1064" t="s">
        <v>29</v>
      </c>
      <c r="V1064" t="s">
        <v>29</v>
      </c>
    </row>
    <row r="1065" spans="1:22" x14ac:dyDescent="0.35">
      <c r="A1065" s="1">
        <v>45299</v>
      </c>
      <c r="B1065" t="s">
        <v>150</v>
      </c>
      <c r="C1065" s="2">
        <v>0.63325231481481481</v>
      </c>
      <c r="D1065" t="s">
        <v>2365</v>
      </c>
      <c r="E1065" t="s">
        <v>41</v>
      </c>
      <c r="F1065" t="s">
        <v>2366</v>
      </c>
      <c r="G1065" t="s">
        <v>43</v>
      </c>
      <c r="H1065" t="s">
        <v>881</v>
      </c>
      <c r="I1065" t="s">
        <v>157</v>
      </c>
      <c r="J1065">
        <v>10.4</v>
      </c>
      <c r="K1065">
        <v>35.299999999999997</v>
      </c>
      <c r="L1065" t="s">
        <v>29</v>
      </c>
      <c r="M1065" t="s">
        <v>29</v>
      </c>
      <c r="N1065" t="s">
        <v>29</v>
      </c>
      <c r="O1065" t="s">
        <v>29</v>
      </c>
      <c r="P1065" t="s">
        <v>29</v>
      </c>
      <c r="Q1065" t="s">
        <v>29</v>
      </c>
      <c r="R1065">
        <v>216</v>
      </c>
      <c r="S1065">
        <v>18.100000000000001</v>
      </c>
      <c r="T1065">
        <v>4.5999999999999996</v>
      </c>
      <c r="U1065">
        <v>4.5</v>
      </c>
      <c r="V1065" t="s">
        <v>38</v>
      </c>
    </row>
    <row r="1066" spans="1:22" x14ac:dyDescent="0.35">
      <c r="A1066" s="1">
        <v>45478</v>
      </c>
      <c r="B1066" t="s">
        <v>108</v>
      </c>
      <c r="C1066" s="2">
        <v>0.12530092592592593</v>
      </c>
      <c r="D1066" t="s">
        <v>2367</v>
      </c>
      <c r="E1066" t="s">
        <v>41</v>
      </c>
      <c r="F1066" t="s">
        <v>2368</v>
      </c>
      <c r="G1066" t="s">
        <v>43</v>
      </c>
      <c r="H1066" t="s">
        <v>1704</v>
      </c>
      <c r="I1066" t="s">
        <v>565</v>
      </c>
      <c r="J1066">
        <v>6.5</v>
      </c>
      <c r="K1066">
        <v>30.5</v>
      </c>
      <c r="L1066" t="s">
        <v>29</v>
      </c>
      <c r="M1066" t="s">
        <v>29</v>
      </c>
      <c r="N1066" t="s">
        <v>29</v>
      </c>
      <c r="O1066" t="s">
        <v>29</v>
      </c>
      <c r="P1066" t="s">
        <v>29</v>
      </c>
      <c r="Q1066" t="s">
        <v>29</v>
      </c>
      <c r="R1066">
        <v>484</v>
      </c>
      <c r="S1066">
        <v>3.35</v>
      </c>
      <c r="T1066">
        <v>4.3</v>
      </c>
      <c r="U1066">
        <v>4.5999999999999996</v>
      </c>
      <c r="V1066" t="s">
        <v>46</v>
      </c>
    </row>
    <row r="1067" spans="1:22" x14ac:dyDescent="0.35">
      <c r="A1067" s="1">
        <v>45594</v>
      </c>
      <c r="B1067" t="s">
        <v>47</v>
      </c>
      <c r="C1067" s="2">
        <v>0.45390046296296294</v>
      </c>
      <c r="D1067" t="s">
        <v>2369</v>
      </c>
      <c r="E1067" t="s">
        <v>117</v>
      </c>
      <c r="F1067" t="s">
        <v>2370</v>
      </c>
      <c r="G1067" t="s">
        <v>26</v>
      </c>
      <c r="H1067" t="s">
        <v>263</v>
      </c>
      <c r="I1067" t="s">
        <v>81</v>
      </c>
      <c r="J1067">
        <v>7.5</v>
      </c>
      <c r="K1067" t="s">
        <v>29</v>
      </c>
      <c r="L1067">
        <v>1</v>
      </c>
      <c r="M1067" t="s">
        <v>490</v>
      </c>
      <c r="N1067" t="s">
        <v>29</v>
      </c>
      <c r="O1067" t="s">
        <v>29</v>
      </c>
      <c r="P1067" t="s">
        <v>29</v>
      </c>
      <c r="Q1067" t="s">
        <v>29</v>
      </c>
      <c r="R1067" t="s">
        <v>29</v>
      </c>
      <c r="S1067" t="s">
        <v>29</v>
      </c>
      <c r="T1067" t="s">
        <v>29</v>
      </c>
      <c r="U1067" t="s">
        <v>29</v>
      </c>
      <c r="V1067" t="s">
        <v>29</v>
      </c>
    </row>
    <row r="1068" spans="1:22" x14ac:dyDescent="0.35">
      <c r="A1068" s="1">
        <v>45296</v>
      </c>
      <c r="B1068" t="s">
        <v>150</v>
      </c>
      <c r="C1068" s="2">
        <v>0.66988425925925921</v>
      </c>
      <c r="D1068" t="s">
        <v>2371</v>
      </c>
      <c r="E1068" t="s">
        <v>24</v>
      </c>
      <c r="F1068" t="s">
        <v>2372</v>
      </c>
      <c r="G1068" t="s">
        <v>67</v>
      </c>
      <c r="H1068" t="s">
        <v>129</v>
      </c>
      <c r="I1068" t="s">
        <v>153</v>
      </c>
      <c r="J1068" t="s">
        <v>29</v>
      </c>
      <c r="K1068" t="s">
        <v>29</v>
      </c>
      <c r="L1068" t="s">
        <v>29</v>
      </c>
      <c r="M1068" t="s">
        <v>29</v>
      </c>
      <c r="N1068" t="s">
        <v>29</v>
      </c>
      <c r="O1068" t="s">
        <v>29</v>
      </c>
      <c r="P1068" t="s">
        <v>29</v>
      </c>
      <c r="Q1068" t="s">
        <v>29</v>
      </c>
      <c r="R1068" t="s">
        <v>29</v>
      </c>
      <c r="S1068" t="s">
        <v>29</v>
      </c>
      <c r="T1068" t="s">
        <v>29</v>
      </c>
      <c r="U1068" t="s">
        <v>29</v>
      </c>
      <c r="V1068" t="s">
        <v>29</v>
      </c>
    </row>
    <row r="1069" spans="1:22" x14ac:dyDescent="0.35">
      <c r="A1069" s="1">
        <v>45645</v>
      </c>
      <c r="B1069" t="s">
        <v>78</v>
      </c>
      <c r="C1069" s="2">
        <v>0.67380787037037038</v>
      </c>
      <c r="D1069" t="s">
        <v>2373</v>
      </c>
      <c r="E1069" t="s">
        <v>41</v>
      </c>
      <c r="F1069" t="s">
        <v>2374</v>
      </c>
      <c r="G1069" t="s">
        <v>34</v>
      </c>
      <c r="H1069" t="s">
        <v>714</v>
      </c>
      <c r="I1069" t="s">
        <v>207</v>
      </c>
      <c r="J1069">
        <v>11.2</v>
      </c>
      <c r="K1069">
        <v>42.2</v>
      </c>
      <c r="L1069" t="s">
        <v>29</v>
      </c>
      <c r="M1069" t="s">
        <v>29</v>
      </c>
      <c r="N1069" t="s">
        <v>29</v>
      </c>
      <c r="O1069" t="s">
        <v>29</v>
      </c>
      <c r="P1069" t="s">
        <v>29</v>
      </c>
      <c r="Q1069" t="s">
        <v>29</v>
      </c>
      <c r="R1069">
        <v>288</v>
      </c>
      <c r="S1069">
        <v>8.25</v>
      </c>
      <c r="T1069">
        <v>4.5999999999999996</v>
      </c>
      <c r="U1069">
        <v>4.5</v>
      </c>
      <c r="V1069" t="s">
        <v>149</v>
      </c>
    </row>
    <row r="1070" spans="1:22" x14ac:dyDescent="0.35">
      <c r="A1070" s="1">
        <v>45490</v>
      </c>
      <c r="B1070" t="s">
        <v>108</v>
      </c>
      <c r="C1070" s="2">
        <v>0.42462962962962963</v>
      </c>
      <c r="D1070" t="s">
        <v>2375</v>
      </c>
      <c r="E1070" t="s">
        <v>41</v>
      </c>
      <c r="F1070" t="s">
        <v>2376</v>
      </c>
      <c r="G1070" t="s">
        <v>67</v>
      </c>
      <c r="H1070" t="s">
        <v>819</v>
      </c>
      <c r="I1070" t="s">
        <v>803</v>
      </c>
      <c r="J1070">
        <v>2</v>
      </c>
      <c r="K1070">
        <v>41.1</v>
      </c>
      <c r="L1070" t="s">
        <v>29</v>
      </c>
      <c r="M1070" t="s">
        <v>29</v>
      </c>
      <c r="N1070" t="s">
        <v>29</v>
      </c>
      <c r="O1070" t="s">
        <v>29</v>
      </c>
      <c r="P1070" t="s">
        <v>29</v>
      </c>
      <c r="Q1070" t="s">
        <v>29</v>
      </c>
      <c r="R1070">
        <v>179</v>
      </c>
      <c r="S1070">
        <v>22.27</v>
      </c>
      <c r="T1070">
        <v>4.2</v>
      </c>
      <c r="U1070">
        <v>4.4000000000000004</v>
      </c>
      <c r="V1070" t="s">
        <v>107</v>
      </c>
    </row>
    <row r="1071" spans="1:22" x14ac:dyDescent="0.35">
      <c r="A1071" s="1">
        <v>45589</v>
      </c>
      <c r="B1071" t="s">
        <v>47</v>
      </c>
      <c r="C1071" s="2">
        <v>0.94383101851851847</v>
      </c>
      <c r="D1071" t="s">
        <v>2377</v>
      </c>
      <c r="E1071" t="s">
        <v>24</v>
      </c>
      <c r="F1071" t="s">
        <v>2378</v>
      </c>
      <c r="G1071" t="s">
        <v>56</v>
      </c>
      <c r="H1071" t="s">
        <v>164</v>
      </c>
      <c r="I1071" t="s">
        <v>299</v>
      </c>
      <c r="J1071" t="s">
        <v>29</v>
      </c>
      <c r="K1071" t="s">
        <v>29</v>
      </c>
      <c r="L1071" t="s">
        <v>29</v>
      </c>
      <c r="M1071" t="s">
        <v>29</v>
      </c>
      <c r="N1071" t="s">
        <v>29</v>
      </c>
      <c r="O1071" t="s">
        <v>29</v>
      </c>
      <c r="P1071" t="s">
        <v>29</v>
      </c>
      <c r="Q1071" t="s">
        <v>29</v>
      </c>
      <c r="R1071" t="s">
        <v>29</v>
      </c>
      <c r="S1071" t="s">
        <v>29</v>
      </c>
      <c r="T1071" t="s">
        <v>29</v>
      </c>
      <c r="U1071" t="s">
        <v>29</v>
      </c>
      <c r="V1071" t="s">
        <v>29</v>
      </c>
    </row>
    <row r="1072" spans="1:22" x14ac:dyDescent="0.35">
      <c r="A1072" s="1">
        <v>45316</v>
      </c>
      <c r="B1072" t="s">
        <v>150</v>
      </c>
      <c r="C1072" s="2">
        <v>0.56550925925925921</v>
      </c>
      <c r="D1072" t="s">
        <v>2379</v>
      </c>
      <c r="E1072" t="s">
        <v>24</v>
      </c>
      <c r="F1072" t="s">
        <v>2380</v>
      </c>
      <c r="G1072" t="s">
        <v>56</v>
      </c>
      <c r="H1072" t="s">
        <v>45</v>
      </c>
      <c r="I1072" t="s">
        <v>565</v>
      </c>
      <c r="J1072" t="s">
        <v>29</v>
      </c>
      <c r="K1072" t="s">
        <v>29</v>
      </c>
      <c r="L1072" t="s">
        <v>29</v>
      </c>
      <c r="M1072" t="s">
        <v>29</v>
      </c>
      <c r="N1072" t="s">
        <v>29</v>
      </c>
      <c r="O1072" t="s">
        <v>29</v>
      </c>
      <c r="P1072" t="s">
        <v>29</v>
      </c>
      <c r="Q1072" t="s">
        <v>29</v>
      </c>
      <c r="R1072" t="s">
        <v>29</v>
      </c>
      <c r="S1072" t="s">
        <v>29</v>
      </c>
      <c r="T1072" t="s">
        <v>29</v>
      </c>
      <c r="U1072" t="s">
        <v>29</v>
      </c>
      <c r="V1072" t="s">
        <v>29</v>
      </c>
    </row>
    <row r="1073" spans="1:22" x14ac:dyDescent="0.35">
      <c r="A1073" s="1">
        <v>45611</v>
      </c>
      <c r="B1073" t="s">
        <v>30</v>
      </c>
      <c r="C1073" s="2">
        <v>0.58851851851851855</v>
      </c>
      <c r="D1073" t="s">
        <v>2381</v>
      </c>
      <c r="E1073" t="s">
        <v>41</v>
      </c>
      <c r="F1073" t="s">
        <v>2382</v>
      </c>
      <c r="G1073" t="s">
        <v>34</v>
      </c>
      <c r="H1073" t="s">
        <v>366</v>
      </c>
      <c r="I1073" t="s">
        <v>157</v>
      </c>
      <c r="J1073">
        <v>3.6</v>
      </c>
      <c r="K1073">
        <v>30.6</v>
      </c>
      <c r="L1073" t="s">
        <v>29</v>
      </c>
      <c r="M1073" t="s">
        <v>29</v>
      </c>
      <c r="N1073" t="s">
        <v>29</v>
      </c>
      <c r="O1073" t="s">
        <v>29</v>
      </c>
      <c r="P1073" t="s">
        <v>29</v>
      </c>
      <c r="Q1073" t="s">
        <v>29</v>
      </c>
      <c r="R1073">
        <v>1042</v>
      </c>
      <c r="S1073">
        <v>25.72</v>
      </c>
      <c r="T1073">
        <v>4.4000000000000004</v>
      </c>
      <c r="U1073">
        <v>4.0999999999999996</v>
      </c>
      <c r="V1073" t="s">
        <v>38</v>
      </c>
    </row>
    <row r="1074" spans="1:22" x14ac:dyDescent="0.35">
      <c r="A1074" s="1">
        <v>45623</v>
      </c>
      <c r="B1074" t="s">
        <v>30</v>
      </c>
      <c r="C1074" s="2">
        <v>0.6878009259259259</v>
      </c>
      <c r="D1074" t="s">
        <v>2383</v>
      </c>
      <c r="E1074" t="s">
        <v>41</v>
      </c>
      <c r="F1074" t="s">
        <v>2384</v>
      </c>
      <c r="G1074" t="s">
        <v>43</v>
      </c>
      <c r="H1074" t="s">
        <v>82</v>
      </c>
      <c r="I1074" t="s">
        <v>161</v>
      </c>
      <c r="J1074">
        <v>2.6</v>
      </c>
      <c r="K1074">
        <v>32.799999999999997</v>
      </c>
      <c r="L1074" t="s">
        <v>29</v>
      </c>
      <c r="M1074" t="s">
        <v>29</v>
      </c>
      <c r="N1074" t="s">
        <v>29</v>
      </c>
      <c r="O1074" t="s">
        <v>29</v>
      </c>
      <c r="P1074" t="s">
        <v>29</v>
      </c>
      <c r="Q1074" t="s">
        <v>29</v>
      </c>
      <c r="R1074">
        <v>261</v>
      </c>
      <c r="S1074">
        <v>36.71</v>
      </c>
      <c r="T1074">
        <v>4.9000000000000004</v>
      </c>
      <c r="U1074">
        <v>4.2</v>
      </c>
      <c r="V1074" t="s">
        <v>38</v>
      </c>
    </row>
    <row r="1075" spans="1:22" x14ac:dyDescent="0.35">
      <c r="A1075" s="1">
        <v>45322</v>
      </c>
      <c r="B1075" t="s">
        <v>150</v>
      </c>
      <c r="C1075" s="2">
        <v>0.85844907407407411</v>
      </c>
      <c r="D1075" t="s">
        <v>2385</v>
      </c>
      <c r="E1075" t="s">
        <v>41</v>
      </c>
      <c r="F1075" t="s">
        <v>2386</v>
      </c>
      <c r="G1075" t="s">
        <v>43</v>
      </c>
      <c r="H1075" t="s">
        <v>477</v>
      </c>
      <c r="I1075" t="s">
        <v>183</v>
      </c>
      <c r="J1075">
        <v>10.1</v>
      </c>
      <c r="K1075">
        <v>34.200000000000003</v>
      </c>
      <c r="L1075" t="s">
        <v>29</v>
      </c>
      <c r="M1075" t="s">
        <v>29</v>
      </c>
      <c r="N1075" t="s">
        <v>29</v>
      </c>
      <c r="O1075" t="s">
        <v>29</v>
      </c>
      <c r="P1075" t="s">
        <v>29</v>
      </c>
      <c r="Q1075" t="s">
        <v>29</v>
      </c>
      <c r="R1075">
        <v>405</v>
      </c>
      <c r="S1075">
        <v>34.69</v>
      </c>
      <c r="T1075">
        <v>4.7</v>
      </c>
      <c r="U1075">
        <v>4.2</v>
      </c>
      <c r="V1075" t="s">
        <v>38</v>
      </c>
    </row>
    <row r="1076" spans="1:22" x14ac:dyDescent="0.35">
      <c r="A1076" s="1">
        <v>45424</v>
      </c>
      <c r="B1076" t="s">
        <v>122</v>
      </c>
      <c r="C1076" s="2">
        <v>0.27025462962962965</v>
      </c>
      <c r="D1076" t="s">
        <v>2387</v>
      </c>
      <c r="E1076" t="s">
        <v>24</v>
      </c>
      <c r="F1076" t="s">
        <v>2388</v>
      </c>
      <c r="G1076" t="s">
        <v>26</v>
      </c>
      <c r="H1076" t="s">
        <v>565</v>
      </c>
      <c r="I1076" t="s">
        <v>489</v>
      </c>
      <c r="J1076" t="s">
        <v>29</v>
      </c>
      <c r="K1076" t="s">
        <v>29</v>
      </c>
      <c r="L1076" t="s">
        <v>29</v>
      </c>
      <c r="M1076" t="s">
        <v>29</v>
      </c>
      <c r="N1076" t="s">
        <v>29</v>
      </c>
      <c r="O1076" t="s">
        <v>29</v>
      </c>
      <c r="P1076" t="s">
        <v>29</v>
      </c>
      <c r="Q1076" t="s">
        <v>29</v>
      </c>
      <c r="R1076" t="s">
        <v>29</v>
      </c>
      <c r="S1076" t="s">
        <v>29</v>
      </c>
      <c r="T1076" t="s">
        <v>29</v>
      </c>
      <c r="U1076" t="s">
        <v>29</v>
      </c>
      <c r="V1076" t="s">
        <v>29</v>
      </c>
    </row>
    <row r="1077" spans="1:22" x14ac:dyDescent="0.35">
      <c r="A1077" s="1">
        <v>45311</v>
      </c>
      <c r="B1077" t="s">
        <v>150</v>
      </c>
      <c r="C1077" s="2">
        <v>0.66010416666666671</v>
      </c>
      <c r="D1077" t="s">
        <v>2389</v>
      </c>
      <c r="E1077" t="s">
        <v>93</v>
      </c>
      <c r="F1077" t="s">
        <v>2390</v>
      </c>
      <c r="G1077" t="s">
        <v>67</v>
      </c>
      <c r="H1077" t="s">
        <v>106</v>
      </c>
      <c r="I1077" t="s">
        <v>531</v>
      </c>
      <c r="J1077">
        <v>4.7</v>
      </c>
      <c r="K1077" t="s">
        <v>29</v>
      </c>
      <c r="L1077" t="s">
        <v>29</v>
      </c>
      <c r="M1077" t="s">
        <v>29</v>
      </c>
      <c r="N1077">
        <v>1</v>
      </c>
      <c r="O1077" t="s">
        <v>337</v>
      </c>
      <c r="P1077" t="s">
        <v>29</v>
      </c>
      <c r="Q1077" t="s">
        <v>29</v>
      </c>
      <c r="R1077" t="s">
        <v>29</v>
      </c>
      <c r="S1077" t="s">
        <v>29</v>
      </c>
      <c r="T1077" t="s">
        <v>29</v>
      </c>
      <c r="U1077" t="s">
        <v>29</v>
      </c>
      <c r="V1077" t="s">
        <v>29</v>
      </c>
    </row>
    <row r="1078" spans="1:22" x14ac:dyDescent="0.35">
      <c r="A1078" s="1">
        <v>45367</v>
      </c>
      <c r="B1078" t="s">
        <v>22</v>
      </c>
      <c r="C1078" s="2">
        <v>0.82431712962962966</v>
      </c>
      <c r="D1078" t="s">
        <v>2391</v>
      </c>
      <c r="E1078" t="s">
        <v>41</v>
      </c>
      <c r="F1078" t="s">
        <v>2392</v>
      </c>
      <c r="G1078" t="s">
        <v>56</v>
      </c>
      <c r="H1078" t="s">
        <v>96</v>
      </c>
      <c r="I1078" t="s">
        <v>739</v>
      </c>
      <c r="J1078">
        <v>8.3000000000000007</v>
      </c>
      <c r="K1078">
        <v>21.3</v>
      </c>
      <c r="L1078" t="s">
        <v>29</v>
      </c>
      <c r="M1078" t="s">
        <v>29</v>
      </c>
      <c r="N1078" t="s">
        <v>29</v>
      </c>
      <c r="O1078" t="s">
        <v>29</v>
      </c>
      <c r="P1078" t="s">
        <v>29</v>
      </c>
      <c r="Q1078" t="s">
        <v>29</v>
      </c>
      <c r="R1078">
        <v>89</v>
      </c>
      <c r="S1078">
        <v>49.17</v>
      </c>
      <c r="T1078">
        <v>4.3</v>
      </c>
      <c r="U1078">
        <v>4.3</v>
      </c>
      <c r="V1078" t="s">
        <v>38</v>
      </c>
    </row>
    <row r="1079" spans="1:22" x14ac:dyDescent="0.35">
      <c r="A1079" s="1">
        <v>45473</v>
      </c>
      <c r="B1079" t="s">
        <v>64</v>
      </c>
      <c r="C1079" s="2">
        <v>0.77812499999999996</v>
      </c>
      <c r="D1079" t="s">
        <v>2393</v>
      </c>
      <c r="E1079" t="s">
        <v>41</v>
      </c>
      <c r="F1079" t="s">
        <v>2394</v>
      </c>
      <c r="G1079" t="s">
        <v>56</v>
      </c>
      <c r="H1079" t="s">
        <v>51</v>
      </c>
      <c r="I1079" t="s">
        <v>262</v>
      </c>
      <c r="J1079">
        <v>4.5</v>
      </c>
      <c r="K1079">
        <v>37</v>
      </c>
      <c r="L1079" t="s">
        <v>29</v>
      </c>
      <c r="M1079" t="s">
        <v>29</v>
      </c>
      <c r="N1079" t="s">
        <v>29</v>
      </c>
      <c r="O1079" t="s">
        <v>29</v>
      </c>
      <c r="P1079" t="s">
        <v>29</v>
      </c>
      <c r="Q1079" t="s">
        <v>29</v>
      </c>
      <c r="R1079">
        <v>649</v>
      </c>
      <c r="S1079">
        <v>29.85</v>
      </c>
      <c r="T1079">
        <v>4.5</v>
      </c>
      <c r="U1079">
        <v>4.7</v>
      </c>
      <c r="V1079" t="s">
        <v>84</v>
      </c>
    </row>
    <row r="1080" spans="1:22" x14ac:dyDescent="0.35">
      <c r="A1080" s="1">
        <v>45396</v>
      </c>
      <c r="B1080" t="s">
        <v>154</v>
      </c>
      <c r="C1080" s="2">
        <v>0.3614236111111111</v>
      </c>
      <c r="D1080" t="s">
        <v>2395</v>
      </c>
      <c r="E1080" t="s">
        <v>41</v>
      </c>
      <c r="F1080" t="s">
        <v>2396</v>
      </c>
      <c r="G1080" t="s">
        <v>56</v>
      </c>
      <c r="H1080" t="s">
        <v>129</v>
      </c>
      <c r="I1080" t="s">
        <v>962</v>
      </c>
      <c r="J1080">
        <v>14.8</v>
      </c>
      <c r="K1080">
        <v>43.7</v>
      </c>
      <c r="L1080" t="s">
        <v>29</v>
      </c>
      <c r="M1080" t="s">
        <v>29</v>
      </c>
      <c r="N1080" t="s">
        <v>29</v>
      </c>
      <c r="O1080" t="s">
        <v>29</v>
      </c>
      <c r="P1080" t="s">
        <v>29</v>
      </c>
      <c r="Q1080" t="s">
        <v>29</v>
      </c>
      <c r="R1080">
        <v>754</v>
      </c>
      <c r="S1080">
        <v>38.880000000000003</v>
      </c>
      <c r="T1080">
        <v>3.9</v>
      </c>
      <c r="U1080">
        <v>4.5</v>
      </c>
      <c r="V1080" t="s">
        <v>84</v>
      </c>
    </row>
    <row r="1081" spans="1:22" x14ac:dyDescent="0.35">
      <c r="A1081" s="1">
        <v>45487</v>
      </c>
      <c r="B1081" t="s">
        <v>108</v>
      </c>
      <c r="C1081" s="2">
        <v>0.44644675925925925</v>
      </c>
      <c r="D1081" t="s">
        <v>2397</v>
      </c>
      <c r="E1081" t="s">
        <v>93</v>
      </c>
      <c r="F1081" t="s">
        <v>2398</v>
      </c>
      <c r="G1081" t="s">
        <v>67</v>
      </c>
      <c r="H1081" t="s">
        <v>254</v>
      </c>
      <c r="I1081" t="s">
        <v>177</v>
      </c>
      <c r="J1081">
        <v>3.8</v>
      </c>
      <c r="K1081" t="s">
        <v>29</v>
      </c>
      <c r="L1081" t="s">
        <v>29</v>
      </c>
      <c r="M1081" t="s">
        <v>29</v>
      </c>
      <c r="N1081">
        <v>1</v>
      </c>
      <c r="O1081" t="s">
        <v>169</v>
      </c>
      <c r="P1081" t="s">
        <v>29</v>
      </c>
      <c r="Q1081" t="s">
        <v>29</v>
      </c>
      <c r="R1081" t="s">
        <v>29</v>
      </c>
      <c r="S1081" t="s">
        <v>29</v>
      </c>
      <c r="T1081" t="s">
        <v>29</v>
      </c>
      <c r="U1081" t="s">
        <v>29</v>
      </c>
      <c r="V1081" t="s">
        <v>29</v>
      </c>
    </row>
    <row r="1082" spans="1:22" x14ac:dyDescent="0.35">
      <c r="A1082" s="1">
        <v>45442</v>
      </c>
      <c r="B1082" t="s">
        <v>122</v>
      </c>
      <c r="C1082" s="2">
        <v>0.18313657407407408</v>
      </c>
      <c r="D1082" t="s">
        <v>2399</v>
      </c>
      <c r="E1082" t="s">
        <v>41</v>
      </c>
      <c r="F1082" t="s">
        <v>2400</v>
      </c>
      <c r="G1082" t="s">
        <v>43</v>
      </c>
      <c r="H1082" t="s">
        <v>560</v>
      </c>
      <c r="I1082" t="s">
        <v>714</v>
      </c>
      <c r="J1082">
        <v>9.9</v>
      </c>
      <c r="K1082">
        <v>20.399999999999999</v>
      </c>
      <c r="L1082" t="s">
        <v>29</v>
      </c>
      <c r="M1082" t="s">
        <v>29</v>
      </c>
      <c r="N1082" t="s">
        <v>29</v>
      </c>
      <c r="O1082" t="s">
        <v>29</v>
      </c>
      <c r="P1082" t="s">
        <v>29</v>
      </c>
      <c r="Q1082" t="s">
        <v>29</v>
      </c>
      <c r="R1082">
        <v>264</v>
      </c>
      <c r="S1082">
        <v>29.2</v>
      </c>
      <c r="T1082">
        <v>5</v>
      </c>
      <c r="U1082">
        <v>4.5999999999999996</v>
      </c>
      <c r="V1082" t="s">
        <v>149</v>
      </c>
    </row>
    <row r="1083" spans="1:22" x14ac:dyDescent="0.35">
      <c r="A1083" s="1">
        <v>45309</v>
      </c>
      <c r="B1083" t="s">
        <v>150</v>
      </c>
      <c r="C1083" s="2">
        <v>2.0995370370370369E-2</v>
      </c>
      <c r="D1083" t="s">
        <v>2401</v>
      </c>
      <c r="E1083" t="s">
        <v>41</v>
      </c>
      <c r="F1083" t="s">
        <v>2402</v>
      </c>
      <c r="G1083" t="s">
        <v>67</v>
      </c>
      <c r="H1083" t="s">
        <v>386</v>
      </c>
      <c r="I1083" t="s">
        <v>197</v>
      </c>
      <c r="J1083">
        <v>9.8000000000000007</v>
      </c>
      <c r="K1083">
        <v>19.8</v>
      </c>
      <c r="L1083" t="s">
        <v>29</v>
      </c>
      <c r="M1083" t="s">
        <v>29</v>
      </c>
      <c r="N1083" t="s">
        <v>29</v>
      </c>
      <c r="O1083" t="s">
        <v>29</v>
      </c>
      <c r="P1083" t="s">
        <v>29</v>
      </c>
      <c r="Q1083" t="s">
        <v>29</v>
      </c>
      <c r="R1083">
        <v>850</v>
      </c>
      <c r="S1083">
        <v>48.31</v>
      </c>
      <c r="T1083">
        <v>3.2</v>
      </c>
      <c r="U1083">
        <v>3.7</v>
      </c>
      <c r="V1083" t="s">
        <v>84</v>
      </c>
    </row>
    <row r="1084" spans="1:22" x14ac:dyDescent="0.35">
      <c r="A1084" s="1">
        <v>45325</v>
      </c>
      <c r="B1084" t="s">
        <v>59</v>
      </c>
      <c r="C1084" s="2">
        <v>0.23561342592592593</v>
      </c>
      <c r="D1084" t="s">
        <v>2403</v>
      </c>
      <c r="E1084" t="s">
        <v>41</v>
      </c>
      <c r="F1084" t="s">
        <v>2404</v>
      </c>
      <c r="G1084" t="s">
        <v>146</v>
      </c>
      <c r="H1084" t="s">
        <v>45</v>
      </c>
      <c r="I1084" t="s">
        <v>57</v>
      </c>
      <c r="J1084">
        <v>2.5</v>
      </c>
      <c r="K1084">
        <v>36.200000000000003</v>
      </c>
      <c r="L1084" t="s">
        <v>29</v>
      </c>
      <c r="M1084" t="s">
        <v>29</v>
      </c>
      <c r="N1084" t="s">
        <v>29</v>
      </c>
      <c r="O1084" t="s">
        <v>29</v>
      </c>
      <c r="P1084" t="s">
        <v>29</v>
      </c>
      <c r="Q1084" t="s">
        <v>29</v>
      </c>
      <c r="R1084">
        <v>1486</v>
      </c>
      <c r="S1084">
        <v>19.45</v>
      </c>
      <c r="T1084">
        <v>4.3</v>
      </c>
      <c r="U1084">
        <v>4.4000000000000004</v>
      </c>
      <c r="V1084" t="s">
        <v>38</v>
      </c>
    </row>
    <row r="1085" spans="1:22" x14ac:dyDescent="0.35">
      <c r="A1085" s="1">
        <v>45442</v>
      </c>
      <c r="B1085" t="s">
        <v>122</v>
      </c>
      <c r="C1085" s="2">
        <v>0.46840277777777778</v>
      </c>
      <c r="D1085" t="s">
        <v>2405</v>
      </c>
      <c r="E1085" t="s">
        <v>41</v>
      </c>
      <c r="F1085" t="s">
        <v>2406</v>
      </c>
      <c r="G1085" t="s">
        <v>67</v>
      </c>
      <c r="H1085" t="s">
        <v>263</v>
      </c>
      <c r="I1085" t="s">
        <v>407</v>
      </c>
      <c r="J1085">
        <v>11.2</v>
      </c>
      <c r="K1085">
        <v>31.6</v>
      </c>
      <c r="L1085" t="s">
        <v>29</v>
      </c>
      <c r="M1085" t="s">
        <v>29</v>
      </c>
      <c r="N1085" t="s">
        <v>29</v>
      </c>
      <c r="O1085" t="s">
        <v>29</v>
      </c>
      <c r="P1085" t="s">
        <v>29</v>
      </c>
      <c r="Q1085" t="s">
        <v>29</v>
      </c>
      <c r="R1085">
        <v>417</v>
      </c>
      <c r="S1085">
        <v>6.83</v>
      </c>
      <c r="T1085">
        <v>4.5</v>
      </c>
      <c r="U1085">
        <v>4.5999999999999996</v>
      </c>
      <c r="V1085" t="s">
        <v>38</v>
      </c>
    </row>
    <row r="1086" spans="1:22" x14ac:dyDescent="0.35">
      <c r="A1086" s="1">
        <v>45581</v>
      </c>
      <c r="B1086" t="s">
        <v>47</v>
      </c>
      <c r="C1086" s="2">
        <v>2.1423611111111112E-2</v>
      </c>
      <c r="D1086" t="s">
        <v>2407</v>
      </c>
      <c r="E1086" t="s">
        <v>41</v>
      </c>
      <c r="F1086" t="s">
        <v>2408</v>
      </c>
      <c r="G1086" t="s">
        <v>50</v>
      </c>
      <c r="H1086" t="s">
        <v>221</v>
      </c>
      <c r="I1086" t="s">
        <v>106</v>
      </c>
      <c r="J1086">
        <v>5.6</v>
      </c>
      <c r="K1086">
        <v>22.5</v>
      </c>
      <c r="L1086" t="s">
        <v>29</v>
      </c>
      <c r="M1086" t="s">
        <v>29</v>
      </c>
      <c r="N1086" t="s">
        <v>29</v>
      </c>
      <c r="O1086" t="s">
        <v>29</v>
      </c>
      <c r="P1086" t="s">
        <v>29</v>
      </c>
      <c r="Q1086" t="s">
        <v>29</v>
      </c>
      <c r="R1086">
        <v>854</v>
      </c>
      <c r="S1086">
        <v>2.15</v>
      </c>
      <c r="T1086">
        <v>4.3</v>
      </c>
      <c r="U1086">
        <v>4.9000000000000004</v>
      </c>
      <c r="V1086" t="s">
        <v>107</v>
      </c>
    </row>
    <row r="1087" spans="1:22" x14ac:dyDescent="0.35">
      <c r="A1087" s="1">
        <v>45333</v>
      </c>
      <c r="B1087" t="s">
        <v>59</v>
      </c>
      <c r="C1087" s="2">
        <v>0.41118055555555555</v>
      </c>
      <c r="D1087" t="s">
        <v>2409</v>
      </c>
      <c r="E1087" t="s">
        <v>117</v>
      </c>
      <c r="F1087" t="s">
        <v>2410</v>
      </c>
      <c r="G1087" t="s">
        <v>50</v>
      </c>
      <c r="H1087" t="s">
        <v>267</v>
      </c>
      <c r="I1087" t="s">
        <v>299</v>
      </c>
      <c r="J1087">
        <v>11.3</v>
      </c>
      <c r="K1087" t="s">
        <v>29</v>
      </c>
      <c r="L1087">
        <v>1</v>
      </c>
      <c r="M1087" t="s">
        <v>121</v>
      </c>
      <c r="N1087" t="s">
        <v>29</v>
      </c>
      <c r="O1087" t="s">
        <v>29</v>
      </c>
      <c r="P1087" t="s">
        <v>29</v>
      </c>
      <c r="Q1087" t="s">
        <v>29</v>
      </c>
      <c r="R1087" t="s">
        <v>29</v>
      </c>
      <c r="S1087" t="s">
        <v>29</v>
      </c>
      <c r="T1087" t="s">
        <v>29</v>
      </c>
      <c r="U1087" t="s">
        <v>29</v>
      </c>
      <c r="V1087" t="s">
        <v>29</v>
      </c>
    </row>
    <row r="1088" spans="1:22" x14ac:dyDescent="0.35">
      <c r="A1088" s="1">
        <v>45453</v>
      </c>
      <c r="B1088" t="s">
        <v>64</v>
      </c>
      <c r="C1088" s="2">
        <v>0.75496527777777778</v>
      </c>
      <c r="D1088" t="s">
        <v>2411</v>
      </c>
      <c r="E1088" t="s">
        <v>41</v>
      </c>
      <c r="F1088" t="s">
        <v>2412</v>
      </c>
      <c r="G1088" t="s">
        <v>56</v>
      </c>
      <c r="H1088" t="s">
        <v>202</v>
      </c>
      <c r="I1088" t="s">
        <v>714</v>
      </c>
      <c r="J1088">
        <v>4.5</v>
      </c>
      <c r="K1088">
        <v>34.299999999999997</v>
      </c>
      <c r="L1088" t="s">
        <v>29</v>
      </c>
      <c r="M1088" t="s">
        <v>29</v>
      </c>
      <c r="N1088" t="s">
        <v>29</v>
      </c>
      <c r="O1088" t="s">
        <v>29</v>
      </c>
      <c r="P1088" t="s">
        <v>29</v>
      </c>
      <c r="Q1088" t="s">
        <v>29</v>
      </c>
      <c r="R1088">
        <v>58</v>
      </c>
      <c r="S1088">
        <v>8.39</v>
      </c>
      <c r="T1088">
        <v>5</v>
      </c>
      <c r="U1088">
        <v>5</v>
      </c>
      <c r="V1088" t="s">
        <v>38</v>
      </c>
    </row>
    <row r="1089" spans="1:22" x14ac:dyDescent="0.35">
      <c r="A1089" s="1">
        <v>45345</v>
      </c>
      <c r="B1089" t="s">
        <v>59</v>
      </c>
      <c r="C1089" s="2">
        <v>0.49737268518518518</v>
      </c>
      <c r="D1089" t="s">
        <v>2413</v>
      </c>
      <c r="E1089" t="s">
        <v>41</v>
      </c>
      <c r="F1089" t="s">
        <v>2414</v>
      </c>
      <c r="G1089" t="s">
        <v>67</v>
      </c>
      <c r="H1089" t="s">
        <v>148</v>
      </c>
      <c r="I1089" t="s">
        <v>35</v>
      </c>
      <c r="J1089">
        <v>10.7</v>
      </c>
      <c r="K1089">
        <v>33.1</v>
      </c>
      <c r="L1089" t="s">
        <v>29</v>
      </c>
      <c r="M1089" t="s">
        <v>29</v>
      </c>
      <c r="N1089" t="s">
        <v>29</v>
      </c>
      <c r="O1089" t="s">
        <v>29</v>
      </c>
      <c r="P1089" t="s">
        <v>29</v>
      </c>
      <c r="Q1089" t="s">
        <v>29</v>
      </c>
      <c r="R1089">
        <v>215</v>
      </c>
      <c r="S1089">
        <v>29.17</v>
      </c>
      <c r="T1089">
        <v>3.1</v>
      </c>
      <c r="U1089">
        <v>4.5</v>
      </c>
      <c r="V1089" t="s">
        <v>149</v>
      </c>
    </row>
    <row r="1090" spans="1:22" x14ac:dyDescent="0.35">
      <c r="A1090" s="1">
        <v>45308</v>
      </c>
      <c r="B1090" t="s">
        <v>150</v>
      </c>
      <c r="C1090" s="2">
        <v>0.79902777777777778</v>
      </c>
      <c r="D1090" t="s">
        <v>2415</v>
      </c>
      <c r="E1090" t="s">
        <v>41</v>
      </c>
      <c r="F1090" t="s">
        <v>2416</v>
      </c>
      <c r="G1090" t="s">
        <v>43</v>
      </c>
      <c r="H1090" t="s">
        <v>28</v>
      </c>
      <c r="I1090" t="s">
        <v>280</v>
      </c>
      <c r="J1090">
        <v>2.9</v>
      </c>
      <c r="K1090">
        <v>16.7</v>
      </c>
      <c r="L1090" t="s">
        <v>29</v>
      </c>
      <c r="M1090" t="s">
        <v>29</v>
      </c>
      <c r="N1090" t="s">
        <v>29</v>
      </c>
      <c r="O1090" t="s">
        <v>29</v>
      </c>
      <c r="P1090" t="s">
        <v>29</v>
      </c>
      <c r="Q1090" t="s">
        <v>29</v>
      </c>
      <c r="R1090">
        <v>514</v>
      </c>
      <c r="S1090">
        <v>33.15</v>
      </c>
      <c r="T1090">
        <v>4.2</v>
      </c>
      <c r="U1090">
        <v>4.3</v>
      </c>
      <c r="V1090" t="s">
        <v>38</v>
      </c>
    </row>
    <row r="1091" spans="1:22" x14ac:dyDescent="0.35">
      <c r="A1091" s="1">
        <v>45425</v>
      </c>
      <c r="B1091" t="s">
        <v>122</v>
      </c>
      <c r="C1091" s="2">
        <v>0.9078356481481481</v>
      </c>
      <c r="D1091" t="s">
        <v>2417</v>
      </c>
      <c r="E1091" t="s">
        <v>41</v>
      </c>
      <c r="F1091" t="s">
        <v>2418</v>
      </c>
      <c r="G1091" t="s">
        <v>56</v>
      </c>
      <c r="H1091" t="s">
        <v>52</v>
      </c>
      <c r="I1091" t="s">
        <v>103</v>
      </c>
      <c r="J1091">
        <v>5.2</v>
      </c>
      <c r="K1091">
        <v>28.5</v>
      </c>
      <c r="L1091" t="s">
        <v>29</v>
      </c>
      <c r="M1091" t="s">
        <v>29</v>
      </c>
      <c r="N1091" t="s">
        <v>29</v>
      </c>
      <c r="O1091" t="s">
        <v>29</v>
      </c>
      <c r="P1091" t="s">
        <v>29</v>
      </c>
      <c r="Q1091" t="s">
        <v>29</v>
      </c>
      <c r="R1091">
        <v>287</v>
      </c>
      <c r="S1091">
        <v>15.34</v>
      </c>
      <c r="T1091">
        <v>4.9000000000000004</v>
      </c>
      <c r="U1091">
        <v>4.2</v>
      </c>
      <c r="V1091" t="s">
        <v>107</v>
      </c>
    </row>
    <row r="1092" spans="1:22" x14ac:dyDescent="0.35">
      <c r="A1092" s="1">
        <v>45454</v>
      </c>
      <c r="B1092" t="s">
        <v>64</v>
      </c>
      <c r="C1092" s="2">
        <v>0.82315972222222222</v>
      </c>
      <c r="D1092" t="s">
        <v>2419</v>
      </c>
      <c r="E1092" t="s">
        <v>41</v>
      </c>
      <c r="F1092" t="s">
        <v>2420</v>
      </c>
      <c r="G1092" t="s">
        <v>67</v>
      </c>
      <c r="H1092" t="s">
        <v>343</v>
      </c>
      <c r="I1092" t="s">
        <v>693</v>
      </c>
      <c r="J1092">
        <v>7.2</v>
      </c>
      <c r="K1092">
        <v>23.3</v>
      </c>
      <c r="L1092" t="s">
        <v>29</v>
      </c>
      <c r="M1092" t="s">
        <v>29</v>
      </c>
      <c r="N1092" t="s">
        <v>29</v>
      </c>
      <c r="O1092" t="s">
        <v>29</v>
      </c>
      <c r="P1092" t="s">
        <v>29</v>
      </c>
      <c r="Q1092" t="s">
        <v>29</v>
      </c>
      <c r="R1092">
        <v>309</v>
      </c>
      <c r="S1092">
        <v>26.19</v>
      </c>
      <c r="T1092">
        <v>4.7</v>
      </c>
      <c r="U1092">
        <v>3.8</v>
      </c>
      <c r="V1092" t="s">
        <v>84</v>
      </c>
    </row>
    <row r="1093" spans="1:22" x14ac:dyDescent="0.35">
      <c r="A1093" s="1">
        <v>45459</v>
      </c>
      <c r="B1093" t="s">
        <v>64</v>
      </c>
      <c r="C1093" s="2">
        <v>0.74875000000000003</v>
      </c>
      <c r="D1093" t="s">
        <v>2421</v>
      </c>
      <c r="E1093" t="s">
        <v>41</v>
      </c>
      <c r="F1093" t="s">
        <v>2422</v>
      </c>
      <c r="G1093" t="s">
        <v>43</v>
      </c>
      <c r="H1093" t="s">
        <v>280</v>
      </c>
      <c r="I1093" t="s">
        <v>739</v>
      </c>
      <c r="J1093">
        <v>13.6</v>
      </c>
      <c r="K1093">
        <v>40.299999999999997</v>
      </c>
      <c r="L1093" t="s">
        <v>29</v>
      </c>
      <c r="M1093" t="s">
        <v>29</v>
      </c>
      <c r="N1093" t="s">
        <v>29</v>
      </c>
      <c r="O1093" t="s">
        <v>29</v>
      </c>
      <c r="P1093" t="s">
        <v>29</v>
      </c>
      <c r="Q1093" t="s">
        <v>29</v>
      </c>
      <c r="R1093">
        <v>85</v>
      </c>
      <c r="S1093">
        <v>27.4</v>
      </c>
      <c r="T1093">
        <v>3.9</v>
      </c>
      <c r="U1093">
        <v>4.3</v>
      </c>
      <c r="V1093" t="s">
        <v>84</v>
      </c>
    </row>
    <row r="1094" spans="1:22" x14ac:dyDescent="0.35">
      <c r="A1094" s="1">
        <v>45499</v>
      </c>
      <c r="B1094" t="s">
        <v>108</v>
      </c>
      <c r="C1094" s="2">
        <v>0.78746527777777775</v>
      </c>
      <c r="D1094" t="s">
        <v>2423</v>
      </c>
      <c r="E1094" t="s">
        <v>41</v>
      </c>
      <c r="F1094" t="s">
        <v>2424</v>
      </c>
      <c r="G1094" t="s">
        <v>43</v>
      </c>
      <c r="H1094" t="s">
        <v>383</v>
      </c>
      <c r="I1094" t="s">
        <v>217</v>
      </c>
      <c r="J1094">
        <v>9.6999999999999993</v>
      </c>
      <c r="K1094">
        <v>25</v>
      </c>
      <c r="L1094" t="s">
        <v>29</v>
      </c>
      <c r="M1094" t="s">
        <v>29</v>
      </c>
      <c r="N1094" t="s">
        <v>29</v>
      </c>
      <c r="O1094" t="s">
        <v>29</v>
      </c>
      <c r="P1094" t="s">
        <v>29</v>
      </c>
      <c r="Q1094" t="s">
        <v>29</v>
      </c>
      <c r="R1094">
        <v>553</v>
      </c>
      <c r="S1094">
        <v>5.0199999999999996</v>
      </c>
      <c r="T1094">
        <v>3.4</v>
      </c>
      <c r="U1094">
        <v>5</v>
      </c>
      <c r="V1094" t="s">
        <v>149</v>
      </c>
    </row>
    <row r="1095" spans="1:22" x14ac:dyDescent="0.35">
      <c r="A1095" s="1">
        <v>45521</v>
      </c>
      <c r="B1095" t="s">
        <v>39</v>
      </c>
      <c r="C1095" s="2">
        <v>0.68163194444444442</v>
      </c>
      <c r="D1095" t="s">
        <v>2425</v>
      </c>
      <c r="E1095" t="s">
        <v>32</v>
      </c>
      <c r="F1095" t="s">
        <v>2426</v>
      </c>
      <c r="G1095" t="s">
        <v>26</v>
      </c>
      <c r="H1095" t="s">
        <v>58</v>
      </c>
      <c r="I1095" t="s">
        <v>280</v>
      </c>
      <c r="J1095">
        <v>6.6</v>
      </c>
      <c r="K1095">
        <v>10.3</v>
      </c>
      <c r="L1095" t="s">
        <v>29</v>
      </c>
      <c r="M1095" t="s">
        <v>29</v>
      </c>
      <c r="N1095" t="s">
        <v>29</v>
      </c>
      <c r="O1095" t="s">
        <v>29</v>
      </c>
      <c r="P1095">
        <v>1</v>
      </c>
      <c r="Q1095" t="s">
        <v>302</v>
      </c>
      <c r="R1095">
        <v>475</v>
      </c>
      <c r="S1095">
        <v>11.28</v>
      </c>
      <c r="T1095" t="s">
        <v>29</v>
      </c>
      <c r="U1095" t="s">
        <v>29</v>
      </c>
      <c r="V1095" t="s">
        <v>38</v>
      </c>
    </row>
    <row r="1096" spans="1:22" x14ac:dyDescent="0.35">
      <c r="A1096" s="1">
        <v>45482</v>
      </c>
      <c r="B1096" t="s">
        <v>108</v>
      </c>
      <c r="C1096" s="2">
        <v>0.43777777777777777</v>
      </c>
      <c r="D1096" t="s">
        <v>2427</v>
      </c>
      <c r="E1096" t="s">
        <v>41</v>
      </c>
      <c r="F1096" t="s">
        <v>2428</v>
      </c>
      <c r="G1096" t="s">
        <v>34</v>
      </c>
      <c r="H1096" t="s">
        <v>296</v>
      </c>
      <c r="I1096" t="s">
        <v>442</v>
      </c>
      <c r="J1096">
        <v>14</v>
      </c>
      <c r="K1096">
        <v>22.6</v>
      </c>
      <c r="L1096" t="s">
        <v>29</v>
      </c>
      <c r="M1096" t="s">
        <v>29</v>
      </c>
      <c r="N1096" t="s">
        <v>29</v>
      </c>
      <c r="O1096" t="s">
        <v>29</v>
      </c>
      <c r="P1096" t="s">
        <v>29</v>
      </c>
      <c r="Q1096" t="s">
        <v>29</v>
      </c>
      <c r="R1096">
        <v>107</v>
      </c>
      <c r="S1096">
        <v>29.19</v>
      </c>
      <c r="T1096">
        <v>4.0999999999999996</v>
      </c>
      <c r="U1096">
        <v>4.5999999999999996</v>
      </c>
      <c r="V1096" t="s">
        <v>38</v>
      </c>
    </row>
    <row r="1097" spans="1:22" x14ac:dyDescent="0.35">
      <c r="A1097" s="1">
        <v>45575</v>
      </c>
      <c r="B1097" t="s">
        <v>47</v>
      </c>
      <c r="C1097" s="2">
        <v>0.76116898148148149</v>
      </c>
      <c r="D1097" t="s">
        <v>2429</v>
      </c>
      <c r="E1097" t="s">
        <v>117</v>
      </c>
      <c r="F1097" t="s">
        <v>2430</v>
      </c>
      <c r="G1097" t="s">
        <v>56</v>
      </c>
      <c r="H1097" t="s">
        <v>143</v>
      </c>
      <c r="I1097" t="s">
        <v>28</v>
      </c>
      <c r="J1097">
        <v>16</v>
      </c>
      <c r="K1097" t="s">
        <v>29</v>
      </c>
      <c r="L1097">
        <v>1</v>
      </c>
      <c r="M1097" t="s">
        <v>121</v>
      </c>
      <c r="N1097" t="s">
        <v>29</v>
      </c>
      <c r="O1097" t="s">
        <v>29</v>
      </c>
      <c r="P1097" t="s">
        <v>29</v>
      </c>
      <c r="Q1097" t="s">
        <v>29</v>
      </c>
      <c r="R1097" t="s">
        <v>29</v>
      </c>
      <c r="S1097" t="s">
        <v>29</v>
      </c>
      <c r="T1097" t="s">
        <v>29</v>
      </c>
      <c r="U1097" t="s">
        <v>29</v>
      </c>
      <c r="V1097" t="s">
        <v>29</v>
      </c>
    </row>
    <row r="1098" spans="1:22" x14ac:dyDescent="0.35">
      <c r="A1098" s="1">
        <v>45642</v>
      </c>
      <c r="B1098" t="s">
        <v>78</v>
      </c>
      <c r="C1098" s="2">
        <v>0.31333333333333335</v>
      </c>
      <c r="D1098" t="s">
        <v>2431</v>
      </c>
      <c r="E1098" t="s">
        <v>24</v>
      </c>
      <c r="F1098" t="s">
        <v>2432</v>
      </c>
      <c r="G1098" t="s">
        <v>34</v>
      </c>
      <c r="H1098" t="s">
        <v>249</v>
      </c>
      <c r="I1098" t="s">
        <v>477</v>
      </c>
      <c r="J1098" t="s">
        <v>29</v>
      </c>
      <c r="K1098" t="s">
        <v>29</v>
      </c>
      <c r="L1098" t="s">
        <v>29</v>
      </c>
      <c r="M1098" t="s">
        <v>29</v>
      </c>
      <c r="N1098" t="s">
        <v>29</v>
      </c>
      <c r="O1098" t="s">
        <v>29</v>
      </c>
      <c r="P1098" t="s">
        <v>29</v>
      </c>
      <c r="Q1098" t="s">
        <v>29</v>
      </c>
      <c r="R1098" t="s">
        <v>29</v>
      </c>
      <c r="S1098" t="s">
        <v>29</v>
      </c>
      <c r="T1098" t="s">
        <v>29</v>
      </c>
      <c r="U1098" t="s">
        <v>29</v>
      </c>
      <c r="V1098" t="s">
        <v>29</v>
      </c>
    </row>
    <row r="1099" spans="1:22" x14ac:dyDescent="0.35">
      <c r="A1099" s="1">
        <v>45486</v>
      </c>
      <c r="B1099" t="s">
        <v>108</v>
      </c>
      <c r="C1099" s="2">
        <v>0.65487268518518515</v>
      </c>
      <c r="D1099" t="s">
        <v>2433</v>
      </c>
      <c r="E1099" t="s">
        <v>41</v>
      </c>
      <c r="F1099" t="s">
        <v>2434</v>
      </c>
      <c r="G1099" t="s">
        <v>67</v>
      </c>
      <c r="H1099" t="s">
        <v>296</v>
      </c>
      <c r="I1099" t="s">
        <v>463</v>
      </c>
      <c r="J1099">
        <v>9.6</v>
      </c>
      <c r="K1099">
        <v>24.4</v>
      </c>
      <c r="L1099" t="s">
        <v>29</v>
      </c>
      <c r="M1099" t="s">
        <v>29</v>
      </c>
      <c r="N1099" t="s">
        <v>29</v>
      </c>
      <c r="O1099" t="s">
        <v>29</v>
      </c>
      <c r="P1099" t="s">
        <v>29</v>
      </c>
      <c r="Q1099" t="s">
        <v>29</v>
      </c>
      <c r="R1099">
        <v>1088</v>
      </c>
      <c r="S1099">
        <v>7.24</v>
      </c>
      <c r="T1099">
        <v>4.8</v>
      </c>
      <c r="U1099">
        <v>4.3</v>
      </c>
      <c r="V1099" t="s">
        <v>107</v>
      </c>
    </row>
    <row r="1100" spans="1:22" x14ac:dyDescent="0.35">
      <c r="A1100" s="1">
        <v>45458</v>
      </c>
      <c r="B1100" t="s">
        <v>64</v>
      </c>
      <c r="C1100" s="2">
        <v>0.87361111111111112</v>
      </c>
      <c r="D1100" t="s">
        <v>2435</v>
      </c>
      <c r="E1100" t="s">
        <v>41</v>
      </c>
      <c r="F1100" t="s">
        <v>2436</v>
      </c>
      <c r="G1100" t="s">
        <v>50</v>
      </c>
      <c r="H1100" t="s">
        <v>36</v>
      </c>
      <c r="I1100" t="s">
        <v>168</v>
      </c>
      <c r="J1100">
        <v>13.5</v>
      </c>
      <c r="K1100">
        <v>31.2</v>
      </c>
      <c r="L1100" t="s">
        <v>29</v>
      </c>
      <c r="M1100" t="s">
        <v>29</v>
      </c>
      <c r="N1100" t="s">
        <v>29</v>
      </c>
      <c r="O1100" t="s">
        <v>29</v>
      </c>
      <c r="P1100" t="s">
        <v>29</v>
      </c>
      <c r="Q1100" t="s">
        <v>29</v>
      </c>
      <c r="R1100">
        <v>125</v>
      </c>
      <c r="S1100">
        <v>22.82</v>
      </c>
      <c r="T1100">
        <v>4.3</v>
      </c>
      <c r="U1100">
        <v>4</v>
      </c>
      <c r="V1100" t="s">
        <v>149</v>
      </c>
    </row>
    <row r="1101" spans="1:22" x14ac:dyDescent="0.35">
      <c r="A1101" s="1">
        <v>45322</v>
      </c>
      <c r="B1101" t="s">
        <v>150</v>
      </c>
      <c r="C1101" s="2">
        <v>0.58434027777777775</v>
      </c>
      <c r="D1101" t="s">
        <v>2437</v>
      </c>
      <c r="E1101" t="s">
        <v>93</v>
      </c>
      <c r="F1101" t="s">
        <v>2438</v>
      </c>
      <c r="G1101" t="s">
        <v>26</v>
      </c>
      <c r="H1101" t="s">
        <v>665</v>
      </c>
      <c r="I1101" t="s">
        <v>137</v>
      </c>
      <c r="J1101">
        <v>7.1</v>
      </c>
      <c r="K1101" t="s">
        <v>29</v>
      </c>
      <c r="L1101" t="s">
        <v>29</v>
      </c>
      <c r="M1101" t="s">
        <v>29</v>
      </c>
      <c r="N1101">
        <v>1</v>
      </c>
      <c r="O1101" t="s">
        <v>169</v>
      </c>
      <c r="P1101" t="s">
        <v>29</v>
      </c>
      <c r="Q1101" t="s">
        <v>29</v>
      </c>
      <c r="R1101" t="s">
        <v>29</v>
      </c>
      <c r="S1101" t="s">
        <v>29</v>
      </c>
      <c r="T1101" t="s">
        <v>29</v>
      </c>
      <c r="U1101" t="s">
        <v>29</v>
      </c>
      <c r="V1101" t="s">
        <v>29</v>
      </c>
    </row>
    <row r="1102" spans="1:22" x14ac:dyDescent="0.35">
      <c r="A1102" s="1">
        <v>45376</v>
      </c>
      <c r="B1102" t="s">
        <v>22</v>
      </c>
      <c r="C1102" s="2">
        <v>0.7844444444444445</v>
      </c>
      <c r="D1102" t="s">
        <v>2439</v>
      </c>
      <c r="E1102" t="s">
        <v>41</v>
      </c>
      <c r="F1102" t="s">
        <v>2440</v>
      </c>
      <c r="G1102" t="s">
        <v>50</v>
      </c>
      <c r="H1102" t="s">
        <v>262</v>
      </c>
      <c r="I1102" t="s">
        <v>369</v>
      </c>
      <c r="J1102">
        <v>10.9</v>
      </c>
      <c r="K1102">
        <v>33.4</v>
      </c>
      <c r="L1102" t="s">
        <v>29</v>
      </c>
      <c r="M1102" t="s">
        <v>29</v>
      </c>
      <c r="N1102" t="s">
        <v>29</v>
      </c>
      <c r="O1102" t="s">
        <v>29</v>
      </c>
      <c r="P1102" t="s">
        <v>29</v>
      </c>
      <c r="Q1102" t="s">
        <v>29</v>
      </c>
      <c r="R1102">
        <v>401</v>
      </c>
      <c r="S1102">
        <v>29.63</v>
      </c>
      <c r="T1102">
        <v>4.3</v>
      </c>
      <c r="U1102">
        <v>4.8</v>
      </c>
      <c r="V1102" t="s">
        <v>46</v>
      </c>
    </row>
    <row r="1103" spans="1:22" x14ac:dyDescent="0.35">
      <c r="A1103" s="1">
        <v>45376</v>
      </c>
      <c r="B1103" t="s">
        <v>22</v>
      </c>
      <c r="C1103" s="2">
        <v>0.44177083333333333</v>
      </c>
      <c r="D1103" t="s">
        <v>2441</v>
      </c>
      <c r="E1103" t="s">
        <v>41</v>
      </c>
      <c r="F1103" t="s">
        <v>2442</v>
      </c>
      <c r="G1103" t="s">
        <v>56</v>
      </c>
      <c r="H1103" t="s">
        <v>665</v>
      </c>
      <c r="I1103" t="s">
        <v>654</v>
      </c>
      <c r="J1103">
        <v>11.9</v>
      </c>
      <c r="K1103">
        <v>24.7</v>
      </c>
      <c r="L1103" t="s">
        <v>29</v>
      </c>
      <c r="M1103" t="s">
        <v>29</v>
      </c>
      <c r="N1103" t="s">
        <v>29</v>
      </c>
      <c r="O1103" t="s">
        <v>29</v>
      </c>
      <c r="P1103" t="s">
        <v>29</v>
      </c>
      <c r="Q1103" t="s">
        <v>29</v>
      </c>
      <c r="R1103">
        <v>333</v>
      </c>
      <c r="S1103">
        <v>42.74</v>
      </c>
      <c r="T1103">
        <v>4.3</v>
      </c>
      <c r="U1103">
        <v>4.8</v>
      </c>
      <c r="V1103" t="s">
        <v>38</v>
      </c>
    </row>
    <row r="1104" spans="1:22" x14ac:dyDescent="0.35">
      <c r="A1104" s="1">
        <v>45647</v>
      </c>
      <c r="B1104" t="s">
        <v>78</v>
      </c>
      <c r="C1104" s="2">
        <v>0.48957175925925928</v>
      </c>
      <c r="D1104" t="s">
        <v>2443</v>
      </c>
      <c r="E1104" t="s">
        <v>41</v>
      </c>
      <c r="F1104" t="s">
        <v>2444</v>
      </c>
      <c r="G1104" t="s">
        <v>67</v>
      </c>
      <c r="H1104" t="s">
        <v>800</v>
      </c>
      <c r="I1104" t="s">
        <v>267</v>
      </c>
      <c r="J1104">
        <v>9.6999999999999993</v>
      </c>
      <c r="K1104">
        <v>23.2</v>
      </c>
      <c r="L1104" t="s">
        <v>29</v>
      </c>
      <c r="M1104" t="s">
        <v>29</v>
      </c>
      <c r="N1104" t="s">
        <v>29</v>
      </c>
      <c r="O1104" t="s">
        <v>29</v>
      </c>
      <c r="P1104" t="s">
        <v>29</v>
      </c>
      <c r="Q1104" t="s">
        <v>29</v>
      </c>
      <c r="R1104">
        <v>491</v>
      </c>
      <c r="S1104">
        <v>40.47</v>
      </c>
      <c r="T1104">
        <v>4.5999999999999996</v>
      </c>
      <c r="U1104">
        <v>4.5</v>
      </c>
      <c r="V1104" t="s">
        <v>107</v>
      </c>
    </row>
    <row r="1105" spans="1:22" x14ac:dyDescent="0.35">
      <c r="A1105" s="1">
        <v>45321</v>
      </c>
      <c r="B1105" t="s">
        <v>150</v>
      </c>
      <c r="C1105" s="2">
        <v>0.86133101851851857</v>
      </c>
      <c r="D1105" t="s">
        <v>2445</v>
      </c>
      <c r="E1105" t="s">
        <v>32</v>
      </c>
      <c r="F1105" t="s">
        <v>2446</v>
      </c>
      <c r="G1105" t="s">
        <v>50</v>
      </c>
      <c r="H1105" t="s">
        <v>186</v>
      </c>
      <c r="I1105" t="s">
        <v>299</v>
      </c>
      <c r="J1105">
        <v>6</v>
      </c>
      <c r="K1105">
        <v>16</v>
      </c>
      <c r="L1105" t="s">
        <v>29</v>
      </c>
      <c r="M1105" t="s">
        <v>29</v>
      </c>
      <c r="N1105" t="s">
        <v>29</v>
      </c>
      <c r="O1105" t="s">
        <v>29</v>
      </c>
      <c r="P1105">
        <v>1</v>
      </c>
      <c r="Q1105" t="s">
        <v>302</v>
      </c>
      <c r="R1105">
        <v>408</v>
      </c>
      <c r="S1105">
        <v>11.22</v>
      </c>
      <c r="T1105" t="s">
        <v>29</v>
      </c>
      <c r="U1105" t="s">
        <v>29</v>
      </c>
      <c r="V1105" t="s">
        <v>149</v>
      </c>
    </row>
    <row r="1106" spans="1:22" x14ac:dyDescent="0.35">
      <c r="A1106" s="1">
        <v>45505</v>
      </c>
      <c r="B1106" t="s">
        <v>39</v>
      </c>
      <c r="C1106" s="2">
        <v>0.70393518518518516</v>
      </c>
      <c r="D1106" t="s">
        <v>2447</v>
      </c>
      <c r="E1106" t="s">
        <v>93</v>
      </c>
      <c r="F1106" t="s">
        <v>2448</v>
      </c>
      <c r="G1106" t="s">
        <v>26</v>
      </c>
      <c r="H1106" t="s">
        <v>665</v>
      </c>
      <c r="I1106" t="s">
        <v>143</v>
      </c>
      <c r="J1106">
        <v>12</v>
      </c>
      <c r="K1106" t="s">
        <v>29</v>
      </c>
      <c r="L1106" t="s">
        <v>29</v>
      </c>
      <c r="M1106" t="s">
        <v>29</v>
      </c>
      <c r="N1106">
        <v>1</v>
      </c>
      <c r="O1106" t="s">
        <v>337</v>
      </c>
      <c r="P1106" t="s">
        <v>29</v>
      </c>
      <c r="Q1106" t="s">
        <v>29</v>
      </c>
      <c r="R1106" t="s">
        <v>29</v>
      </c>
      <c r="S1106" t="s">
        <v>29</v>
      </c>
      <c r="T1106" t="s">
        <v>29</v>
      </c>
      <c r="U1106" t="s">
        <v>29</v>
      </c>
      <c r="V1106" t="s">
        <v>29</v>
      </c>
    </row>
    <row r="1107" spans="1:22" x14ac:dyDescent="0.35">
      <c r="A1107" s="1">
        <v>45489</v>
      </c>
      <c r="B1107" t="s">
        <v>108</v>
      </c>
      <c r="C1107" s="2">
        <v>0.63390046296296299</v>
      </c>
      <c r="D1107" t="s">
        <v>2449</v>
      </c>
      <c r="E1107" t="s">
        <v>41</v>
      </c>
      <c r="F1107" t="s">
        <v>2450</v>
      </c>
      <c r="G1107" t="s">
        <v>67</v>
      </c>
      <c r="H1107" t="s">
        <v>430</v>
      </c>
      <c r="I1107" t="s">
        <v>58</v>
      </c>
      <c r="J1107">
        <v>5.9</v>
      </c>
      <c r="K1107">
        <v>32.799999999999997</v>
      </c>
      <c r="L1107" t="s">
        <v>29</v>
      </c>
      <c r="M1107" t="s">
        <v>29</v>
      </c>
      <c r="N1107" t="s">
        <v>29</v>
      </c>
      <c r="O1107" t="s">
        <v>29</v>
      </c>
      <c r="P1107" t="s">
        <v>29</v>
      </c>
      <c r="Q1107" t="s">
        <v>29</v>
      </c>
      <c r="R1107">
        <v>482</v>
      </c>
      <c r="S1107">
        <v>33.450000000000003</v>
      </c>
      <c r="T1107">
        <v>3.8</v>
      </c>
      <c r="U1107">
        <v>4.5999999999999996</v>
      </c>
      <c r="V1107" t="s">
        <v>38</v>
      </c>
    </row>
    <row r="1108" spans="1:22" x14ac:dyDescent="0.35">
      <c r="A1108" s="1">
        <v>45437</v>
      </c>
      <c r="B1108" t="s">
        <v>122</v>
      </c>
      <c r="C1108" s="2">
        <v>0.79510416666666661</v>
      </c>
      <c r="D1108" t="s">
        <v>2451</v>
      </c>
      <c r="E1108" t="s">
        <v>41</v>
      </c>
      <c r="F1108" t="s">
        <v>2452</v>
      </c>
      <c r="G1108" t="s">
        <v>50</v>
      </c>
      <c r="H1108" t="s">
        <v>398</v>
      </c>
      <c r="I1108" t="s">
        <v>245</v>
      </c>
      <c r="J1108">
        <v>13</v>
      </c>
      <c r="K1108">
        <v>27.4</v>
      </c>
      <c r="L1108" t="s">
        <v>29</v>
      </c>
      <c r="M1108" t="s">
        <v>29</v>
      </c>
      <c r="N1108" t="s">
        <v>29</v>
      </c>
      <c r="O1108" t="s">
        <v>29</v>
      </c>
      <c r="P1108" t="s">
        <v>29</v>
      </c>
      <c r="Q1108" t="s">
        <v>29</v>
      </c>
      <c r="R1108">
        <v>777</v>
      </c>
      <c r="S1108">
        <v>36.700000000000003</v>
      </c>
      <c r="T1108">
        <v>3.8</v>
      </c>
      <c r="U1108">
        <v>3.5</v>
      </c>
      <c r="V1108" t="s">
        <v>38</v>
      </c>
    </row>
    <row r="1109" spans="1:22" x14ac:dyDescent="0.35">
      <c r="A1109" s="1">
        <v>45538</v>
      </c>
      <c r="B1109" t="s">
        <v>53</v>
      </c>
      <c r="C1109" s="2">
        <v>0.11001157407407407</v>
      </c>
      <c r="D1109" t="s">
        <v>2453</v>
      </c>
      <c r="E1109" t="s">
        <v>41</v>
      </c>
      <c r="F1109" t="s">
        <v>2454</v>
      </c>
      <c r="G1109" t="s">
        <v>56</v>
      </c>
      <c r="H1109" t="s">
        <v>374</v>
      </c>
      <c r="I1109" t="s">
        <v>68</v>
      </c>
      <c r="J1109">
        <v>7.6</v>
      </c>
      <c r="K1109">
        <v>43.3</v>
      </c>
      <c r="L1109" t="s">
        <v>29</v>
      </c>
      <c r="M1109" t="s">
        <v>29</v>
      </c>
      <c r="N1109" t="s">
        <v>29</v>
      </c>
      <c r="O1109" t="s">
        <v>29</v>
      </c>
      <c r="P1109" t="s">
        <v>29</v>
      </c>
      <c r="Q1109" t="s">
        <v>29</v>
      </c>
      <c r="R1109">
        <v>649</v>
      </c>
      <c r="S1109">
        <v>15.88</v>
      </c>
      <c r="T1109">
        <v>3</v>
      </c>
      <c r="U1109">
        <v>4.2</v>
      </c>
      <c r="V1109" t="s">
        <v>38</v>
      </c>
    </row>
    <row r="1110" spans="1:22" x14ac:dyDescent="0.35">
      <c r="A1110" s="1">
        <v>45292</v>
      </c>
      <c r="B1110" t="s">
        <v>150</v>
      </c>
      <c r="C1110" s="2">
        <v>0.77718750000000003</v>
      </c>
      <c r="D1110" t="s">
        <v>2455</v>
      </c>
      <c r="E1110" t="s">
        <v>41</v>
      </c>
      <c r="F1110" t="s">
        <v>2456</v>
      </c>
      <c r="G1110" t="s">
        <v>146</v>
      </c>
      <c r="H1110" t="s">
        <v>111</v>
      </c>
      <c r="I1110" t="s">
        <v>87</v>
      </c>
      <c r="J1110">
        <v>7.5</v>
      </c>
      <c r="K1110">
        <v>33.200000000000003</v>
      </c>
      <c r="L1110" t="s">
        <v>29</v>
      </c>
      <c r="M1110" t="s">
        <v>29</v>
      </c>
      <c r="N1110" t="s">
        <v>29</v>
      </c>
      <c r="O1110" t="s">
        <v>29</v>
      </c>
      <c r="P1110" t="s">
        <v>29</v>
      </c>
      <c r="Q1110" t="s">
        <v>29</v>
      </c>
      <c r="R1110">
        <v>616</v>
      </c>
      <c r="S1110">
        <v>26.14</v>
      </c>
      <c r="T1110">
        <v>4.8</v>
      </c>
      <c r="U1110">
        <v>4.5999999999999996</v>
      </c>
      <c r="V1110" t="s">
        <v>38</v>
      </c>
    </row>
    <row r="1111" spans="1:22" x14ac:dyDescent="0.35">
      <c r="A1111" s="1">
        <v>45575</v>
      </c>
      <c r="B1111" t="s">
        <v>47</v>
      </c>
      <c r="C1111" s="2">
        <v>0.43081018518518521</v>
      </c>
      <c r="D1111" t="s">
        <v>2457</v>
      </c>
      <c r="E1111" t="s">
        <v>41</v>
      </c>
      <c r="F1111" t="s">
        <v>2458</v>
      </c>
      <c r="G1111" t="s">
        <v>50</v>
      </c>
      <c r="H1111" t="s">
        <v>153</v>
      </c>
      <c r="I1111" t="s">
        <v>270</v>
      </c>
      <c r="J1111">
        <v>14.4</v>
      </c>
      <c r="K1111">
        <v>25.4</v>
      </c>
      <c r="L1111" t="s">
        <v>29</v>
      </c>
      <c r="M1111" t="s">
        <v>29</v>
      </c>
      <c r="N1111" t="s">
        <v>29</v>
      </c>
      <c r="O1111" t="s">
        <v>29</v>
      </c>
      <c r="P1111" t="s">
        <v>29</v>
      </c>
      <c r="Q1111" t="s">
        <v>29</v>
      </c>
      <c r="R1111">
        <v>304</v>
      </c>
      <c r="S1111">
        <v>17.22</v>
      </c>
      <c r="T1111">
        <v>4.5999999999999996</v>
      </c>
      <c r="U1111">
        <v>4.2</v>
      </c>
      <c r="V1111" t="s">
        <v>46</v>
      </c>
    </row>
    <row r="1112" spans="1:22" x14ac:dyDescent="0.35">
      <c r="A1112" s="1">
        <v>45449</v>
      </c>
      <c r="B1112" t="s">
        <v>64</v>
      </c>
      <c r="C1112" s="2">
        <v>0.6889467592592593</v>
      </c>
      <c r="D1112" t="s">
        <v>2459</v>
      </c>
      <c r="E1112" t="s">
        <v>41</v>
      </c>
      <c r="F1112" t="s">
        <v>2460</v>
      </c>
      <c r="G1112" t="s">
        <v>26</v>
      </c>
      <c r="H1112" t="s">
        <v>293</v>
      </c>
      <c r="I1112" t="s">
        <v>202</v>
      </c>
      <c r="J1112">
        <v>8.4</v>
      </c>
      <c r="K1112">
        <v>27.6</v>
      </c>
      <c r="L1112" t="s">
        <v>29</v>
      </c>
      <c r="M1112" t="s">
        <v>29</v>
      </c>
      <c r="N1112" t="s">
        <v>29</v>
      </c>
      <c r="O1112" t="s">
        <v>29</v>
      </c>
      <c r="P1112" t="s">
        <v>29</v>
      </c>
      <c r="Q1112" t="s">
        <v>29</v>
      </c>
      <c r="R1112">
        <v>119</v>
      </c>
      <c r="S1112">
        <v>13.99</v>
      </c>
      <c r="T1112">
        <v>4.3</v>
      </c>
      <c r="U1112">
        <v>4.2</v>
      </c>
      <c r="V1112" t="s">
        <v>38</v>
      </c>
    </row>
    <row r="1113" spans="1:22" x14ac:dyDescent="0.35">
      <c r="A1113" s="1">
        <v>45449</v>
      </c>
      <c r="B1113" t="s">
        <v>64</v>
      </c>
      <c r="C1113" s="2">
        <v>0.63656250000000003</v>
      </c>
      <c r="D1113" t="s">
        <v>2461</v>
      </c>
      <c r="E1113" t="s">
        <v>117</v>
      </c>
      <c r="F1113" t="s">
        <v>2462</v>
      </c>
      <c r="G1113" t="s">
        <v>50</v>
      </c>
      <c r="H1113" t="s">
        <v>197</v>
      </c>
      <c r="I1113" t="s">
        <v>552</v>
      </c>
      <c r="J1113">
        <v>12.6</v>
      </c>
      <c r="K1113" t="s">
        <v>29</v>
      </c>
      <c r="L1113">
        <v>1</v>
      </c>
      <c r="M1113" t="s">
        <v>121</v>
      </c>
      <c r="N1113" t="s">
        <v>29</v>
      </c>
      <c r="O1113" t="s">
        <v>29</v>
      </c>
      <c r="P1113" t="s">
        <v>29</v>
      </c>
      <c r="Q1113" t="s">
        <v>29</v>
      </c>
      <c r="R1113" t="s">
        <v>29</v>
      </c>
      <c r="S1113" t="s">
        <v>29</v>
      </c>
      <c r="T1113" t="s">
        <v>29</v>
      </c>
      <c r="U1113" t="s">
        <v>29</v>
      </c>
      <c r="V1113" t="s">
        <v>29</v>
      </c>
    </row>
    <row r="1114" spans="1:22" x14ac:dyDescent="0.35">
      <c r="A1114" s="1">
        <v>45345</v>
      </c>
      <c r="B1114" t="s">
        <v>59</v>
      </c>
      <c r="C1114" s="2">
        <v>0.84010416666666665</v>
      </c>
      <c r="D1114" t="s">
        <v>2463</v>
      </c>
      <c r="E1114" t="s">
        <v>41</v>
      </c>
      <c r="F1114" t="s">
        <v>2464</v>
      </c>
      <c r="G1114" t="s">
        <v>43</v>
      </c>
      <c r="H1114" t="s">
        <v>76</v>
      </c>
      <c r="I1114" t="s">
        <v>555</v>
      </c>
      <c r="J1114">
        <v>10.1</v>
      </c>
      <c r="K1114">
        <v>26.6</v>
      </c>
      <c r="L1114" t="s">
        <v>29</v>
      </c>
      <c r="M1114" t="s">
        <v>29</v>
      </c>
      <c r="N1114" t="s">
        <v>29</v>
      </c>
      <c r="O1114" t="s">
        <v>29</v>
      </c>
      <c r="P1114" t="s">
        <v>29</v>
      </c>
      <c r="Q1114" t="s">
        <v>29</v>
      </c>
      <c r="R1114">
        <v>124</v>
      </c>
      <c r="S1114">
        <v>41.64</v>
      </c>
      <c r="T1114">
        <v>3.8</v>
      </c>
      <c r="U1114">
        <v>4.5999999999999996</v>
      </c>
      <c r="V1114" t="s">
        <v>46</v>
      </c>
    </row>
    <row r="1115" spans="1:22" x14ac:dyDescent="0.35">
      <c r="A1115" s="1">
        <v>45632</v>
      </c>
      <c r="B1115" t="s">
        <v>78</v>
      </c>
      <c r="C1115" s="2">
        <v>0.70370370370370372</v>
      </c>
      <c r="D1115" t="s">
        <v>2465</v>
      </c>
      <c r="E1115" t="s">
        <v>41</v>
      </c>
      <c r="F1115" t="s">
        <v>2466</v>
      </c>
      <c r="G1115" t="s">
        <v>67</v>
      </c>
      <c r="H1115" t="s">
        <v>103</v>
      </c>
      <c r="I1115" t="s">
        <v>96</v>
      </c>
      <c r="J1115">
        <v>13.4</v>
      </c>
      <c r="K1115">
        <v>31.1</v>
      </c>
      <c r="L1115" t="s">
        <v>29</v>
      </c>
      <c r="M1115" t="s">
        <v>29</v>
      </c>
      <c r="N1115" t="s">
        <v>29</v>
      </c>
      <c r="O1115" t="s">
        <v>29</v>
      </c>
      <c r="P1115" t="s">
        <v>29</v>
      </c>
      <c r="Q1115" t="s">
        <v>29</v>
      </c>
      <c r="R1115">
        <v>319</v>
      </c>
      <c r="S1115">
        <v>39.03</v>
      </c>
      <c r="T1115">
        <v>3.7</v>
      </c>
      <c r="U1115">
        <v>4.4000000000000004</v>
      </c>
      <c r="V1115" t="s">
        <v>38</v>
      </c>
    </row>
    <row r="1116" spans="1:22" x14ac:dyDescent="0.35">
      <c r="A1116" s="1">
        <v>45359</v>
      </c>
      <c r="B1116" t="s">
        <v>22</v>
      </c>
      <c r="C1116" s="2">
        <v>0.8339699074074074</v>
      </c>
      <c r="D1116" t="s">
        <v>2467</v>
      </c>
      <c r="E1116" t="s">
        <v>93</v>
      </c>
      <c r="F1116" t="s">
        <v>2468</v>
      </c>
      <c r="G1116" t="s">
        <v>43</v>
      </c>
      <c r="H1116" t="s">
        <v>582</v>
      </c>
      <c r="I1116" t="s">
        <v>164</v>
      </c>
      <c r="J1116">
        <v>10.8</v>
      </c>
      <c r="K1116" t="s">
        <v>29</v>
      </c>
      <c r="L1116" t="s">
        <v>29</v>
      </c>
      <c r="M1116" t="s">
        <v>29</v>
      </c>
      <c r="N1116">
        <v>1</v>
      </c>
      <c r="O1116" t="s">
        <v>169</v>
      </c>
      <c r="P1116" t="s">
        <v>29</v>
      </c>
      <c r="Q1116" t="s">
        <v>29</v>
      </c>
      <c r="R1116" t="s">
        <v>29</v>
      </c>
      <c r="S1116" t="s">
        <v>29</v>
      </c>
      <c r="T1116" t="s">
        <v>29</v>
      </c>
      <c r="U1116" t="s">
        <v>29</v>
      </c>
      <c r="V1116" t="s">
        <v>29</v>
      </c>
    </row>
    <row r="1117" spans="1:22" x14ac:dyDescent="0.35">
      <c r="A1117" s="1">
        <v>45406</v>
      </c>
      <c r="B1117" t="s">
        <v>154</v>
      </c>
      <c r="C1117" s="2">
        <v>0.48083333333333333</v>
      </c>
      <c r="D1117" t="s">
        <v>2469</v>
      </c>
      <c r="E1117" t="s">
        <v>41</v>
      </c>
      <c r="F1117" t="s">
        <v>2470</v>
      </c>
      <c r="G1117" t="s">
        <v>67</v>
      </c>
      <c r="H1117" t="s">
        <v>281</v>
      </c>
      <c r="I1117" t="s">
        <v>36</v>
      </c>
      <c r="J1117">
        <v>5.3</v>
      </c>
      <c r="K1117">
        <v>35.4</v>
      </c>
      <c r="L1117" t="s">
        <v>29</v>
      </c>
      <c r="M1117" t="s">
        <v>29</v>
      </c>
      <c r="N1117" t="s">
        <v>29</v>
      </c>
      <c r="O1117" t="s">
        <v>29</v>
      </c>
      <c r="P1117" t="s">
        <v>29</v>
      </c>
      <c r="Q1117" t="s">
        <v>29</v>
      </c>
      <c r="R1117">
        <v>86</v>
      </c>
      <c r="S1117">
        <v>45.52</v>
      </c>
      <c r="T1117">
        <v>4.3</v>
      </c>
      <c r="U1117">
        <v>4.5999999999999996</v>
      </c>
      <c r="V1117" t="s">
        <v>46</v>
      </c>
    </row>
    <row r="1118" spans="1:22" x14ac:dyDescent="0.35">
      <c r="A1118" s="1">
        <v>45635</v>
      </c>
      <c r="B1118" t="s">
        <v>78</v>
      </c>
      <c r="C1118" s="2">
        <v>0.78383101851851855</v>
      </c>
      <c r="D1118" t="s">
        <v>2471</v>
      </c>
      <c r="E1118" t="s">
        <v>41</v>
      </c>
      <c r="F1118" t="s">
        <v>2472</v>
      </c>
      <c r="G1118" t="s">
        <v>56</v>
      </c>
      <c r="H1118" t="s">
        <v>73</v>
      </c>
      <c r="I1118" t="s">
        <v>119</v>
      </c>
      <c r="J1118">
        <v>14</v>
      </c>
      <c r="K1118">
        <v>23.7</v>
      </c>
      <c r="L1118" t="s">
        <v>29</v>
      </c>
      <c r="M1118" t="s">
        <v>29</v>
      </c>
      <c r="N1118" t="s">
        <v>29</v>
      </c>
      <c r="O1118" t="s">
        <v>29</v>
      </c>
      <c r="P1118" t="s">
        <v>29</v>
      </c>
      <c r="Q1118" t="s">
        <v>29</v>
      </c>
      <c r="R1118">
        <v>198</v>
      </c>
      <c r="S1118">
        <v>42.44</v>
      </c>
      <c r="T1118">
        <v>4.5999999999999996</v>
      </c>
      <c r="U1118">
        <v>4.4000000000000004</v>
      </c>
      <c r="V1118" t="s">
        <v>38</v>
      </c>
    </row>
    <row r="1119" spans="1:22" x14ac:dyDescent="0.35">
      <c r="A1119" s="1">
        <v>45459</v>
      </c>
      <c r="B1119" t="s">
        <v>64</v>
      </c>
      <c r="C1119" s="2">
        <v>0.74405092592592592</v>
      </c>
      <c r="D1119" t="s">
        <v>2473</v>
      </c>
      <c r="E1119" t="s">
        <v>93</v>
      </c>
      <c r="F1119" t="s">
        <v>2474</v>
      </c>
      <c r="G1119" t="s">
        <v>34</v>
      </c>
      <c r="H1119" t="s">
        <v>193</v>
      </c>
      <c r="I1119" t="s">
        <v>374</v>
      </c>
      <c r="J1119">
        <v>8.1999999999999993</v>
      </c>
      <c r="K1119" t="s">
        <v>29</v>
      </c>
      <c r="L1119" t="s">
        <v>29</v>
      </c>
      <c r="M1119" t="s">
        <v>29</v>
      </c>
      <c r="N1119">
        <v>1</v>
      </c>
      <c r="O1119" t="s">
        <v>115</v>
      </c>
      <c r="P1119" t="s">
        <v>29</v>
      </c>
      <c r="Q1119" t="s">
        <v>29</v>
      </c>
      <c r="R1119" t="s">
        <v>29</v>
      </c>
      <c r="S1119" t="s">
        <v>29</v>
      </c>
      <c r="T1119" t="s">
        <v>29</v>
      </c>
      <c r="U1119" t="s">
        <v>29</v>
      </c>
      <c r="V1119" t="s">
        <v>29</v>
      </c>
    </row>
    <row r="1120" spans="1:22" x14ac:dyDescent="0.35">
      <c r="A1120" s="1">
        <v>45590</v>
      </c>
      <c r="B1120" t="s">
        <v>47</v>
      </c>
      <c r="C1120" s="2">
        <v>0.86075231481481485</v>
      </c>
      <c r="D1120" t="s">
        <v>2475</v>
      </c>
      <c r="E1120" t="s">
        <v>41</v>
      </c>
      <c r="F1120" t="s">
        <v>2476</v>
      </c>
      <c r="G1120" t="s">
        <v>26</v>
      </c>
      <c r="H1120" t="s">
        <v>45</v>
      </c>
      <c r="I1120" t="s">
        <v>63</v>
      </c>
      <c r="J1120">
        <v>5.2</v>
      </c>
      <c r="K1120">
        <v>22.2</v>
      </c>
      <c r="L1120" t="s">
        <v>29</v>
      </c>
      <c r="M1120" t="s">
        <v>29</v>
      </c>
      <c r="N1120" t="s">
        <v>29</v>
      </c>
      <c r="O1120" t="s">
        <v>29</v>
      </c>
      <c r="P1120" t="s">
        <v>29</v>
      </c>
      <c r="Q1120" t="s">
        <v>29</v>
      </c>
      <c r="R1120">
        <v>377</v>
      </c>
      <c r="S1120">
        <v>40.01</v>
      </c>
      <c r="T1120">
        <v>3.6</v>
      </c>
      <c r="U1120">
        <v>3.6</v>
      </c>
      <c r="V1120" t="s">
        <v>38</v>
      </c>
    </row>
    <row r="1121" spans="1:22" x14ac:dyDescent="0.35">
      <c r="A1121" s="1">
        <v>45546</v>
      </c>
      <c r="B1121" t="s">
        <v>53</v>
      </c>
      <c r="C1121" s="2">
        <v>0.77726851851851853</v>
      </c>
      <c r="D1121" t="s">
        <v>2477</v>
      </c>
      <c r="E1121" t="s">
        <v>41</v>
      </c>
      <c r="F1121" t="s">
        <v>2478</v>
      </c>
      <c r="G1121" t="s">
        <v>43</v>
      </c>
      <c r="H1121" t="s">
        <v>349</v>
      </c>
      <c r="I1121" t="s">
        <v>266</v>
      </c>
      <c r="J1121">
        <v>7.1</v>
      </c>
      <c r="K1121">
        <v>30.4</v>
      </c>
      <c r="L1121" t="s">
        <v>29</v>
      </c>
      <c r="M1121" t="s">
        <v>29</v>
      </c>
      <c r="N1121" t="s">
        <v>29</v>
      </c>
      <c r="O1121" t="s">
        <v>29</v>
      </c>
      <c r="P1121" t="s">
        <v>29</v>
      </c>
      <c r="Q1121" t="s">
        <v>29</v>
      </c>
      <c r="R1121">
        <v>229</v>
      </c>
      <c r="S1121">
        <v>40.270000000000003</v>
      </c>
      <c r="T1121">
        <v>4.4000000000000004</v>
      </c>
      <c r="U1121">
        <v>4.7</v>
      </c>
      <c r="V1121" t="s">
        <v>84</v>
      </c>
    </row>
    <row r="1122" spans="1:22" x14ac:dyDescent="0.35">
      <c r="A1122" s="1">
        <v>45544</v>
      </c>
      <c r="B1122" t="s">
        <v>53</v>
      </c>
      <c r="C1122" s="2">
        <v>0.43392361111111111</v>
      </c>
      <c r="D1122" t="s">
        <v>2479</v>
      </c>
      <c r="E1122" t="s">
        <v>32</v>
      </c>
      <c r="F1122" t="s">
        <v>2480</v>
      </c>
      <c r="G1122" t="s">
        <v>67</v>
      </c>
      <c r="H1122" t="s">
        <v>555</v>
      </c>
      <c r="I1122" t="s">
        <v>106</v>
      </c>
      <c r="J1122">
        <v>7.1</v>
      </c>
      <c r="K1122">
        <v>18.3</v>
      </c>
      <c r="L1122" t="s">
        <v>29</v>
      </c>
      <c r="M1122" t="s">
        <v>29</v>
      </c>
      <c r="N1122" t="s">
        <v>29</v>
      </c>
      <c r="O1122" t="s">
        <v>29</v>
      </c>
      <c r="P1122">
        <v>1</v>
      </c>
      <c r="Q1122" t="s">
        <v>83</v>
      </c>
      <c r="R1122">
        <v>865</v>
      </c>
      <c r="S1122">
        <v>11.78</v>
      </c>
      <c r="T1122" t="s">
        <v>29</v>
      </c>
      <c r="U1122" t="s">
        <v>29</v>
      </c>
      <c r="V1122" t="s">
        <v>38</v>
      </c>
    </row>
    <row r="1123" spans="1:22" x14ac:dyDescent="0.35">
      <c r="A1123" s="1">
        <v>45385</v>
      </c>
      <c r="B1123" t="s">
        <v>154</v>
      </c>
      <c r="C1123" s="2">
        <v>0.72741898148148143</v>
      </c>
      <c r="D1123" t="s">
        <v>2481</v>
      </c>
      <c r="E1123" t="s">
        <v>41</v>
      </c>
      <c r="F1123" t="s">
        <v>2482</v>
      </c>
      <c r="G1123" t="s">
        <v>67</v>
      </c>
      <c r="H1123" t="s">
        <v>88</v>
      </c>
      <c r="I1123" t="s">
        <v>44</v>
      </c>
      <c r="J1123">
        <v>10</v>
      </c>
      <c r="K1123">
        <v>25.9</v>
      </c>
      <c r="L1123" t="s">
        <v>29</v>
      </c>
      <c r="M1123" t="s">
        <v>29</v>
      </c>
      <c r="N1123" t="s">
        <v>29</v>
      </c>
      <c r="O1123" t="s">
        <v>29</v>
      </c>
      <c r="P1123" t="s">
        <v>29</v>
      </c>
      <c r="Q1123" t="s">
        <v>29</v>
      </c>
      <c r="R1123">
        <v>300</v>
      </c>
      <c r="S1123">
        <v>18.059999999999999</v>
      </c>
      <c r="T1123">
        <v>4.0999999999999996</v>
      </c>
      <c r="U1123">
        <v>4.2</v>
      </c>
      <c r="V1123" t="s">
        <v>149</v>
      </c>
    </row>
    <row r="1124" spans="1:22" x14ac:dyDescent="0.35">
      <c r="A1124" s="1">
        <v>45377</v>
      </c>
      <c r="B1124" t="s">
        <v>22</v>
      </c>
      <c r="C1124" s="2">
        <v>0.56590277777777775</v>
      </c>
      <c r="D1124" t="s">
        <v>2483</v>
      </c>
      <c r="E1124" t="s">
        <v>41</v>
      </c>
      <c r="F1124" t="s">
        <v>2484</v>
      </c>
      <c r="G1124" t="s">
        <v>43</v>
      </c>
      <c r="H1124" t="s">
        <v>800</v>
      </c>
      <c r="I1124" t="s">
        <v>194</v>
      </c>
      <c r="J1124">
        <v>3.2</v>
      </c>
      <c r="K1124">
        <v>30.6</v>
      </c>
      <c r="L1124" t="s">
        <v>29</v>
      </c>
      <c r="M1124" t="s">
        <v>29</v>
      </c>
      <c r="N1124" t="s">
        <v>29</v>
      </c>
      <c r="O1124" t="s">
        <v>29</v>
      </c>
      <c r="P1124" t="s">
        <v>29</v>
      </c>
      <c r="Q1124" t="s">
        <v>29</v>
      </c>
      <c r="R1124">
        <v>285</v>
      </c>
      <c r="S1124">
        <v>48.15</v>
      </c>
      <c r="T1124">
        <v>4.2</v>
      </c>
      <c r="U1124">
        <v>4.9000000000000004</v>
      </c>
      <c r="V1124" t="s">
        <v>149</v>
      </c>
    </row>
    <row r="1125" spans="1:22" x14ac:dyDescent="0.35">
      <c r="A1125" s="1">
        <v>45563</v>
      </c>
      <c r="B1125" t="s">
        <v>53</v>
      </c>
      <c r="C1125" s="2">
        <v>0.4432638888888889</v>
      </c>
      <c r="D1125" t="s">
        <v>2485</v>
      </c>
      <c r="E1125" t="s">
        <v>41</v>
      </c>
      <c r="F1125" t="s">
        <v>2486</v>
      </c>
      <c r="G1125" t="s">
        <v>67</v>
      </c>
      <c r="H1125" t="s">
        <v>489</v>
      </c>
      <c r="I1125" t="s">
        <v>299</v>
      </c>
      <c r="J1125">
        <v>3.3</v>
      </c>
      <c r="K1125">
        <v>31.8</v>
      </c>
      <c r="L1125" t="s">
        <v>29</v>
      </c>
      <c r="M1125" t="s">
        <v>29</v>
      </c>
      <c r="N1125" t="s">
        <v>29</v>
      </c>
      <c r="O1125" t="s">
        <v>29</v>
      </c>
      <c r="P1125" t="s">
        <v>29</v>
      </c>
      <c r="Q1125" t="s">
        <v>29</v>
      </c>
      <c r="R1125">
        <v>411</v>
      </c>
      <c r="S1125">
        <v>44.04</v>
      </c>
      <c r="T1125">
        <v>4.3</v>
      </c>
      <c r="U1125">
        <v>4.8</v>
      </c>
      <c r="V1125" t="s">
        <v>84</v>
      </c>
    </row>
    <row r="1126" spans="1:22" x14ac:dyDescent="0.35">
      <c r="A1126" s="1">
        <v>45583</v>
      </c>
      <c r="B1126" t="s">
        <v>47</v>
      </c>
      <c r="C1126" s="2">
        <v>0.49751157407407409</v>
      </c>
      <c r="D1126" t="s">
        <v>2487</v>
      </c>
      <c r="E1126" t="s">
        <v>117</v>
      </c>
      <c r="F1126" t="s">
        <v>2488</v>
      </c>
      <c r="G1126" t="s">
        <v>43</v>
      </c>
      <c r="H1126" t="s">
        <v>68</v>
      </c>
      <c r="I1126" t="s">
        <v>36</v>
      </c>
      <c r="J1126">
        <v>11.1</v>
      </c>
      <c r="K1126" t="s">
        <v>29</v>
      </c>
      <c r="L1126">
        <v>1</v>
      </c>
      <c r="M1126" t="s">
        <v>490</v>
      </c>
      <c r="N1126" t="s">
        <v>29</v>
      </c>
      <c r="O1126" t="s">
        <v>29</v>
      </c>
      <c r="P1126" t="s">
        <v>29</v>
      </c>
      <c r="Q1126" t="s">
        <v>29</v>
      </c>
      <c r="R1126" t="s">
        <v>29</v>
      </c>
      <c r="S1126" t="s">
        <v>29</v>
      </c>
      <c r="T1126" t="s">
        <v>29</v>
      </c>
      <c r="U1126" t="s">
        <v>29</v>
      </c>
      <c r="V1126" t="s">
        <v>29</v>
      </c>
    </row>
    <row r="1127" spans="1:22" x14ac:dyDescent="0.35">
      <c r="A1127" s="1">
        <v>45432</v>
      </c>
      <c r="B1127" t="s">
        <v>122</v>
      </c>
      <c r="C1127" s="2">
        <v>0.52630787037037041</v>
      </c>
      <c r="D1127" t="s">
        <v>2489</v>
      </c>
      <c r="E1127" t="s">
        <v>41</v>
      </c>
      <c r="F1127" t="s">
        <v>2490</v>
      </c>
      <c r="G1127" t="s">
        <v>26</v>
      </c>
      <c r="H1127" t="s">
        <v>315</v>
      </c>
      <c r="I1127" t="s">
        <v>242</v>
      </c>
      <c r="J1127">
        <v>12</v>
      </c>
      <c r="K1127">
        <v>23.6</v>
      </c>
      <c r="L1127" t="s">
        <v>29</v>
      </c>
      <c r="M1127" t="s">
        <v>29</v>
      </c>
      <c r="N1127" t="s">
        <v>29</v>
      </c>
      <c r="O1127" t="s">
        <v>29</v>
      </c>
      <c r="P1127" t="s">
        <v>29</v>
      </c>
      <c r="Q1127" t="s">
        <v>29</v>
      </c>
      <c r="R1127">
        <v>406</v>
      </c>
      <c r="S1127">
        <v>17.11</v>
      </c>
      <c r="T1127">
        <v>4.4000000000000004</v>
      </c>
      <c r="U1127">
        <v>4.4000000000000004</v>
      </c>
      <c r="V1127" t="s">
        <v>84</v>
      </c>
    </row>
    <row r="1128" spans="1:22" x14ac:dyDescent="0.35">
      <c r="A1128" s="1">
        <v>45300</v>
      </c>
      <c r="B1128" t="s">
        <v>150</v>
      </c>
      <c r="C1128" s="2">
        <v>0.76951388888888894</v>
      </c>
      <c r="D1128" t="s">
        <v>2491</v>
      </c>
      <c r="E1128" t="s">
        <v>24</v>
      </c>
      <c r="F1128" t="s">
        <v>2492</v>
      </c>
      <c r="G1128" t="s">
        <v>50</v>
      </c>
      <c r="H1128" t="s">
        <v>653</v>
      </c>
      <c r="I1128" t="s">
        <v>350</v>
      </c>
      <c r="J1128" t="s">
        <v>29</v>
      </c>
      <c r="K1128" t="s">
        <v>29</v>
      </c>
      <c r="L1128" t="s">
        <v>29</v>
      </c>
      <c r="M1128" t="s">
        <v>29</v>
      </c>
      <c r="N1128" t="s">
        <v>29</v>
      </c>
      <c r="O1128" t="s">
        <v>29</v>
      </c>
      <c r="P1128" t="s">
        <v>29</v>
      </c>
      <c r="Q1128" t="s">
        <v>29</v>
      </c>
      <c r="R1128" t="s">
        <v>29</v>
      </c>
      <c r="S1128" t="s">
        <v>29</v>
      </c>
      <c r="T1128" t="s">
        <v>29</v>
      </c>
      <c r="U1128" t="s">
        <v>29</v>
      </c>
      <c r="V1128" t="s">
        <v>29</v>
      </c>
    </row>
    <row r="1129" spans="1:22" x14ac:dyDescent="0.35">
      <c r="A1129" s="1">
        <v>45428</v>
      </c>
      <c r="B1129" t="s">
        <v>122</v>
      </c>
      <c r="C1129" s="2">
        <v>0.37782407407407409</v>
      </c>
      <c r="D1129" t="s">
        <v>2493</v>
      </c>
      <c r="E1129" t="s">
        <v>41</v>
      </c>
      <c r="F1129" t="s">
        <v>2494</v>
      </c>
      <c r="G1129" t="s">
        <v>67</v>
      </c>
      <c r="H1129" t="s">
        <v>36</v>
      </c>
      <c r="I1129" t="s">
        <v>201</v>
      </c>
      <c r="J1129">
        <v>4.4000000000000004</v>
      </c>
      <c r="K1129">
        <v>32.9</v>
      </c>
      <c r="L1129" t="s">
        <v>29</v>
      </c>
      <c r="M1129" t="s">
        <v>29</v>
      </c>
      <c r="N1129" t="s">
        <v>29</v>
      </c>
      <c r="O1129" t="s">
        <v>29</v>
      </c>
      <c r="P1129" t="s">
        <v>29</v>
      </c>
      <c r="Q1129" t="s">
        <v>29</v>
      </c>
      <c r="R1129">
        <v>400</v>
      </c>
      <c r="S1129">
        <v>25.85</v>
      </c>
      <c r="T1129">
        <v>3.4</v>
      </c>
      <c r="U1129">
        <v>4.3</v>
      </c>
      <c r="V1129" t="s">
        <v>149</v>
      </c>
    </row>
    <row r="1130" spans="1:22" x14ac:dyDescent="0.35">
      <c r="A1130" s="1">
        <v>45326</v>
      </c>
      <c r="B1130" t="s">
        <v>59</v>
      </c>
      <c r="C1130" s="2">
        <v>0.30832175925925925</v>
      </c>
      <c r="D1130" t="s">
        <v>2495</v>
      </c>
      <c r="E1130" t="s">
        <v>32</v>
      </c>
      <c r="F1130" t="s">
        <v>2496</v>
      </c>
      <c r="G1130" t="s">
        <v>67</v>
      </c>
      <c r="H1130" t="s">
        <v>489</v>
      </c>
      <c r="I1130" t="s">
        <v>653</v>
      </c>
      <c r="J1130">
        <v>4.7</v>
      </c>
      <c r="K1130">
        <v>10.7</v>
      </c>
      <c r="L1130" t="s">
        <v>29</v>
      </c>
      <c r="M1130" t="s">
        <v>29</v>
      </c>
      <c r="N1130" t="s">
        <v>29</v>
      </c>
      <c r="O1130" t="s">
        <v>29</v>
      </c>
      <c r="P1130">
        <v>1</v>
      </c>
      <c r="Q1130" t="s">
        <v>83</v>
      </c>
      <c r="R1130">
        <v>315</v>
      </c>
      <c r="S1130">
        <v>13.73</v>
      </c>
      <c r="T1130" t="s">
        <v>29</v>
      </c>
      <c r="U1130" t="s">
        <v>29</v>
      </c>
      <c r="V1130" t="s">
        <v>38</v>
      </c>
    </row>
    <row r="1131" spans="1:22" x14ac:dyDescent="0.35">
      <c r="A1131" s="1">
        <v>45513</v>
      </c>
      <c r="B1131" t="s">
        <v>39</v>
      </c>
      <c r="C1131" s="2">
        <v>0.60037037037037033</v>
      </c>
      <c r="D1131" t="s">
        <v>2497</v>
      </c>
      <c r="E1131" t="s">
        <v>93</v>
      </c>
      <c r="F1131" t="s">
        <v>2498</v>
      </c>
      <c r="G1131" t="s">
        <v>146</v>
      </c>
      <c r="H1131" t="s">
        <v>714</v>
      </c>
      <c r="I1131" t="s">
        <v>36</v>
      </c>
      <c r="J1131">
        <v>6.3</v>
      </c>
      <c r="K1131" t="s">
        <v>29</v>
      </c>
      <c r="L1131" t="s">
        <v>29</v>
      </c>
      <c r="M1131" t="s">
        <v>29</v>
      </c>
      <c r="N1131">
        <v>1</v>
      </c>
      <c r="O1131" t="s">
        <v>337</v>
      </c>
      <c r="P1131" t="s">
        <v>29</v>
      </c>
      <c r="Q1131" t="s">
        <v>29</v>
      </c>
      <c r="R1131" t="s">
        <v>29</v>
      </c>
      <c r="S1131" t="s">
        <v>29</v>
      </c>
      <c r="T1131" t="s">
        <v>29</v>
      </c>
      <c r="U1131" t="s">
        <v>29</v>
      </c>
      <c r="V1131" t="s">
        <v>29</v>
      </c>
    </row>
    <row r="1132" spans="1:22" x14ac:dyDescent="0.35">
      <c r="A1132" s="1">
        <v>45335</v>
      </c>
      <c r="B1132" t="s">
        <v>59</v>
      </c>
      <c r="C1132" s="2">
        <v>0.27403935185185185</v>
      </c>
      <c r="D1132" t="s">
        <v>2499</v>
      </c>
      <c r="E1132" t="s">
        <v>41</v>
      </c>
      <c r="F1132" t="s">
        <v>2500</v>
      </c>
      <c r="G1132" t="s">
        <v>34</v>
      </c>
      <c r="H1132" t="s">
        <v>299</v>
      </c>
      <c r="I1132" t="s">
        <v>296</v>
      </c>
      <c r="J1132">
        <v>8.6</v>
      </c>
      <c r="K1132">
        <v>42.5</v>
      </c>
      <c r="L1132" t="s">
        <v>29</v>
      </c>
      <c r="M1132" t="s">
        <v>29</v>
      </c>
      <c r="N1132" t="s">
        <v>29</v>
      </c>
      <c r="O1132" t="s">
        <v>29</v>
      </c>
      <c r="P1132" t="s">
        <v>29</v>
      </c>
      <c r="Q1132" t="s">
        <v>29</v>
      </c>
      <c r="R1132">
        <v>187</v>
      </c>
      <c r="S1132">
        <v>45.78</v>
      </c>
      <c r="T1132">
        <v>4.5999999999999996</v>
      </c>
      <c r="U1132">
        <v>4.5</v>
      </c>
      <c r="V1132" t="s">
        <v>38</v>
      </c>
    </row>
    <row r="1133" spans="1:22" x14ac:dyDescent="0.35">
      <c r="A1133" s="1">
        <v>45645</v>
      </c>
      <c r="B1133" t="s">
        <v>78</v>
      </c>
      <c r="C1133" s="2">
        <v>0.95310185185185181</v>
      </c>
      <c r="D1133" t="s">
        <v>2501</v>
      </c>
      <c r="E1133" t="s">
        <v>41</v>
      </c>
      <c r="F1133" t="s">
        <v>2502</v>
      </c>
      <c r="G1133" t="s">
        <v>43</v>
      </c>
      <c r="H1133" t="s">
        <v>172</v>
      </c>
      <c r="I1133" t="s">
        <v>627</v>
      </c>
      <c r="J1133">
        <v>15</v>
      </c>
      <c r="K1133">
        <v>25.2</v>
      </c>
      <c r="L1133" t="s">
        <v>29</v>
      </c>
      <c r="M1133" t="s">
        <v>29</v>
      </c>
      <c r="N1133" t="s">
        <v>29</v>
      </c>
      <c r="O1133" t="s">
        <v>29</v>
      </c>
      <c r="P1133" t="s">
        <v>29</v>
      </c>
      <c r="Q1133" t="s">
        <v>29</v>
      </c>
      <c r="R1133">
        <v>166</v>
      </c>
      <c r="S1133">
        <v>7.81</v>
      </c>
      <c r="T1133">
        <v>3.8</v>
      </c>
      <c r="U1133">
        <v>4.2</v>
      </c>
      <c r="V1133" t="s">
        <v>38</v>
      </c>
    </row>
    <row r="1134" spans="1:22" x14ac:dyDescent="0.35">
      <c r="A1134" s="1">
        <v>45532</v>
      </c>
      <c r="B1134" t="s">
        <v>39</v>
      </c>
      <c r="C1134" s="2">
        <v>0.75045138888888885</v>
      </c>
      <c r="D1134" t="s">
        <v>2503</v>
      </c>
      <c r="E1134" t="s">
        <v>41</v>
      </c>
      <c r="F1134" t="s">
        <v>2504</v>
      </c>
      <c r="G1134" t="s">
        <v>50</v>
      </c>
      <c r="H1134" t="s">
        <v>582</v>
      </c>
      <c r="I1134" t="s">
        <v>167</v>
      </c>
      <c r="J1134">
        <v>12.4</v>
      </c>
      <c r="K1134">
        <v>28.2</v>
      </c>
      <c r="L1134" t="s">
        <v>29</v>
      </c>
      <c r="M1134" t="s">
        <v>29</v>
      </c>
      <c r="N1134" t="s">
        <v>29</v>
      </c>
      <c r="O1134" t="s">
        <v>29</v>
      </c>
      <c r="P1134" t="s">
        <v>29</v>
      </c>
      <c r="Q1134" t="s">
        <v>29</v>
      </c>
      <c r="R1134">
        <v>221</v>
      </c>
      <c r="S1134">
        <v>27.16</v>
      </c>
      <c r="T1134">
        <v>3.8</v>
      </c>
      <c r="U1134">
        <v>3.8</v>
      </c>
      <c r="V1134" t="s">
        <v>38</v>
      </c>
    </row>
    <row r="1135" spans="1:22" x14ac:dyDescent="0.35">
      <c r="A1135" s="1">
        <v>45399</v>
      </c>
      <c r="B1135" t="s">
        <v>154</v>
      </c>
      <c r="C1135" s="2">
        <v>0.48875000000000002</v>
      </c>
      <c r="D1135" t="s">
        <v>2505</v>
      </c>
      <c r="E1135" t="s">
        <v>41</v>
      </c>
      <c r="F1135" t="s">
        <v>2506</v>
      </c>
      <c r="G1135" t="s">
        <v>67</v>
      </c>
      <c r="H1135" t="s">
        <v>120</v>
      </c>
      <c r="I1135" t="s">
        <v>91</v>
      </c>
      <c r="J1135">
        <v>14.9</v>
      </c>
      <c r="K1135">
        <v>18.100000000000001</v>
      </c>
      <c r="L1135" t="s">
        <v>29</v>
      </c>
      <c r="M1135" t="s">
        <v>29</v>
      </c>
      <c r="N1135" t="s">
        <v>29</v>
      </c>
      <c r="O1135" t="s">
        <v>29</v>
      </c>
      <c r="P1135" t="s">
        <v>29</v>
      </c>
      <c r="Q1135" t="s">
        <v>29</v>
      </c>
      <c r="R1135">
        <v>832</v>
      </c>
      <c r="S1135">
        <v>3.41</v>
      </c>
      <c r="T1135">
        <v>4.2</v>
      </c>
      <c r="U1135">
        <v>4.5999999999999996</v>
      </c>
      <c r="V1135" t="s">
        <v>38</v>
      </c>
    </row>
    <row r="1136" spans="1:22" x14ac:dyDescent="0.35">
      <c r="A1136" s="1">
        <v>45598</v>
      </c>
      <c r="B1136" t="s">
        <v>30</v>
      </c>
      <c r="C1136" s="2">
        <v>0.41533564814814816</v>
      </c>
      <c r="D1136" t="s">
        <v>2507</v>
      </c>
      <c r="E1136" t="s">
        <v>41</v>
      </c>
      <c r="F1136" t="s">
        <v>2508</v>
      </c>
      <c r="G1136" t="s">
        <v>34</v>
      </c>
      <c r="H1136" t="s">
        <v>76</v>
      </c>
      <c r="I1136" t="s">
        <v>962</v>
      </c>
      <c r="J1136">
        <v>11.5</v>
      </c>
      <c r="K1136">
        <v>27.5</v>
      </c>
      <c r="L1136" t="s">
        <v>29</v>
      </c>
      <c r="M1136" t="s">
        <v>29</v>
      </c>
      <c r="N1136" t="s">
        <v>29</v>
      </c>
      <c r="O1136" t="s">
        <v>29</v>
      </c>
      <c r="P1136" t="s">
        <v>29</v>
      </c>
      <c r="Q1136" t="s">
        <v>29</v>
      </c>
      <c r="R1136">
        <v>855</v>
      </c>
      <c r="S1136">
        <v>24.18</v>
      </c>
      <c r="T1136">
        <v>4.3</v>
      </c>
      <c r="U1136">
        <v>4.8</v>
      </c>
      <c r="V1136" t="s">
        <v>38</v>
      </c>
    </row>
    <row r="1137" spans="1:22" x14ac:dyDescent="0.35">
      <c r="A1137" s="1">
        <v>45371</v>
      </c>
      <c r="B1137" t="s">
        <v>22</v>
      </c>
      <c r="C1137" s="2">
        <v>0.44737268518518519</v>
      </c>
      <c r="D1137" t="s">
        <v>2509</v>
      </c>
      <c r="E1137" t="s">
        <v>41</v>
      </c>
      <c r="F1137" t="s">
        <v>2510</v>
      </c>
      <c r="G1137" t="s">
        <v>50</v>
      </c>
      <c r="H1137" t="s">
        <v>173</v>
      </c>
      <c r="I1137" t="s">
        <v>386</v>
      </c>
      <c r="J1137">
        <v>8.6999999999999993</v>
      </c>
      <c r="K1137">
        <v>27.5</v>
      </c>
      <c r="L1137" t="s">
        <v>29</v>
      </c>
      <c r="M1137" t="s">
        <v>29</v>
      </c>
      <c r="N1137" t="s">
        <v>29</v>
      </c>
      <c r="O1137" t="s">
        <v>29</v>
      </c>
      <c r="P1137" t="s">
        <v>29</v>
      </c>
      <c r="Q1137" t="s">
        <v>29</v>
      </c>
      <c r="R1137">
        <v>528</v>
      </c>
      <c r="S1137">
        <v>39.51</v>
      </c>
      <c r="T1137">
        <v>4</v>
      </c>
      <c r="U1137">
        <v>4.3</v>
      </c>
      <c r="V1137" t="s">
        <v>107</v>
      </c>
    </row>
    <row r="1138" spans="1:22" x14ac:dyDescent="0.35">
      <c r="A1138" s="1">
        <v>45432</v>
      </c>
      <c r="B1138" t="s">
        <v>122</v>
      </c>
      <c r="C1138" s="2">
        <v>0.72605324074074074</v>
      </c>
      <c r="D1138" t="s">
        <v>2511</v>
      </c>
      <c r="E1138" t="s">
        <v>41</v>
      </c>
      <c r="F1138" t="s">
        <v>2512</v>
      </c>
      <c r="G1138" t="s">
        <v>43</v>
      </c>
      <c r="H1138" t="s">
        <v>962</v>
      </c>
      <c r="I1138" t="s">
        <v>69</v>
      </c>
      <c r="J1138">
        <v>12.4</v>
      </c>
      <c r="K1138">
        <v>41.5</v>
      </c>
      <c r="L1138" t="s">
        <v>29</v>
      </c>
      <c r="M1138" t="s">
        <v>29</v>
      </c>
      <c r="N1138" t="s">
        <v>29</v>
      </c>
      <c r="O1138" t="s">
        <v>29</v>
      </c>
      <c r="P1138" t="s">
        <v>29</v>
      </c>
      <c r="Q1138" t="s">
        <v>29</v>
      </c>
      <c r="R1138">
        <v>869</v>
      </c>
      <c r="S1138">
        <v>28.97</v>
      </c>
      <c r="T1138">
        <v>4.0999999999999996</v>
      </c>
      <c r="U1138">
        <v>4.2</v>
      </c>
      <c r="V1138" t="s">
        <v>38</v>
      </c>
    </row>
    <row r="1139" spans="1:22" x14ac:dyDescent="0.35">
      <c r="A1139" s="1">
        <v>45633</v>
      </c>
      <c r="B1139" t="s">
        <v>78</v>
      </c>
      <c r="C1139" s="2">
        <v>0.91701388888888891</v>
      </c>
      <c r="D1139" t="s">
        <v>2513</v>
      </c>
      <c r="E1139" t="s">
        <v>41</v>
      </c>
      <c r="F1139" t="s">
        <v>2514</v>
      </c>
      <c r="G1139" t="s">
        <v>67</v>
      </c>
      <c r="H1139" t="s">
        <v>355</v>
      </c>
      <c r="I1139" t="s">
        <v>82</v>
      </c>
      <c r="J1139">
        <v>5.6</v>
      </c>
      <c r="K1139">
        <v>20.399999999999999</v>
      </c>
      <c r="L1139" t="s">
        <v>29</v>
      </c>
      <c r="M1139" t="s">
        <v>29</v>
      </c>
      <c r="N1139" t="s">
        <v>29</v>
      </c>
      <c r="O1139" t="s">
        <v>29</v>
      </c>
      <c r="P1139" t="s">
        <v>29</v>
      </c>
      <c r="Q1139" t="s">
        <v>29</v>
      </c>
      <c r="R1139">
        <v>445</v>
      </c>
      <c r="S1139">
        <v>19.86</v>
      </c>
      <c r="T1139">
        <v>4.0999999999999996</v>
      </c>
      <c r="U1139">
        <v>4.5999999999999996</v>
      </c>
      <c r="V1139" t="s">
        <v>38</v>
      </c>
    </row>
    <row r="1140" spans="1:22" x14ac:dyDescent="0.35">
      <c r="A1140" s="1">
        <v>45439</v>
      </c>
      <c r="B1140" t="s">
        <v>122</v>
      </c>
      <c r="C1140" s="2">
        <v>0.71783564814814815</v>
      </c>
      <c r="D1140" t="s">
        <v>2515</v>
      </c>
      <c r="E1140" t="s">
        <v>93</v>
      </c>
      <c r="F1140" t="s">
        <v>2516</v>
      </c>
      <c r="G1140" t="s">
        <v>34</v>
      </c>
      <c r="H1140" t="s">
        <v>299</v>
      </c>
      <c r="I1140" t="s">
        <v>962</v>
      </c>
      <c r="J1140">
        <v>10.9</v>
      </c>
      <c r="K1140" t="s">
        <v>29</v>
      </c>
      <c r="L1140" t="s">
        <v>29</v>
      </c>
      <c r="M1140" t="s">
        <v>29</v>
      </c>
      <c r="N1140">
        <v>1</v>
      </c>
      <c r="O1140" t="s">
        <v>337</v>
      </c>
      <c r="P1140" t="s">
        <v>29</v>
      </c>
      <c r="Q1140" t="s">
        <v>29</v>
      </c>
      <c r="R1140" t="s">
        <v>29</v>
      </c>
      <c r="S1140" t="s">
        <v>29</v>
      </c>
      <c r="T1140" t="s">
        <v>29</v>
      </c>
      <c r="U1140" t="s">
        <v>29</v>
      </c>
      <c r="V1140" t="s">
        <v>29</v>
      </c>
    </row>
    <row r="1141" spans="1:22" x14ac:dyDescent="0.35">
      <c r="A1141" s="1">
        <v>45479</v>
      </c>
      <c r="B1141" t="s">
        <v>108</v>
      </c>
      <c r="C1141" s="2">
        <v>0.7174652777777778</v>
      </c>
      <c r="D1141" t="s">
        <v>2517</v>
      </c>
      <c r="E1141" t="s">
        <v>93</v>
      </c>
      <c r="F1141" t="s">
        <v>2518</v>
      </c>
      <c r="G1141" t="s">
        <v>67</v>
      </c>
      <c r="H1141" t="s">
        <v>277</v>
      </c>
      <c r="I1141" t="s">
        <v>822</v>
      </c>
      <c r="J1141">
        <v>10.199999999999999</v>
      </c>
      <c r="K1141" t="s">
        <v>29</v>
      </c>
      <c r="L1141" t="s">
        <v>29</v>
      </c>
      <c r="M1141" t="s">
        <v>29</v>
      </c>
      <c r="N1141">
        <v>1</v>
      </c>
      <c r="O1141" t="s">
        <v>97</v>
      </c>
      <c r="P1141" t="s">
        <v>29</v>
      </c>
      <c r="Q1141" t="s">
        <v>29</v>
      </c>
      <c r="R1141" t="s">
        <v>29</v>
      </c>
      <c r="S1141" t="s">
        <v>29</v>
      </c>
      <c r="T1141" t="s">
        <v>29</v>
      </c>
      <c r="U1141" t="s">
        <v>29</v>
      </c>
      <c r="V1141" t="s">
        <v>29</v>
      </c>
    </row>
    <row r="1142" spans="1:22" x14ac:dyDescent="0.35">
      <c r="A1142" s="1">
        <v>45605</v>
      </c>
      <c r="B1142" t="s">
        <v>30</v>
      </c>
      <c r="C1142" s="2">
        <v>8.0833333333333326E-2</v>
      </c>
      <c r="D1142" t="s">
        <v>2519</v>
      </c>
      <c r="E1142" t="s">
        <v>24</v>
      </c>
      <c r="F1142" t="s">
        <v>2520</v>
      </c>
      <c r="G1142" t="s">
        <v>26</v>
      </c>
      <c r="H1142" t="s">
        <v>180</v>
      </c>
      <c r="I1142" t="s">
        <v>245</v>
      </c>
      <c r="J1142" t="s">
        <v>29</v>
      </c>
      <c r="K1142" t="s">
        <v>29</v>
      </c>
      <c r="L1142" t="s">
        <v>29</v>
      </c>
      <c r="M1142" t="s">
        <v>29</v>
      </c>
      <c r="N1142" t="s">
        <v>29</v>
      </c>
      <c r="O1142" t="s">
        <v>29</v>
      </c>
      <c r="P1142" t="s">
        <v>29</v>
      </c>
      <c r="Q1142" t="s">
        <v>29</v>
      </c>
      <c r="R1142" t="s">
        <v>29</v>
      </c>
      <c r="S1142" t="s">
        <v>29</v>
      </c>
      <c r="T1142" t="s">
        <v>29</v>
      </c>
      <c r="U1142" t="s">
        <v>29</v>
      </c>
      <c r="V1142" t="s">
        <v>29</v>
      </c>
    </row>
    <row r="1143" spans="1:22" x14ac:dyDescent="0.35">
      <c r="A1143" s="1">
        <v>45560</v>
      </c>
      <c r="B1143" t="s">
        <v>53</v>
      </c>
      <c r="C1143" s="2">
        <v>0.42247685185185185</v>
      </c>
      <c r="D1143" t="s">
        <v>2521</v>
      </c>
      <c r="E1143" t="s">
        <v>32</v>
      </c>
      <c r="F1143" t="s">
        <v>2522</v>
      </c>
      <c r="G1143" t="s">
        <v>50</v>
      </c>
      <c r="H1143" t="s">
        <v>235</v>
      </c>
      <c r="I1143" t="s">
        <v>88</v>
      </c>
      <c r="J1143">
        <v>9</v>
      </c>
      <c r="K1143">
        <v>24.8</v>
      </c>
      <c r="L1143" t="s">
        <v>29</v>
      </c>
      <c r="M1143" t="s">
        <v>29</v>
      </c>
      <c r="N1143" t="s">
        <v>29</v>
      </c>
      <c r="O1143" t="s">
        <v>29</v>
      </c>
      <c r="P1143">
        <v>1</v>
      </c>
      <c r="Q1143" t="s">
        <v>37</v>
      </c>
      <c r="R1143">
        <v>849</v>
      </c>
      <c r="S1143">
        <v>13.31</v>
      </c>
      <c r="T1143" t="s">
        <v>29</v>
      </c>
      <c r="U1143" t="s">
        <v>29</v>
      </c>
      <c r="V1143" t="s">
        <v>149</v>
      </c>
    </row>
    <row r="1144" spans="1:22" x14ac:dyDescent="0.35">
      <c r="A1144" s="1">
        <v>45528</v>
      </c>
      <c r="B1144" t="s">
        <v>39</v>
      </c>
      <c r="C1144" s="2">
        <v>0.71087962962962958</v>
      </c>
      <c r="D1144" t="s">
        <v>2523</v>
      </c>
      <c r="E1144" t="s">
        <v>41</v>
      </c>
      <c r="F1144" t="s">
        <v>2524</v>
      </c>
      <c r="G1144" t="s">
        <v>67</v>
      </c>
      <c r="H1144" t="s">
        <v>374</v>
      </c>
      <c r="I1144" t="s">
        <v>511</v>
      </c>
      <c r="J1144">
        <v>13.1</v>
      </c>
      <c r="K1144">
        <v>23.9</v>
      </c>
      <c r="L1144" t="s">
        <v>29</v>
      </c>
      <c r="M1144" t="s">
        <v>29</v>
      </c>
      <c r="N1144" t="s">
        <v>29</v>
      </c>
      <c r="O1144" t="s">
        <v>29</v>
      </c>
      <c r="P1144" t="s">
        <v>29</v>
      </c>
      <c r="Q1144" t="s">
        <v>29</v>
      </c>
      <c r="R1144">
        <v>1267</v>
      </c>
      <c r="S1144">
        <v>46.24</v>
      </c>
      <c r="T1144">
        <v>4.5</v>
      </c>
      <c r="U1144">
        <v>4.5999999999999996</v>
      </c>
      <c r="V1144" t="s">
        <v>38</v>
      </c>
    </row>
    <row r="1145" spans="1:22" x14ac:dyDescent="0.35">
      <c r="A1145" s="1">
        <v>45468</v>
      </c>
      <c r="B1145" t="s">
        <v>64</v>
      </c>
      <c r="C1145" s="2">
        <v>0.71482638888888894</v>
      </c>
      <c r="D1145" t="s">
        <v>2525</v>
      </c>
      <c r="E1145" t="s">
        <v>41</v>
      </c>
      <c r="F1145" t="s">
        <v>2526</v>
      </c>
      <c r="G1145" t="s">
        <v>56</v>
      </c>
      <c r="H1145" t="s">
        <v>693</v>
      </c>
      <c r="I1145" t="s">
        <v>270</v>
      </c>
      <c r="J1145">
        <v>3.7</v>
      </c>
      <c r="K1145">
        <v>20.100000000000001</v>
      </c>
      <c r="L1145" t="s">
        <v>29</v>
      </c>
      <c r="M1145" t="s">
        <v>29</v>
      </c>
      <c r="N1145" t="s">
        <v>29</v>
      </c>
      <c r="O1145" t="s">
        <v>29</v>
      </c>
      <c r="P1145" t="s">
        <v>29</v>
      </c>
      <c r="Q1145" t="s">
        <v>29</v>
      </c>
      <c r="R1145">
        <v>428</v>
      </c>
      <c r="S1145">
        <v>20.37</v>
      </c>
      <c r="T1145">
        <v>4.3</v>
      </c>
      <c r="U1145">
        <v>3.8</v>
      </c>
      <c r="V1145" t="s">
        <v>107</v>
      </c>
    </row>
    <row r="1146" spans="1:22" x14ac:dyDescent="0.35">
      <c r="A1146" s="1">
        <v>45596</v>
      </c>
      <c r="B1146" t="s">
        <v>47</v>
      </c>
      <c r="C1146" s="2">
        <v>0.30700231481481483</v>
      </c>
      <c r="D1146" t="s">
        <v>2527</v>
      </c>
      <c r="E1146" t="s">
        <v>93</v>
      </c>
      <c r="F1146" t="s">
        <v>2528</v>
      </c>
      <c r="G1146" t="s">
        <v>43</v>
      </c>
      <c r="H1146" t="s">
        <v>238</v>
      </c>
      <c r="I1146" t="s">
        <v>565</v>
      </c>
      <c r="J1146">
        <v>10.3</v>
      </c>
      <c r="K1146" t="s">
        <v>29</v>
      </c>
      <c r="L1146" t="s">
        <v>29</v>
      </c>
      <c r="M1146" t="s">
        <v>29</v>
      </c>
      <c r="N1146">
        <v>1</v>
      </c>
      <c r="O1146" t="s">
        <v>337</v>
      </c>
      <c r="P1146" t="s">
        <v>29</v>
      </c>
      <c r="Q1146" t="s">
        <v>29</v>
      </c>
      <c r="R1146" t="s">
        <v>29</v>
      </c>
      <c r="S1146" t="s">
        <v>29</v>
      </c>
      <c r="T1146" t="s">
        <v>29</v>
      </c>
      <c r="U1146" t="s">
        <v>29</v>
      </c>
      <c r="V1146" t="s">
        <v>29</v>
      </c>
    </row>
    <row r="1147" spans="1:22" x14ac:dyDescent="0.35">
      <c r="A1147" s="1">
        <v>45400</v>
      </c>
      <c r="B1147" t="s">
        <v>154</v>
      </c>
      <c r="C1147" s="2">
        <v>0.89613425925925927</v>
      </c>
      <c r="D1147" t="s">
        <v>2529</v>
      </c>
      <c r="E1147" t="s">
        <v>41</v>
      </c>
      <c r="F1147" t="s">
        <v>2530</v>
      </c>
      <c r="G1147" t="s">
        <v>50</v>
      </c>
      <c r="H1147" t="s">
        <v>346</v>
      </c>
      <c r="I1147" t="s">
        <v>489</v>
      </c>
      <c r="J1147">
        <v>8.6</v>
      </c>
      <c r="K1147">
        <v>41.4</v>
      </c>
      <c r="L1147" t="s">
        <v>29</v>
      </c>
      <c r="M1147" t="s">
        <v>29</v>
      </c>
      <c r="N1147" t="s">
        <v>29</v>
      </c>
      <c r="O1147" t="s">
        <v>29</v>
      </c>
      <c r="P1147" t="s">
        <v>29</v>
      </c>
      <c r="Q1147" t="s">
        <v>29</v>
      </c>
      <c r="R1147">
        <v>324</v>
      </c>
      <c r="S1147">
        <v>19.13</v>
      </c>
      <c r="T1147">
        <v>4.5</v>
      </c>
      <c r="U1147">
        <v>4.5999999999999996</v>
      </c>
      <c r="V1147" t="s">
        <v>107</v>
      </c>
    </row>
    <row r="1148" spans="1:22" x14ac:dyDescent="0.35">
      <c r="A1148" s="1">
        <v>45355</v>
      </c>
      <c r="B1148" t="s">
        <v>22</v>
      </c>
      <c r="C1148" s="2">
        <v>0.38685185185185184</v>
      </c>
      <c r="D1148" t="s">
        <v>2531</v>
      </c>
      <c r="E1148" t="s">
        <v>41</v>
      </c>
      <c r="F1148" t="s">
        <v>2532</v>
      </c>
      <c r="G1148" t="s">
        <v>34</v>
      </c>
      <c r="H1148" t="s">
        <v>27</v>
      </c>
      <c r="I1148" t="s">
        <v>327</v>
      </c>
      <c r="J1148">
        <v>3.2</v>
      </c>
      <c r="K1148">
        <v>36.5</v>
      </c>
      <c r="L1148" t="s">
        <v>29</v>
      </c>
      <c r="M1148" t="s">
        <v>29</v>
      </c>
      <c r="N1148" t="s">
        <v>29</v>
      </c>
      <c r="O1148" t="s">
        <v>29</v>
      </c>
      <c r="P1148" t="s">
        <v>29</v>
      </c>
      <c r="Q1148" t="s">
        <v>29</v>
      </c>
      <c r="R1148">
        <v>89</v>
      </c>
      <c r="S1148">
        <v>30.85</v>
      </c>
      <c r="T1148">
        <v>3.3</v>
      </c>
      <c r="U1148">
        <v>4.5999999999999996</v>
      </c>
      <c r="V1148" t="s">
        <v>149</v>
      </c>
    </row>
    <row r="1149" spans="1:22" x14ac:dyDescent="0.35">
      <c r="A1149" s="1">
        <v>45560</v>
      </c>
      <c r="B1149" t="s">
        <v>53</v>
      </c>
      <c r="C1149" s="2">
        <v>0.78065972222222224</v>
      </c>
      <c r="D1149" t="s">
        <v>2533</v>
      </c>
      <c r="E1149" t="s">
        <v>41</v>
      </c>
      <c r="F1149" t="s">
        <v>2534</v>
      </c>
      <c r="G1149" t="s">
        <v>67</v>
      </c>
      <c r="H1149" t="s">
        <v>819</v>
      </c>
      <c r="I1149" t="s">
        <v>238</v>
      </c>
      <c r="J1149">
        <v>5</v>
      </c>
      <c r="K1149">
        <v>20.7</v>
      </c>
      <c r="L1149" t="s">
        <v>29</v>
      </c>
      <c r="M1149" t="s">
        <v>29</v>
      </c>
      <c r="N1149" t="s">
        <v>29</v>
      </c>
      <c r="O1149" t="s">
        <v>29</v>
      </c>
      <c r="P1149" t="s">
        <v>29</v>
      </c>
      <c r="Q1149" t="s">
        <v>29</v>
      </c>
      <c r="R1149">
        <v>898</v>
      </c>
      <c r="S1149">
        <v>34.42</v>
      </c>
      <c r="T1149">
        <v>3</v>
      </c>
      <c r="U1149">
        <v>4.9000000000000004</v>
      </c>
      <c r="V1149" t="s">
        <v>38</v>
      </c>
    </row>
    <row r="1150" spans="1:22" x14ac:dyDescent="0.35">
      <c r="A1150" s="1">
        <v>45314</v>
      </c>
      <c r="B1150" t="s">
        <v>150</v>
      </c>
      <c r="C1150" s="2">
        <v>0.67828703703703708</v>
      </c>
      <c r="D1150" t="s">
        <v>2535</v>
      </c>
      <c r="E1150" t="s">
        <v>41</v>
      </c>
      <c r="F1150" t="s">
        <v>2536</v>
      </c>
      <c r="G1150" t="s">
        <v>67</v>
      </c>
      <c r="H1150" t="s">
        <v>407</v>
      </c>
      <c r="I1150" t="s">
        <v>72</v>
      </c>
      <c r="J1150">
        <v>3.6</v>
      </c>
      <c r="K1150">
        <v>38</v>
      </c>
      <c r="L1150" t="s">
        <v>29</v>
      </c>
      <c r="M1150" t="s">
        <v>29</v>
      </c>
      <c r="N1150" t="s">
        <v>29</v>
      </c>
      <c r="O1150" t="s">
        <v>29</v>
      </c>
      <c r="P1150" t="s">
        <v>29</v>
      </c>
      <c r="Q1150" t="s">
        <v>29</v>
      </c>
      <c r="R1150">
        <v>855</v>
      </c>
      <c r="S1150">
        <v>6.11</v>
      </c>
      <c r="T1150">
        <v>3.8</v>
      </c>
      <c r="U1150">
        <v>4.2</v>
      </c>
      <c r="V1150" t="s">
        <v>84</v>
      </c>
    </row>
    <row r="1151" spans="1:22" x14ac:dyDescent="0.35">
      <c r="A1151" s="1">
        <v>45643</v>
      </c>
      <c r="B1151" t="s">
        <v>78</v>
      </c>
      <c r="C1151" s="2">
        <v>0.93987268518518519</v>
      </c>
      <c r="D1151" t="s">
        <v>2537</v>
      </c>
      <c r="E1151" t="s">
        <v>32</v>
      </c>
      <c r="F1151" t="s">
        <v>2538</v>
      </c>
      <c r="G1151" t="s">
        <v>67</v>
      </c>
      <c r="H1151" t="s">
        <v>119</v>
      </c>
      <c r="I1151" t="s">
        <v>158</v>
      </c>
      <c r="J1151">
        <v>2</v>
      </c>
      <c r="K1151">
        <v>21.1</v>
      </c>
      <c r="L1151" t="s">
        <v>29</v>
      </c>
      <c r="M1151" t="s">
        <v>29</v>
      </c>
      <c r="N1151" t="s">
        <v>29</v>
      </c>
      <c r="O1151" t="s">
        <v>29</v>
      </c>
      <c r="P1151">
        <v>1</v>
      </c>
      <c r="Q1151" t="s">
        <v>83</v>
      </c>
      <c r="R1151">
        <v>494</v>
      </c>
      <c r="S1151">
        <v>2.97</v>
      </c>
      <c r="T1151" t="s">
        <v>29</v>
      </c>
      <c r="U1151" t="s">
        <v>29</v>
      </c>
      <c r="V1151" t="s">
        <v>46</v>
      </c>
    </row>
    <row r="1152" spans="1:22" x14ac:dyDescent="0.35">
      <c r="A1152" s="1">
        <v>45553</v>
      </c>
      <c r="B1152" t="s">
        <v>53</v>
      </c>
      <c r="C1152" s="2">
        <v>0.41399305555555554</v>
      </c>
      <c r="D1152" t="s">
        <v>2539</v>
      </c>
      <c r="E1152" t="s">
        <v>41</v>
      </c>
      <c r="F1152" t="s">
        <v>2540</v>
      </c>
      <c r="G1152" t="s">
        <v>50</v>
      </c>
      <c r="H1152" t="s">
        <v>68</v>
      </c>
      <c r="I1152" t="s">
        <v>210</v>
      </c>
      <c r="J1152">
        <v>11.1</v>
      </c>
      <c r="K1152">
        <v>30.1</v>
      </c>
      <c r="L1152" t="s">
        <v>29</v>
      </c>
      <c r="M1152" t="s">
        <v>29</v>
      </c>
      <c r="N1152" t="s">
        <v>29</v>
      </c>
      <c r="O1152" t="s">
        <v>29</v>
      </c>
      <c r="P1152" t="s">
        <v>29</v>
      </c>
      <c r="Q1152" t="s">
        <v>29</v>
      </c>
      <c r="R1152">
        <v>821</v>
      </c>
      <c r="S1152">
        <v>33.72</v>
      </c>
      <c r="T1152">
        <v>4.2</v>
      </c>
      <c r="U1152">
        <v>4.9000000000000004</v>
      </c>
      <c r="V1152" t="s">
        <v>107</v>
      </c>
    </row>
    <row r="1153" spans="1:22" x14ac:dyDescent="0.35">
      <c r="A1153" s="1">
        <v>45452</v>
      </c>
      <c r="B1153" t="s">
        <v>64</v>
      </c>
      <c r="C1153" s="2">
        <v>0.31074074074074076</v>
      </c>
      <c r="D1153" t="s">
        <v>2541</v>
      </c>
      <c r="E1153" t="s">
        <v>117</v>
      </c>
      <c r="F1153" t="s">
        <v>2542</v>
      </c>
      <c r="G1153" t="s">
        <v>43</v>
      </c>
      <c r="H1153" t="s">
        <v>197</v>
      </c>
      <c r="I1153" t="s">
        <v>245</v>
      </c>
      <c r="J1153">
        <v>16.399999999999999</v>
      </c>
      <c r="K1153" t="s">
        <v>29</v>
      </c>
      <c r="L1153">
        <v>1</v>
      </c>
      <c r="M1153" t="s">
        <v>490</v>
      </c>
      <c r="N1153" t="s">
        <v>29</v>
      </c>
      <c r="O1153" t="s">
        <v>29</v>
      </c>
      <c r="P1153" t="s">
        <v>29</v>
      </c>
      <c r="Q1153" t="s">
        <v>29</v>
      </c>
      <c r="R1153" t="s">
        <v>29</v>
      </c>
      <c r="S1153" t="s">
        <v>29</v>
      </c>
      <c r="T1153" t="s">
        <v>29</v>
      </c>
      <c r="U1153" t="s">
        <v>29</v>
      </c>
      <c r="V1153" t="s">
        <v>29</v>
      </c>
    </row>
    <row r="1154" spans="1:22" x14ac:dyDescent="0.35">
      <c r="A1154" s="1">
        <v>45592</v>
      </c>
      <c r="B1154" t="s">
        <v>47</v>
      </c>
      <c r="C1154" s="2">
        <v>0.58635416666666662</v>
      </c>
      <c r="D1154" t="s">
        <v>2543</v>
      </c>
      <c r="E1154" t="s">
        <v>93</v>
      </c>
      <c r="F1154" t="s">
        <v>2544</v>
      </c>
      <c r="G1154" t="s">
        <v>43</v>
      </c>
      <c r="H1154" t="s">
        <v>305</v>
      </c>
      <c r="I1154" t="s">
        <v>435</v>
      </c>
      <c r="J1154">
        <v>6.4</v>
      </c>
      <c r="K1154" t="s">
        <v>29</v>
      </c>
      <c r="L1154" t="s">
        <v>29</v>
      </c>
      <c r="M1154" t="s">
        <v>29</v>
      </c>
      <c r="N1154">
        <v>1</v>
      </c>
      <c r="O1154" t="s">
        <v>97</v>
      </c>
      <c r="P1154" t="s">
        <v>29</v>
      </c>
      <c r="Q1154" t="s">
        <v>29</v>
      </c>
      <c r="R1154" t="s">
        <v>29</v>
      </c>
      <c r="S1154" t="s">
        <v>29</v>
      </c>
      <c r="T1154" t="s">
        <v>29</v>
      </c>
      <c r="U1154" t="s">
        <v>29</v>
      </c>
      <c r="V1154" t="s">
        <v>29</v>
      </c>
    </row>
    <row r="1155" spans="1:22" x14ac:dyDescent="0.35">
      <c r="A1155" s="1">
        <v>45343</v>
      </c>
      <c r="B1155" t="s">
        <v>59</v>
      </c>
      <c r="C1155" s="2">
        <v>0.75053240740740745</v>
      </c>
      <c r="D1155" t="s">
        <v>2545</v>
      </c>
      <c r="E1155" t="s">
        <v>41</v>
      </c>
      <c r="F1155" t="s">
        <v>2546</v>
      </c>
      <c r="G1155" t="s">
        <v>26</v>
      </c>
      <c r="H1155" t="s">
        <v>157</v>
      </c>
      <c r="I1155" t="s">
        <v>45</v>
      </c>
      <c r="J1155">
        <v>14.1</v>
      </c>
      <c r="K1155">
        <v>24.8</v>
      </c>
      <c r="L1155" t="s">
        <v>29</v>
      </c>
      <c r="M1155" t="s">
        <v>29</v>
      </c>
      <c r="N1155" t="s">
        <v>29</v>
      </c>
      <c r="O1155" t="s">
        <v>29</v>
      </c>
      <c r="P1155" t="s">
        <v>29</v>
      </c>
      <c r="Q1155" t="s">
        <v>29</v>
      </c>
      <c r="R1155">
        <v>371</v>
      </c>
      <c r="S1155">
        <v>42.86</v>
      </c>
      <c r="T1155">
        <v>4.3</v>
      </c>
      <c r="U1155">
        <v>4.5999999999999996</v>
      </c>
      <c r="V1155" t="s">
        <v>38</v>
      </c>
    </row>
    <row r="1156" spans="1:22" x14ac:dyDescent="0.35">
      <c r="A1156" s="1">
        <v>45597</v>
      </c>
      <c r="B1156" t="s">
        <v>30</v>
      </c>
      <c r="C1156" s="2">
        <v>0.44493055555555555</v>
      </c>
      <c r="D1156" t="s">
        <v>2547</v>
      </c>
      <c r="E1156" t="s">
        <v>41</v>
      </c>
      <c r="F1156" t="s">
        <v>2548</v>
      </c>
      <c r="G1156" t="s">
        <v>67</v>
      </c>
      <c r="H1156" t="s">
        <v>76</v>
      </c>
      <c r="I1156" t="s">
        <v>590</v>
      </c>
      <c r="J1156">
        <v>7.7</v>
      </c>
      <c r="K1156">
        <v>17</v>
      </c>
      <c r="L1156" t="s">
        <v>29</v>
      </c>
      <c r="M1156" t="s">
        <v>29</v>
      </c>
      <c r="N1156" t="s">
        <v>29</v>
      </c>
      <c r="O1156" t="s">
        <v>29</v>
      </c>
      <c r="P1156" t="s">
        <v>29</v>
      </c>
      <c r="Q1156" t="s">
        <v>29</v>
      </c>
      <c r="R1156">
        <v>503</v>
      </c>
      <c r="S1156">
        <v>26.78</v>
      </c>
      <c r="T1156">
        <v>4.5</v>
      </c>
      <c r="U1156">
        <v>4.3</v>
      </c>
      <c r="V1156" t="s">
        <v>149</v>
      </c>
    </row>
    <row r="1157" spans="1:22" x14ac:dyDescent="0.35">
      <c r="A1157" s="1">
        <v>45563</v>
      </c>
      <c r="B1157" t="s">
        <v>53</v>
      </c>
      <c r="C1157" s="2">
        <v>1.8310185185185186E-2</v>
      </c>
      <c r="D1157" t="s">
        <v>2549</v>
      </c>
      <c r="E1157" t="s">
        <v>41</v>
      </c>
      <c r="F1157" t="s">
        <v>2550</v>
      </c>
      <c r="G1157" t="s">
        <v>34</v>
      </c>
      <c r="H1157" t="s">
        <v>95</v>
      </c>
      <c r="I1157" t="s">
        <v>87</v>
      </c>
      <c r="J1157">
        <v>11.9</v>
      </c>
      <c r="K1157">
        <v>32</v>
      </c>
      <c r="L1157" t="s">
        <v>29</v>
      </c>
      <c r="M1157" t="s">
        <v>29</v>
      </c>
      <c r="N1157" t="s">
        <v>29</v>
      </c>
      <c r="O1157" t="s">
        <v>29</v>
      </c>
      <c r="P1157" t="s">
        <v>29</v>
      </c>
      <c r="Q1157" t="s">
        <v>29</v>
      </c>
      <c r="R1157">
        <v>664</v>
      </c>
      <c r="S1157">
        <v>15.41</v>
      </c>
      <c r="T1157">
        <v>4.9000000000000004</v>
      </c>
      <c r="U1157">
        <v>4.7</v>
      </c>
      <c r="V1157" t="s">
        <v>84</v>
      </c>
    </row>
    <row r="1158" spans="1:22" x14ac:dyDescent="0.35">
      <c r="A1158" s="1">
        <v>45530</v>
      </c>
      <c r="B1158" t="s">
        <v>39</v>
      </c>
      <c r="C1158" s="2">
        <v>0.73400462962962965</v>
      </c>
      <c r="D1158" t="s">
        <v>2551</v>
      </c>
      <c r="E1158" t="s">
        <v>24</v>
      </c>
      <c r="F1158" t="s">
        <v>2552</v>
      </c>
      <c r="G1158" t="s">
        <v>43</v>
      </c>
      <c r="H1158" t="s">
        <v>164</v>
      </c>
      <c r="I1158" t="s">
        <v>248</v>
      </c>
      <c r="J1158" t="s">
        <v>29</v>
      </c>
      <c r="K1158" t="s">
        <v>29</v>
      </c>
      <c r="L1158" t="s">
        <v>29</v>
      </c>
      <c r="M1158" t="s">
        <v>29</v>
      </c>
      <c r="N1158" t="s">
        <v>29</v>
      </c>
      <c r="O1158" t="s">
        <v>29</v>
      </c>
      <c r="P1158" t="s">
        <v>29</v>
      </c>
      <c r="Q1158" t="s">
        <v>29</v>
      </c>
      <c r="R1158" t="s">
        <v>29</v>
      </c>
      <c r="S1158" t="s">
        <v>29</v>
      </c>
      <c r="T1158" t="s">
        <v>29</v>
      </c>
      <c r="U1158" t="s">
        <v>29</v>
      </c>
      <c r="V1158" t="s">
        <v>29</v>
      </c>
    </row>
    <row r="1159" spans="1:22" x14ac:dyDescent="0.35">
      <c r="A1159" s="1">
        <v>45366</v>
      </c>
      <c r="B1159" t="s">
        <v>22</v>
      </c>
      <c r="C1159" s="2">
        <v>0.7598611111111111</v>
      </c>
      <c r="D1159" t="s">
        <v>2553</v>
      </c>
      <c r="E1159" t="s">
        <v>93</v>
      </c>
      <c r="F1159" t="s">
        <v>2554</v>
      </c>
      <c r="G1159" t="s">
        <v>43</v>
      </c>
      <c r="H1159" t="s">
        <v>442</v>
      </c>
      <c r="I1159" t="s">
        <v>819</v>
      </c>
      <c r="J1159">
        <v>10.6</v>
      </c>
      <c r="K1159" t="s">
        <v>29</v>
      </c>
      <c r="L1159" t="s">
        <v>29</v>
      </c>
      <c r="M1159" t="s">
        <v>29</v>
      </c>
      <c r="N1159">
        <v>1</v>
      </c>
      <c r="O1159" t="s">
        <v>115</v>
      </c>
      <c r="P1159" t="s">
        <v>29</v>
      </c>
      <c r="Q1159" t="s">
        <v>29</v>
      </c>
      <c r="R1159" t="s">
        <v>29</v>
      </c>
      <c r="S1159" t="s">
        <v>29</v>
      </c>
      <c r="T1159" t="s">
        <v>29</v>
      </c>
      <c r="U1159" t="s">
        <v>29</v>
      </c>
      <c r="V1159" t="s">
        <v>29</v>
      </c>
    </row>
    <row r="1160" spans="1:22" x14ac:dyDescent="0.35">
      <c r="A1160" s="1">
        <v>45522</v>
      </c>
      <c r="B1160" t="s">
        <v>39</v>
      </c>
      <c r="C1160" s="2">
        <v>0.38254629629629627</v>
      </c>
      <c r="D1160" t="s">
        <v>2555</v>
      </c>
      <c r="E1160" t="s">
        <v>93</v>
      </c>
      <c r="F1160" t="s">
        <v>2556</v>
      </c>
      <c r="G1160" t="s">
        <v>56</v>
      </c>
      <c r="H1160" t="s">
        <v>96</v>
      </c>
      <c r="I1160" t="s">
        <v>248</v>
      </c>
      <c r="J1160">
        <v>10.7</v>
      </c>
      <c r="K1160" t="s">
        <v>29</v>
      </c>
      <c r="L1160" t="s">
        <v>29</v>
      </c>
      <c r="M1160" t="s">
        <v>29</v>
      </c>
      <c r="N1160">
        <v>1</v>
      </c>
      <c r="O1160" t="s">
        <v>337</v>
      </c>
      <c r="P1160" t="s">
        <v>29</v>
      </c>
      <c r="Q1160" t="s">
        <v>29</v>
      </c>
      <c r="R1160" t="s">
        <v>29</v>
      </c>
      <c r="S1160" t="s">
        <v>29</v>
      </c>
      <c r="T1160" t="s">
        <v>29</v>
      </c>
      <c r="U1160" t="s">
        <v>29</v>
      </c>
      <c r="V1160" t="s">
        <v>29</v>
      </c>
    </row>
    <row r="1161" spans="1:22" x14ac:dyDescent="0.35">
      <c r="A1161" s="1">
        <v>45518</v>
      </c>
      <c r="B1161" t="s">
        <v>39</v>
      </c>
      <c r="C1161" s="2">
        <v>0.7506018518518518</v>
      </c>
      <c r="D1161" t="s">
        <v>2557</v>
      </c>
      <c r="E1161" t="s">
        <v>41</v>
      </c>
      <c r="F1161" t="s">
        <v>2558</v>
      </c>
      <c r="G1161" t="s">
        <v>43</v>
      </c>
      <c r="H1161" t="s">
        <v>383</v>
      </c>
      <c r="I1161" t="s">
        <v>324</v>
      </c>
      <c r="J1161">
        <v>11.7</v>
      </c>
      <c r="K1161">
        <v>37.4</v>
      </c>
      <c r="L1161" t="s">
        <v>29</v>
      </c>
      <c r="M1161" t="s">
        <v>29</v>
      </c>
      <c r="N1161" t="s">
        <v>29</v>
      </c>
      <c r="O1161" t="s">
        <v>29</v>
      </c>
      <c r="P1161" t="s">
        <v>29</v>
      </c>
      <c r="Q1161" t="s">
        <v>29</v>
      </c>
      <c r="R1161">
        <v>259</v>
      </c>
      <c r="S1161">
        <v>40.299999999999997</v>
      </c>
      <c r="T1161">
        <v>4.5999999999999996</v>
      </c>
      <c r="U1161">
        <v>4.8</v>
      </c>
      <c r="V1161" t="s">
        <v>38</v>
      </c>
    </row>
    <row r="1162" spans="1:22" x14ac:dyDescent="0.35">
      <c r="A1162" s="1">
        <v>45527</v>
      </c>
      <c r="B1162" t="s">
        <v>39</v>
      </c>
      <c r="C1162" s="2">
        <v>0.3870601851851852</v>
      </c>
      <c r="D1162" t="s">
        <v>2559</v>
      </c>
      <c r="E1162" t="s">
        <v>41</v>
      </c>
      <c r="F1162" t="s">
        <v>2560</v>
      </c>
      <c r="G1162" t="s">
        <v>67</v>
      </c>
      <c r="H1162" t="s">
        <v>186</v>
      </c>
      <c r="I1162" t="s">
        <v>111</v>
      </c>
      <c r="J1162">
        <v>7.6</v>
      </c>
      <c r="K1162">
        <v>29.5</v>
      </c>
      <c r="L1162" t="s">
        <v>29</v>
      </c>
      <c r="M1162" t="s">
        <v>29</v>
      </c>
      <c r="N1162" t="s">
        <v>29</v>
      </c>
      <c r="O1162" t="s">
        <v>29</v>
      </c>
      <c r="P1162" t="s">
        <v>29</v>
      </c>
      <c r="Q1162" t="s">
        <v>29</v>
      </c>
      <c r="R1162">
        <v>161</v>
      </c>
      <c r="S1162">
        <v>49.38</v>
      </c>
      <c r="T1162">
        <v>3.8</v>
      </c>
      <c r="U1162">
        <v>3.8</v>
      </c>
      <c r="V1162" t="s">
        <v>38</v>
      </c>
    </row>
    <row r="1163" spans="1:22" x14ac:dyDescent="0.35">
      <c r="A1163" s="1">
        <v>45421</v>
      </c>
      <c r="B1163" t="s">
        <v>122</v>
      </c>
      <c r="C1163" s="2">
        <v>0.24827546296296296</v>
      </c>
      <c r="D1163" t="s">
        <v>2561</v>
      </c>
      <c r="E1163" t="s">
        <v>41</v>
      </c>
      <c r="F1163" t="s">
        <v>2562</v>
      </c>
      <c r="G1163" t="s">
        <v>34</v>
      </c>
      <c r="H1163" t="s">
        <v>153</v>
      </c>
      <c r="I1163" t="s">
        <v>207</v>
      </c>
      <c r="J1163">
        <v>7.7</v>
      </c>
      <c r="K1163">
        <v>25.2</v>
      </c>
      <c r="L1163" t="s">
        <v>29</v>
      </c>
      <c r="M1163" t="s">
        <v>29</v>
      </c>
      <c r="N1163" t="s">
        <v>29</v>
      </c>
      <c r="O1163" t="s">
        <v>29</v>
      </c>
      <c r="P1163" t="s">
        <v>29</v>
      </c>
      <c r="Q1163" t="s">
        <v>29</v>
      </c>
      <c r="R1163">
        <v>230</v>
      </c>
      <c r="S1163">
        <v>21.07</v>
      </c>
      <c r="T1163">
        <v>4.5999999999999996</v>
      </c>
      <c r="U1163">
        <v>4.7</v>
      </c>
      <c r="V1163" t="s">
        <v>149</v>
      </c>
    </row>
    <row r="1164" spans="1:22" x14ac:dyDescent="0.35">
      <c r="A1164" s="1">
        <v>45610</v>
      </c>
      <c r="B1164" t="s">
        <v>30</v>
      </c>
      <c r="C1164" s="2">
        <v>0.72543981481481479</v>
      </c>
      <c r="D1164" t="s">
        <v>2563</v>
      </c>
      <c r="E1164" t="s">
        <v>32</v>
      </c>
      <c r="F1164" t="s">
        <v>2564</v>
      </c>
      <c r="G1164" t="s">
        <v>50</v>
      </c>
      <c r="H1164" t="s">
        <v>555</v>
      </c>
      <c r="I1164" t="s">
        <v>82</v>
      </c>
      <c r="J1164">
        <v>5.0999999999999996</v>
      </c>
      <c r="K1164">
        <v>18.600000000000001</v>
      </c>
      <c r="L1164" t="s">
        <v>29</v>
      </c>
      <c r="M1164" t="s">
        <v>29</v>
      </c>
      <c r="N1164" t="s">
        <v>29</v>
      </c>
      <c r="O1164" t="s">
        <v>29</v>
      </c>
      <c r="P1164">
        <v>1</v>
      </c>
      <c r="Q1164" t="s">
        <v>83</v>
      </c>
      <c r="R1164">
        <v>301</v>
      </c>
      <c r="S1164">
        <v>17</v>
      </c>
      <c r="T1164" t="s">
        <v>29</v>
      </c>
      <c r="U1164" t="s">
        <v>29</v>
      </c>
      <c r="V1164" t="s">
        <v>38</v>
      </c>
    </row>
    <row r="1165" spans="1:22" x14ac:dyDescent="0.35">
      <c r="A1165" s="1">
        <v>45325</v>
      </c>
      <c r="B1165" t="s">
        <v>59</v>
      </c>
      <c r="C1165" s="2">
        <v>0.92396990740740736</v>
      </c>
      <c r="D1165" t="s">
        <v>2565</v>
      </c>
      <c r="E1165" t="s">
        <v>93</v>
      </c>
      <c r="F1165" t="s">
        <v>2566</v>
      </c>
      <c r="G1165" t="s">
        <v>56</v>
      </c>
      <c r="H1165" t="s">
        <v>35</v>
      </c>
      <c r="I1165" t="s">
        <v>245</v>
      </c>
      <c r="J1165">
        <v>10.1</v>
      </c>
      <c r="K1165" t="s">
        <v>29</v>
      </c>
      <c r="L1165" t="s">
        <v>29</v>
      </c>
      <c r="M1165" t="s">
        <v>29</v>
      </c>
      <c r="N1165">
        <v>1</v>
      </c>
      <c r="O1165" t="s">
        <v>337</v>
      </c>
      <c r="P1165" t="s">
        <v>29</v>
      </c>
      <c r="Q1165" t="s">
        <v>29</v>
      </c>
      <c r="R1165" t="s">
        <v>29</v>
      </c>
      <c r="S1165" t="s">
        <v>29</v>
      </c>
      <c r="T1165" t="s">
        <v>29</v>
      </c>
      <c r="U1165" t="s">
        <v>29</v>
      </c>
      <c r="V1165" t="s">
        <v>29</v>
      </c>
    </row>
    <row r="1166" spans="1:22" x14ac:dyDescent="0.35">
      <c r="A1166" s="1">
        <v>45354</v>
      </c>
      <c r="B1166" t="s">
        <v>22</v>
      </c>
      <c r="C1166" s="2">
        <v>0.81883101851851847</v>
      </c>
      <c r="D1166" t="s">
        <v>2567</v>
      </c>
      <c r="E1166" t="s">
        <v>41</v>
      </c>
      <c r="F1166" t="s">
        <v>2568</v>
      </c>
      <c r="G1166" t="s">
        <v>56</v>
      </c>
      <c r="H1166" t="s">
        <v>161</v>
      </c>
      <c r="I1166" t="s">
        <v>744</v>
      </c>
      <c r="J1166">
        <v>14.3</v>
      </c>
      <c r="K1166">
        <v>44.5</v>
      </c>
      <c r="L1166" t="s">
        <v>29</v>
      </c>
      <c r="M1166" t="s">
        <v>29</v>
      </c>
      <c r="N1166" t="s">
        <v>29</v>
      </c>
      <c r="O1166" t="s">
        <v>29</v>
      </c>
      <c r="P1166" t="s">
        <v>29</v>
      </c>
      <c r="Q1166" t="s">
        <v>29</v>
      </c>
      <c r="R1166">
        <v>91</v>
      </c>
      <c r="S1166">
        <v>27.72</v>
      </c>
      <c r="T1166">
        <v>4.2</v>
      </c>
      <c r="U1166">
        <v>4.9000000000000004</v>
      </c>
      <c r="V1166" t="s">
        <v>107</v>
      </c>
    </row>
    <row r="1167" spans="1:22" x14ac:dyDescent="0.35">
      <c r="A1167" s="1">
        <v>45621</v>
      </c>
      <c r="B1167" t="s">
        <v>30</v>
      </c>
      <c r="C1167" s="2">
        <v>0.67552083333333335</v>
      </c>
      <c r="D1167" t="s">
        <v>2569</v>
      </c>
      <c r="E1167" t="s">
        <v>117</v>
      </c>
      <c r="F1167" t="s">
        <v>2570</v>
      </c>
      <c r="G1167" t="s">
        <v>43</v>
      </c>
      <c r="H1167" t="s">
        <v>168</v>
      </c>
      <c r="I1167" t="s">
        <v>327</v>
      </c>
      <c r="J1167">
        <v>14.1</v>
      </c>
      <c r="K1167" t="s">
        <v>29</v>
      </c>
      <c r="L1167">
        <v>1</v>
      </c>
      <c r="M1167" t="s">
        <v>490</v>
      </c>
      <c r="N1167" t="s">
        <v>29</v>
      </c>
      <c r="O1167" t="s">
        <v>29</v>
      </c>
      <c r="P1167" t="s">
        <v>29</v>
      </c>
      <c r="Q1167" t="s">
        <v>29</v>
      </c>
      <c r="R1167" t="s">
        <v>29</v>
      </c>
      <c r="S1167" t="s">
        <v>29</v>
      </c>
      <c r="T1167" t="s">
        <v>29</v>
      </c>
      <c r="U1167" t="s">
        <v>29</v>
      </c>
      <c r="V1167" t="s">
        <v>29</v>
      </c>
    </row>
    <row r="1168" spans="1:22" x14ac:dyDescent="0.35">
      <c r="A1168" s="1">
        <v>45618</v>
      </c>
      <c r="B1168" t="s">
        <v>30</v>
      </c>
      <c r="C1168" s="2">
        <v>0.73054398148148147</v>
      </c>
      <c r="D1168" t="s">
        <v>2571</v>
      </c>
      <c r="E1168" t="s">
        <v>41</v>
      </c>
      <c r="F1168" t="s">
        <v>2572</v>
      </c>
      <c r="G1168" t="s">
        <v>50</v>
      </c>
      <c r="H1168" t="s">
        <v>125</v>
      </c>
      <c r="I1168" t="s">
        <v>255</v>
      </c>
      <c r="J1168">
        <v>8.4</v>
      </c>
      <c r="K1168">
        <v>31.6</v>
      </c>
      <c r="L1168" t="s">
        <v>29</v>
      </c>
      <c r="M1168" t="s">
        <v>29</v>
      </c>
      <c r="N1168" t="s">
        <v>29</v>
      </c>
      <c r="O1168" t="s">
        <v>29</v>
      </c>
      <c r="P1168" t="s">
        <v>29</v>
      </c>
      <c r="Q1168" t="s">
        <v>29</v>
      </c>
      <c r="R1168">
        <v>152</v>
      </c>
      <c r="S1168">
        <v>26.81</v>
      </c>
      <c r="T1168">
        <v>4.0999999999999996</v>
      </c>
      <c r="U1168">
        <v>4.3</v>
      </c>
      <c r="V1168" t="s">
        <v>149</v>
      </c>
    </row>
    <row r="1169" spans="1:22" x14ac:dyDescent="0.35">
      <c r="A1169" s="1">
        <v>45348</v>
      </c>
      <c r="B1169" t="s">
        <v>59</v>
      </c>
      <c r="C1169" s="2">
        <v>0.6535185185185185</v>
      </c>
      <c r="D1169" t="s">
        <v>2573</v>
      </c>
      <c r="E1169" t="s">
        <v>41</v>
      </c>
      <c r="F1169" t="s">
        <v>2574</v>
      </c>
      <c r="G1169" t="s">
        <v>43</v>
      </c>
      <c r="H1169" t="s">
        <v>800</v>
      </c>
      <c r="I1169" t="s">
        <v>263</v>
      </c>
      <c r="J1169">
        <v>13.1</v>
      </c>
      <c r="K1169">
        <v>27.8</v>
      </c>
      <c r="L1169" t="s">
        <v>29</v>
      </c>
      <c r="M1169" t="s">
        <v>29</v>
      </c>
      <c r="N1169" t="s">
        <v>29</v>
      </c>
      <c r="O1169" t="s">
        <v>29</v>
      </c>
      <c r="P1169" t="s">
        <v>29</v>
      </c>
      <c r="Q1169" t="s">
        <v>29</v>
      </c>
      <c r="R1169">
        <v>408</v>
      </c>
      <c r="S1169">
        <v>4.17</v>
      </c>
      <c r="T1169">
        <v>3.7</v>
      </c>
      <c r="U1169">
        <v>4.3</v>
      </c>
      <c r="V1169" t="s">
        <v>38</v>
      </c>
    </row>
    <row r="1170" spans="1:22" x14ac:dyDescent="0.35">
      <c r="A1170" s="1">
        <v>45638</v>
      </c>
      <c r="B1170" t="s">
        <v>78</v>
      </c>
      <c r="C1170" s="2">
        <v>0.88006944444444446</v>
      </c>
      <c r="D1170" t="s">
        <v>2575</v>
      </c>
      <c r="E1170" t="s">
        <v>41</v>
      </c>
      <c r="F1170" t="s">
        <v>2576</v>
      </c>
      <c r="G1170" t="s">
        <v>34</v>
      </c>
      <c r="H1170" t="s">
        <v>143</v>
      </c>
      <c r="I1170" t="s">
        <v>417</v>
      </c>
      <c r="J1170">
        <v>4.8</v>
      </c>
      <c r="K1170">
        <v>29.7</v>
      </c>
      <c r="L1170" t="s">
        <v>29</v>
      </c>
      <c r="M1170" t="s">
        <v>29</v>
      </c>
      <c r="N1170" t="s">
        <v>29</v>
      </c>
      <c r="O1170" t="s">
        <v>29</v>
      </c>
      <c r="P1170" t="s">
        <v>29</v>
      </c>
      <c r="Q1170" t="s">
        <v>29</v>
      </c>
      <c r="R1170">
        <v>713</v>
      </c>
      <c r="S1170">
        <v>12.72</v>
      </c>
      <c r="T1170">
        <v>3.9</v>
      </c>
      <c r="U1170">
        <v>3.8</v>
      </c>
      <c r="V1170" t="s">
        <v>84</v>
      </c>
    </row>
    <row r="1171" spans="1:22" x14ac:dyDescent="0.35">
      <c r="A1171" s="1">
        <v>45324</v>
      </c>
      <c r="B1171" t="s">
        <v>59</v>
      </c>
      <c r="C1171" s="2">
        <v>0.42854166666666665</v>
      </c>
      <c r="D1171" t="s">
        <v>2577</v>
      </c>
      <c r="E1171" t="s">
        <v>93</v>
      </c>
      <c r="F1171" t="s">
        <v>2578</v>
      </c>
      <c r="G1171" t="s">
        <v>67</v>
      </c>
      <c r="H1171" t="s">
        <v>280</v>
      </c>
      <c r="I1171" t="s">
        <v>197</v>
      </c>
      <c r="J1171">
        <v>6.5</v>
      </c>
      <c r="K1171" t="s">
        <v>29</v>
      </c>
      <c r="L1171" t="s">
        <v>29</v>
      </c>
      <c r="M1171" t="s">
        <v>29</v>
      </c>
      <c r="N1171">
        <v>1</v>
      </c>
      <c r="O1171" t="s">
        <v>97</v>
      </c>
      <c r="P1171" t="s">
        <v>29</v>
      </c>
      <c r="Q1171" t="s">
        <v>29</v>
      </c>
      <c r="R1171" t="s">
        <v>29</v>
      </c>
      <c r="S1171" t="s">
        <v>29</v>
      </c>
      <c r="T1171" t="s">
        <v>29</v>
      </c>
      <c r="U1171" t="s">
        <v>29</v>
      </c>
      <c r="V1171" t="s">
        <v>29</v>
      </c>
    </row>
    <row r="1172" spans="1:22" x14ac:dyDescent="0.35">
      <c r="A1172" s="1">
        <v>45315</v>
      </c>
      <c r="B1172" t="s">
        <v>150</v>
      </c>
      <c r="C1172" s="2">
        <v>0.90912037037037041</v>
      </c>
      <c r="D1172" t="s">
        <v>2579</v>
      </c>
      <c r="E1172" t="s">
        <v>41</v>
      </c>
      <c r="F1172" t="s">
        <v>2580</v>
      </c>
      <c r="G1172" t="s">
        <v>50</v>
      </c>
      <c r="H1172" t="s">
        <v>374</v>
      </c>
      <c r="I1172" t="s">
        <v>511</v>
      </c>
      <c r="J1172">
        <v>4.7</v>
      </c>
      <c r="K1172">
        <v>37.799999999999997</v>
      </c>
      <c r="L1172" t="s">
        <v>29</v>
      </c>
      <c r="M1172" t="s">
        <v>29</v>
      </c>
      <c r="N1172" t="s">
        <v>29</v>
      </c>
      <c r="O1172" t="s">
        <v>29</v>
      </c>
      <c r="P1172" t="s">
        <v>29</v>
      </c>
      <c r="Q1172" t="s">
        <v>29</v>
      </c>
      <c r="R1172">
        <v>275</v>
      </c>
      <c r="S1172">
        <v>48.78</v>
      </c>
      <c r="T1172">
        <v>3.4</v>
      </c>
      <c r="U1172">
        <v>4.3</v>
      </c>
      <c r="V1172" t="s">
        <v>149</v>
      </c>
    </row>
    <row r="1173" spans="1:22" x14ac:dyDescent="0.35">
      <c r="A1173" s="1">
        <v>45428</v>
      </c>
      <c r="B1173" t="s">
        <v>122</v>
      </c>
      <c r="C1173" s="2">
        <v>0.6203819444444445</v>
      </c>
      <c r="D1173" t="s">
        <v>2581</v>
      </c>
      <c r="E1173" t="s">
        <v>41</v>
      </c>
      <c r="F1173" t="s">
        <v>2582</v>
      </c>
      <c r="G1173" t="s">
        <v>50</v>
      </c>
      <c r="H1173" t="s">
        <v>293</v>
      </c>
      <c r="I1173" t="s">
        <v>549</v>
      </c>
      <c r="J1173">
        <v>7.6</v>
      </c>
      <c r="K1173">
        <v>33.5</v>
      </c>
      <c r="L1173" t="s">
        <v>29</v>
      </c>
      <c r="M1173" t="s">
        <v>29</v>
      </c>
      <c r="N1173" t="s">
        <v>29</v>
      </c>
      <c r="O1173" t="s">
        <v>29</v>
      </c>
      <c r="P1173" t="s">
        <v>29</v>
      </c>
      <c r="Q1173" t="s">
        <v>29</v>
      </c>
      <c r="R1173">
        <v>245</v>
      </c>
      <c r="S1173">
        <v>48.48</v>
      </c>
      <c r="T1173">
        <v>4.4000000000000004</v>
      </c>
      <c r="U1173">
        <v>4.5</v>
      </c>
      <c r="V1173" t="s">
        <v>38</v>
      </c>
    </row>
    <row r="1174" spans="1:22" x14ac:dyDescent="0.35">
      <c r="A1174" s="1">
        <v>45338</v>
      </c>
      <c r="B1174" t="s">
        <v>59</v>
      </c>
      <c r="C1174" s="2">
        <v>0.78134259259259264</v>
      </c>
      <c r="D1174" t="s">
        <v>2583</v>
      </c>
      <c r="E1174" t="s">
        <v>41</v>
      </c>
      <c r="F1174" t="s">
        <v>2584</v>
      </c>
      <c r="G1174" t="s">
        <v>67</v>
      </c>
      <c r="H1174" t="s">
        <v>190</v>
      </c>
      <c r="I1174" t="s">
        <v>636</v>
      </c>
      <c r="J1174">
        <v>14.2</v>
      </c>
      <c r="K1174">
        <v>15.8</v>
      </c>
      <c r="L1174" t="s">
        <v>29</v>
      </c>
      <c r="M1174" t="s">
        <v>29</v>
      </c>
      <c r="N1174" t="s">
        <v>29</v>
      </c>
      <c r="O1174" t="s">
        <v>29</v>
      </c>
      <c r="P1174" t="s">
        <v>29</v>
      </c>
      <c r="Q1174" t="s">
        <v>29</v>
      </c>
      <c r="R1174">
        <v>496</v>
      </c>
      <c r="S1174">
        <v>35.380000000000003</v>
      </c>
      <c r="T1174">
        <v>3.6</v>
      </c>
      <c r="U1174">
        <v>3.7</v>
      </c>
      <c r="V1174" t="s">
        <v>38</v>
      </c>
    </row>
    <row r="1175" spans="1:22" x14ac:dyDescent="0.35">
      <c r="A1175" s="1">
        <v>45609</v>
      </c>
      <c r="B1175" t="s">
        <v>30</v>
      </c>
      <c r="C1175" s="2">
        <v>0.73037037037037034</v>
      </c>
      <c r="D1175" t="s">
        <v>2585</v>
      </c>
      <c r="E1175" t="s">
        <v>41</v>
      </c>
      <c r="F1175" t="s">
        <v>2586</v>
      </c>
      <c r="G1175" t="s">
        <v>26</v>
      </c>
      <c r="H1175" t="s">
        <v>665</v>
      </c>
      <c r="I1175" t="s">
        <v>565</v>
      </c>
      <c r="J1175">
        <v>6.9</v>
      </c>
      <c r="K1175">
        <v>32.299999999999997</v>
      </c>
      <c r="L1175" t="s">
        <v>29</v>
      </c>
      <c r="M1175" t="s">
        <v>29</v>
      </c>
      <c r="N1175" t="s">
        <v>29</v>
      </c>
      <c r="O1175" t="s">
        <v>29</v>
      </c>
      <c r="P1175" t="s">
        <v>29</v>
      </c>
      <c r="Q1175" t="s">
        <v>29</v>
      </c>
      <c r="R1175">
        <v>1544</v>
      </c>
      <c r="S1175">
        <v>20.2</v>
      </c>
      <c r="T1175">
        <v>4.2</v>
      </c>
      <c r="U1175">
        <v>4</v>
      </c>
      <c r="V1175" t="s">
        <v>38</v>
      </c>
    </row>
    <row r="1176" spans="1:22" x14ac:dyDescent="0.35">
      <c r="A1176" s="1">
        <v>45425</v>
      </c>
      <c r="B1176" t="s">
        <v>122</v>
      </c>
      <c r="C1176" s="2">
        <v>0.81762731481481477</v>
      </c>
      <c r="D1176" t="s">
        <v>2587</v>
      </c>
      <c r="E1176" t="s">
        <v>41</v>
      </c>
      <c r="F1176" t="s">
        <v>2588</v>
      </c>
      <c r="G1176" t="s">
        <v>67</v>
      </c>
      <c r="H1176" t="s">
        <v>474</v>
      </c>
      <c r="I1176" t="s">
        <v>72</v>
      </c>
      <c r="J1176">
        <v>7.6</v>
      </c>
      <c r="K1176">
        <v>15.5</v>
      </c>
      <c r="L1176" t="s">
        <v>29</v>
      </c>
      <c r="M1176" t="s">
        <v>29</v>
      </c>
      <c r="N1176" t="s">
        <v>29</v>
      </c>
      <c r="O1176" t="s">
        <v>29</v>
      </c>
      <c r="P1176" t="s">
        <v>29</v>
      </c>
      <c r="Q1176" t="s">
        <v>29</v>
      </c>
      <c r="R1176">
        <v>392</v>
      </c>
      <c r="S1176">
        <v>40.53</v>
      </c>
      <c r="T1176">
        <v>4.3</v>
      </c>
      <c r="U1176">
        <v>3.8</v>
      </c>
      <c r="V1176" t="s">
        <v>38</v>
      </c>
    </row>
    <row r="1177" spans="1:22" x14ac:dyDescent="0.35">
      <c r="A1177" s="1">
        <v>45415</v>
      </c>
      <c r="B1177" t="s">
        <v>122</v>
      </c>
      <c r="C1177" s="2">
        <v>0.12017361111111111</v>
      </c>
      <c r="D1177" t="s">
        <v>2589</v>
      </c>
      <c r="E1177" t="s">
        <v>41</v>
      </c>
      <c r="F1177" t="s">
        <v>2590</v>
      </c>
      <c r="G1177" t="s">
        <v>67</v>
      </c>
      <c r="H1177" t="s">
        <v>280</v>
      </c>
      <c r="I1177" t="s">
        <v>168</v>
      </c>
      <c r="J1177">
        <v>10.6</v>
      </c>
      <c r="K1177">
        <v>22.2</v>
      </c>
      <c r="L1177" t="s">
        <v>29</v>
      </c>
      <c r="M1177" t="s">
        <v>29</v>
      </c>
      <c r="N1177" t="s">
        <v>29</v>
      </c>
      <c r="O1177" t="s">
        <v>29</v>
      </c>
      <c r="P1177" t="s">
        <v>29</v>
      </c>
      <c r="Q1177" t="s">
        <v>29</v>
      </c>
      <c r="R1177">
        <v>90</v>
      </c>
      <c r="S1177">
        <v>26.1</v>
      </c>
      <c r="T1177">
        <v>3.7</v>
      </c>
      <c r="U1177">
        <v>4.9000000000000004</v>
      </c>
      <c r="V1177" t="s">
        <v>84</v>
      </c>
    </row>
    <row r="1178" spans="1:22" x14ac:dyDescent="0.35">
      <c r="A1178" s="1">
        <v>45612</v>
      </c>
      <c r="B1178" t="s">
        <v>30</v>
      </c>
      <c r="C1178" s="2">
        <v>0.23956018518518518</v>
      </c>
      <c r="D1178" t="s">
        <v>2591</v>
      </c>
      <c r="E1178" t="s">
        <v>41</v>
      </c>
      <c r="F1178" t="s">
        <v>2592</v>
      </c>
      <c r="G1178" t="s">
        <v>34</v>
      </c>
      <c r="H1178" t="s">
        <v>305</v>
      </c>
      <c r="I1178" t="s">
        <v>333</v>
      </c>
      <c r="J1178">
        <v>13.8</v>
      </c>
      <c r="K1178">
        <v>35.4</v>
      </c>
      <c r="L1178" t="s">
        <v>29</v>
      </c>
      <c r="M1178" t="s">
        <v>29</v>
      </c>
      <c r="N1178" t="s">
        <v>29</v>
      </c>
      <c r="O1178" t="s">
        <v>29</v>
      </c>
      <c r="P1178" t="s">
        <v>29</v>
      </c>
      <c r="Q1178" t="s">
        <v>29</v>
      </c>
      <c r="R1178">
        <v>363</v>
      </c>
      <c r="S1178">
        <v>9.16</v>
      </c>
      <c r="T1178">
        <v>4.3</v>
      </c>
      <c r="U1178">
        <v>4.9000000000000004</v>
      </c>
      <c r="V1178" t="s">
        <v>107</v>
      </c>
    </row>
    <row r="1179" spans="1:22" x14ac:dyDescent="0.35">
      <c r="A1179" s="1">
        <v>45457</v>
      </c>
      <c r="B1179" t="s">
        <v>64</v>
      </c>
      <c r="C1179" s="2">
        <v>0.31671296296296297</v>
      </c>
      <c r="D1179" t="s">
        <v>2593</v>
      </c>
      <c r="E1179" t="s">
        <v>41</v>
      </c>
      <c r="F1179" t="s">
        <v>2594</v>
      </c>
      <c r="G1179" t="s">
        <v>56</v>
      </c>
      <c r="H1179" t="s">
        <v>28</v>
      </c>
      <c r="I1179" t="s">
        <v>744</v>
      </c>
      <c r="J1179">
        <v>5.5</v>
      </c>
      <c r="K1179">
        <v>40.1</v>
      </c>
      <c r="L1179" t="s">
        <v>29</v>
      </c>
      <c r="M1179" t="s">
        <v>29</v>
      </c>
      <c r="N1179" t="s">
        <v>29</v>
      </c>
      <c r="O1179" t="s">
        <v>29</v>
      </c>
      <c r="P1179" t="s">
        <v>29</v>
      </c>
      <c r="Q1179" t="s">
        <v>29</v>
      </c>
      <c r="R1179">
        <v>371</v>
      </c>
      <c r="S1179">
        <v>36.159999999999997</v>
      </c>
      <c r="T1179">
        <v>3.9</v>
      </c>
      <c r="U1179">
        <v>4.5999999999999996</v>
      </c>
      <c r="V1179" t="s">
        <v>38</v>
      </c>
    </row>
    <row r="1180" spans="1:22" x14ac:dyDescent="0.35">
      <c r="A1180" s="1">
        <v>45616</v>
      </c>
      <c r="B1180" t="s">
        <v>30</v>
      </c>
      <c r="C1180" s="2">
        <v>0.73714120370370373</v>
      </c>
      <c r="D1180" t="s">
        <v>2595</v>
      </c>
      <c r="E1180" t="s">
        <v>93</v>
      </c>
      <c r="F1180" t="s">
        <v>2596</v>
      </c>
      <c r="G1180" t="s">
        <v>67</v>
      </c>
      <c r="H1180" t="s">
        <v>263</v>
      </c>
      <c r="I1180" t="s">
        <v>391</v>
      </c>
      <c r="J1180">
        <v>10.3</v>
      </c>
      <c r="K1180" t="s">
        <v>29</v>
      </c>
      <c r="L1180" t="s">
        <v>29</v>
      </c>
      <c r="M1180" t="s">
        <v>29</v>
      </c>
      <c r="N1180">
        <v>1</v>
      </c>
      <c r="O1180" t="s">
        <v>337</v>
      </c>
      <c r="P1180" t="s">
        <v>29</v>
      </c>
      <c r="Q1180" t="s">
        <v>29</v>
      </c>
      <c r="R1180" t="s">
        <v>29</v>
      </c>
      <c r="S1180" t="s">
        <v>29</v>
      </c>
      <c r="T1180" t="s">
        <v>29</v>
      </c>
      <c r="U1180" t="s">
        <v>29</v>
      </c>
      <c r="V1180" t="s">
        <v>29</v>
      </c>
    </row>
    <row r="1181" spans="1:22" x14ac:dyDescent="0.35">
      <c r="A1181" s="1">
        <v>45627</v>
      </c>
      <c r="B1181" t="s">
        <v>78</v>
      </c>
      <c r="C1181" s="2">
        <v>0.35158564814814813</v>
      </c>
      <c r="D1181" t="s">
        <v>2597</v>
      </c>
      <c r="E1181" t="s">
        <v>41</v>
      </c>
      <c r="F1181" t="s">
        <v>2598</v>
      </c>
      <c r="G1181" t="s">
        <v>43</v>
      </c>
      <c r="H1181" t="s">
        <v>221</v>
      </c>
      <c r="I1181" t="s">
        <v>129</v>
      </c>
      <c r="J1181">
        <v>7.4</v>
      </c>
      <c r="K1181">
        <v>37.799999999999997</v>
      </c>
      <c r="L1181" t="s">
        <v>29</v>
      </c>
      <c r="M1181" t="s">
        <v>29</v>
      </c>
      <c r="N1181" t="s">
        <v>29</v>
      </c>
      <c r="O1181" t="s">
        <v>29</v>
      </c>
      <c r="P1181" t="s">
        <v>29</v>
      </c>
      <c r="Q1181" t="s">
        <v>29</v>
      </c>
      <c r="R1181">
        <v>740</v>
      </c>
      <c r="S1181">
        <v>47.44</v>
      </c>
      <c r="T1181">
        <v>4.5999999999999996</v>
      </c>
      <c r="U1181">
        <v>4.2</v>
      </c>
      <c r="V1181" t="s">
        <v>38</v>
      </c>
    </row>
    <row r="1182" spans="1:22" x14ac:dyDescent="0.35">
      <c r="A1182" s="1">
        <v>45507</v>
      </c>
      <c r="B1182" t="s">
        <v>39</v>
      </c>
      <c r="C1182" s="2">
        <v>0.39697916666666666</v>
      </c>
      <c r="D1182" t="s">
        <v>2599</v>
      </c>
      <c r="E1182" t="s">
        <v>41</v>
      </c>
      <c r="F1182" t="s">
        <v>2600</v>
      </c>
      <c r="G1182" t="s">
        <v>50</v>
      </c>
      <c r="H1182" t="s">
        <v>148</v>
      </c>
      <c r="I1182" t="s">
        <v>312</v>
      </c>
      <c r="J1182">
        <v>2.4</v>
      </c>
      <c r="K1182">
        <v>22</v>
      </c>
      <c r="L1182" t="s">
        <v>29</v>
      </c>
      <c r="M1182" t="s">
        <v>29</v>
      </c>
      <c r="N1182" t="s">
        <v>29</v>
      </c>
      <c r="O1182" t="s">
        <v>29</v>
      </c>
      <c r="P1182" t="s">
        <v>29</v>
      </c>
      <c r="Q1182" t="s">
        <v>29</v>
      </c>
      <c r="R1182">
        <v>1029</v>
      </c>
      <c r="S1182">
        <v>34.51</v>
      </c>
      <c r="T1182">
        <v>5</v>
      </c>
      <c r="U1182">
        <v>4.4000000000000004</v>
      </c>
      <c r="V1182" t="s">
        <v>107</v>
      </c>
    </row>
    <row r="1183" spans="1:22" x14ac:dyDescent="0.35">
      <c r="A1183" s="1">
        <v>45516</v>
      </c>
      <c r="B1183" t="s">
        <v>39</v>
      </c>
      <c r="C1183" s="2">
        <v>0.82650462962962967</v>
      </c>
      <c r="D1183" t="s">
        <v>2601</v>
      </c>
      <c r="E1183" t="s">
        <v>117</v>
      </c>
      <c r="F1183" t="s">
        <v>2602</v>
      </c>
      <c r="G1183" t="s">
        <v>50</v>
      </c>
      <c r="H1183" t="s">
        <v>114</v>
      </c>
      <c r="I1183" t="s">
        <v>52</v>
      </c>
      <c r="J1183">
        <v>6.1</v>
      </c>
      <c r="K1183" t="s">
        <v>29</v>
      </c>
      <c r="L1183">
        <v>1</v>
      </c>
      <c r="M1183" t="s">
        <v>420</v>
      </c>
      <c r="N1183" t="s">
        <v>29</v>
      </c>
      <c r="O1183" t="s">
        <v>29</v>
      </c>
      <c r="P1183" t="s">
        <v>29</v>
      </c>
      <c r="Q1183" t="s">
        <v>29</v>
      </c>
      <c r="R1183" t="s">
        <v>29</v>
      </c>
      <c r="S1183" t="s">
        <v>29</v>
      </c>
      <c r="T1183" t="s">
        <v>29</v>
      </c>
      <c r="U1183" t="s">
        <v>29</v>
      </c>
      <c r="V1183" t="s">
        <v>29</v>
      </c>
    </row>
    <row r="1184" spans="1:22" x14ac:dyDescent="0.35">
      <c r="A1184" s="1">
        <v>45444</v>
      </c>
      <c r="B1184" t="s">
        <v>64</v>
      </c>
      <c r="C1184" s="2">
        <v>0.31335648148148149</v>
      </c>
      <c r="D1184" t="s">
        <v>2603</v>
      </c>
      <c r="E1184" t="s">
        <v>41</v>
      </c>
      <c r="F1184" t="s">
        <v>2604</v>
      </c>
      <c r="G1184" t="s">
        <v>67</v>
      </c>
      <c r="H1184" t="s">
        <v>242</v>
      </c>
      <c r="I1184" t="s">
        <v>822</v>
      </c>
      <c r="J1184">
        <v>3.4</v>
      </c>
      <c r="K1184">
        <v>20</v>
      </c>
      <c r="L1184" t="s">
        <v>29</v>
      </c>
      <c r="M1184" t="s">
        <v>29</v>
      </c>
      <c r="N1184" t="s">
        <v>29</v>
      </c>
      <c r="O1184" t="s">
        <v>29</v>
      </c>
      <c r="P1184" t="s">
        <v>29</v>
      </c>
      <c r="Q1184" t="s">
        <v>29</v>
      </c>
      <c r="R1184">
        <v>357</v>
      </c>
      <c r="S1184">
        <v>31.62</v>
      </c>
      <c r="T1184">
        <v>3.9</v>
      </c>
      <c r="U1184">
        <v>4.5999999999999996</v>
      </c>
      <c r="V1184" t="s">
        <v>38</v>
      </c>
    </row>
    <row r="1185" spans="1:22" x14ac:dyDescent="0.35">
      <c r="A1185" s="1">
        <v>45560</v>
      </c>
      <c r="B1185" t="s">
        <v>53</v>
      </c>
      <c r="C1185" s="2">
        <v>0.4322685185185185</v>
      </c>
      <c r="D1185" t="s">
        <v>2605</v>
      </c>
      <c r="E1185" t="s">
        <v>41</v>
      </c>
      <c r="F1185" t="s">
        <v>2606</v>
      </c>
      <c r="G1185" t="s">
        <v>34</v>
      </c>
      <c r="H1185" t="s">
        <v>221</v>
      </c>
      <c r="I1185" t="s">
        <v>819</v>
      </c>
      <c r="J1185">
        <v>8.5</v>
      </c>
      <c r="K1185">
        <v>39.6</v>
      </c>
      <c r="L1185" t="s">
        <v>29</v>
      </c>
      <c r="M1185" t="s">
        <v>29</v>
      </c>
      <c r="N1185" t="s">
        <v>29</v>
      </c>
      <c r="O1185" t="s">
        <v>29</v>
      </c>
      <c r="P1185" t="s">
        <v>29</v>
      </c>
      <c r="Q1185" t="s">
        <v>29</v>
      </c>
      <c r="R1185">
        <v>141</v>
      </c>
      <c r="S1185">
        <v>5.47</v>
      </c>
      <c r="T1185">
        <v>4.3</v>
      </c>
      <c r="U1185">
        <v>4.9000000000000004</v>
      </c>
      <c r="V1185" t="s">
        <v>84</v>
      </c>
    </row>
    <row r="1186" spans="1:22" x14ac:dyDescent="0.35">
      <c r="A1186" s="1">
        <v>45363</v>
      </c>
      <c r="B1186" t="s">
        <v>22</v>
      </c>
      <c r="C1186" s="2">
        <v>0.52445601851851853</v>
      </c>
      <c r="D1186" t="s">
        <v>2607</v>
      </c>
      <c r="E1186" t="s">
        <v>41</v>
      </c>
      <c r="F1186" t="s">
        <v>2608</v>
      </c>
      <c r="G1186" t="s">
        <v>67</v>
      </c>
      <c r="H1186" t="s">
        <v>714</v>
      </c>
      <c r="I1186" t="s">
        <v>125</v>
      </c>
      <c r="J1186">
        <v>11.1</v>
      </c>
      <c r="K1186">
        <v>16.8</v>
      </c>
      <c r="L1186" t="s">
        <v>29</v>
      </c>
      <c r="M1186" t="s">
        <v>29</v>
      </c>
      <c r="N1186" t="s">
        <v>29</v>
      </c>
      <c r="O1186" t="s">
        <v>29</v>
      </c>
      <c r="P1186" t="s">
        <v>29</v>
      </c>
      <c r="Q1186" t="s">
        <v>29</v>
      </c>
      <c r="R1186">
        <v>674</v>
      </c>
      <c r="S1186">
        <v>35.28</v>
      </c>
      <c r="T1186">
        <v>3.8</v>
      </c>
      <c r="U1186">
        <v>4.8</v>
      </c>
      <c r="V1186" t="s">
        <v>46</v>
      </c>
    </row>
    <row r="1187" spans="1:22" x14ac:dyDescent="0.35">
      <c r="A1187" s="1">
        <v>45389</v>
      </c>
      <c r="B1187" t="s">
        <v>154</v>
      </c>
      <c r="C1187" s="2">
        <v>0.827662037037037</v>
      </c>
      <c r="D1187" t="s">
        <v>2609</v>
      </c>
      <c r="E1187" t="s">
        <v>93</v>
      </c>
      <c r="F1187" t="s">
        <v>2610</v>
      </c>
      <c r="G1187" t="s">
        <v>67</v>
      </c>
      <c r="H1187" t="s">
        <v>565</v>
      </c>
      <c r="I1187" t="s">
        <v>693</v>
      </c>
      <c r="J1187">
        <v>3.8</v>
      </c>
      <c r="K1187" t="s">
        <v>29</v>
      </c>
      <c r="L1187" t="s">
        <v>29</v>
      </c>
      <c r="M1187" t="s">
        <v>29</v>
      </c>
      <c r="N1187">
        <v>1</v>
      </c>
      <c r="O1187" t="s">
        <v>115</v>
      </c>
      <c r="P1187" t="s">
        <v>29</v>
      </c>
      <c r="Q1187" t="s">
        <v>29</v>
      </c>
      <c r="R1187" t="s">
        <v>29</v>
      </c>
      <c r="S1187" t="s">
        <v>29</v>
      </c>
      <c r="T1187" t="s">
        <v>29</v>
      </c>
      <c r="U1187" t="s">
        <v>29</v>
      </c>
      <c r="V1187" t="s">
        <v>29</v>
      </c>
    </row>
    <row r="1188" spans="1:22" x14ac:dyDescent="0.35">
      <c r="A1188" s="1">
        <v>45433</v>
      </c>
      <c r="B1188" t="s">
        <v>122</v>
      </c>
      <c r="C1188" s="2">
        <v>0.89606481481481481</v>
      </c>
      <c r="D1188" t="s">
        <v>2611</v>
      </c>
      <c r="E1188" t="s">
        <v>93</v>
      </c>
      <c r="F1188" t="s">
        <v>2612</v>
      </c>
      <c r="G1188" t="s">
        <v>26</v>
      </c>
      <c r="H1188" t="s">
        <v>186</v>
      </c>
      <c r="I1188" t="s">
        <v>636</v>
      </c>
      <c r="J1188">
        <v>3.7</v>
      </c>
      <c r="K1188" t="s">
        <v>29</v>
      </c>
      <c r="L1188" t="s">
        <v>29</v>
      </c>
      <c r="M1188" t="s">
        <v>29</v>
      </c>
      <c r="N1188">
        <v>1</v>
      </c>
      <c r="O1188" t="s">
        <v>337</v>
      </c>
      <c r="P1188" t="s">
        <v>29</v>
      </c>
      <c r="Q1188" t="s">
        <v>29</v>
      </c>
      <c r="R1188" t="s">
        <v>29</v>
      </c>
      <c r="S1188" t="s">
        <v>29</v>
      </c>
      <c r="T1188" t="s">
        <v>29</v>
      </c>
      <c r="U1188" t="s">
        <v>29</v>
      </c>
      <c r="V1188" t="s">
        <v>29</v>
      </c>
    </row>
    <row r="1189" spans="1:22" x14ac:dyDescent="0.35">
      <c r="A1189" s="1">
        <v>45326</v>
      </c>
      <c r="B1189" t="s">
        <v>59</v>
      </c>
      <c r="C1189" s="2">
        <v>0.46127314814814813</v>
      </c>
      <c r="D1189" t="s">
        <v>2613</v>
      </c>
      <c r="E1189" t="s">
        <v>41</v>
      </c>
      <c r="F1189" t="s">
        <v>2614</v>
      </c>
      <c r="G1189" t="s">
        <v>67</v>
      </c>
      <c r="H1189" t="s">
        <v>463</v>
      </c>
      <c r="I1189" t="s">
        <v>51</v>
      </c>
      <c r="J1189">
        <v>11.1</v>
      </c>
      <c r="K1189">
        <v>44.4</v>
      </c>
      <c r="L1189" t="s">
        <v>29</v>
      </c>
      <c r="M1189" t="s">
        <v>29</v>
      </c>
      <c r="N1189" t="s">
        <v>29</v>
      </c>
      <c r="O1189" t="s">
        <v>29</v>
      </c>
      <c r="P1189" t="s">
        <v>29</v>
      </c>
      <c r="Q1189" t="s">
        <v>29</v>
      </c>
      <c r="R1189">
        <v>931</v>
      </c>
      <c r="S1189">
        <v>29.23</v>
      </c>
      <c r="T1189">
        <v>4.7</v>
      </c>
      <c r="U1189">
        <v>4.2</v>
      </c>
      <c r="V1189" t="s">
        <v>84</v>
      </c>
    </row>
    <row r="1190" spans="1:22" x14ac:dyDescent="0.35">
      <c r="A1190" s="1">
        <v>45320</v>
      </c>
      <c r="B1190" t="s">
        <v>150</v>
      </c>
      <c r="C1190" s="2">
        <v>0.87599537037037034</v>
      </c>
      <c r="D1190" t="s">
        <v>2615</v>
      </c>
      <c r="E1190" t="s">
        <v>93</v>
      </c>
      <c r="F1190" t="s">
        <v>2616</v>
      </c>
      <c r="G1190" t="s">
        <v>56</v>
      </c>
      <c r="H1190" t="s">
        <v>296</v>
      </c>
      <c r="I1190" t="s">
        <v>81</v>
      </c>
      <c r="J1190">
        <v>3.7</v>
      </c>
      <c r="K1190" t="s">
        <v>29</v>
      </c>
      <c r="L1190" t="s">
        <v>29</v>
      </c>
      <c r="M1190" t="s">
        <v>29</v>
      </c>
      <c r="N1190">
        <v>1</v>
      </c>
      <c r="O1190" t="s">
        <v>97</v>
      </c>
      <c r="P1190" t="s">
        <v>29</v>
      </c>
      <c r="Q1190" t="s">
        <v>29</v>
      </c>
      <c r="R1190" t="s">
        <v>29</v>
      </c>
      <c r="S1190" t="s">
        <v>29</v>
      </c>
      <c r="T1190" t="s">
        <v>29</v>
      </c>
      <c r="U1190" t="s">
        <v>29</v>
      </c>
      <c r="V1190" t="s">
        <v>29</v>
      </c>
    </row>
    <row r="1191" spans="1:22" x14ac:dyDescent="0.35">
      <c r="A1191" s="1">
        <v>45420</v>
      </c>
      <c r="B1191" t="s">
        <v>122</v>
      </c>
      <c r="C1191" s="2">
        <v>0.3228935185185185</v>
      </c>
      <c r="D1191" t="s">
        <v>2617</v>
      </c>
      <c r="E1191" t="s">
        <v>41</v>
      </c>
      <c r="F1191" t="s">
        <v>2618</v>
      </c>
      <c r="G1191" t="s">
        <v>67</v>
      </c>
      <c r="H1191" t="s">
        <v>82</v>
      </c>
      <c r="I1191" t="s">
        <v>555</v>
      </c>
      <c r="J1191">
        <v>7</v>
      </c>
      <c r="K1191">
        <v>17</v>
      </c>
      <c r="L1191" t="s">
        <v>29</v>
      </c>
      <c r="M1191" t="s">
        <v>29</v>
      </c>
      <c r="N1191" t="s">
        <v>29</v>
      </c>
      <c r="O1191" t="s">
        <v>29</v>
      </c>
      <c r="P1191" t="s">
        <v>29</v>
      </c>
      <c r="Q1191" t="s">
        <v>29</v>
      </c>
      <c r="R1191">
        <v>664</v>
      </c>
      <c r="S1191">
        <v>22.18</v>
      </c>
      <c r="T1191">
        <v>3.2</v>
      </c>
      <c r="U1191">
        <v>5</v>
      </c>
      <c r="V1191" t="s">
        <v>84</v>
      </c>
    </row>
    <row r="1192" spans="1:22" x14ac:dyDescent="0.35">
      <c r="A1192" s="1">
        <v>45555</v>
      </c>
      <c r="B1192" t="s">
        <v>53</v>
      </c>
      <c r="C1192" s="2">
        <v>0.65923611111111113</v>
      </c>
      <c r="D1192" t="s">
        <v>2619</v>
      </c>
      <c r="E1192" t="s">
        <v>93</v>
      </c>
      <c r="F1192" t="s">
        <v>2620</v>
      </c>
      <c r="G1192" t="s">
        <v>43</v>
      </c>
      <c r="H1192" t="s">
        <v>103</v>
      </c>
      <c r="I1192" t="s">
        <v>194</v>
      </c>
      <c r="J1192">
        <v>9.9</v>
      </c>
      <c r="K1192" t="s">
        <v>29</v>
      </c>
      <c r="L1192" t="s">
        <v>29</v>
      </c>
      <c r="M1192" t="s">
        <v>29</v>
      </c>
      <c r="N1192">
        <v>1</v>
      </c>
      <c r="O1192" t="s">
        <v>115</v>
      </c>
      <c r="P1192" t="s">
        <v>29</v>
      </c>
      <c r="Q1192" t="s">
        <v>29</v>
      </c>
      <c r="R1192" t="s">
        <v>29</v>
      </c>
      <c r="S1192" t="s">
        <v>29</v>
      </c>
      <c r="T1192" t="s">
        <v>29</v>
      </c>
      <c r="U1192" t="s">
        <v>29</v>
      </c>
      <c r="V1192" t="s">
        <v>29</v>
      </c>
    </row>
    <row r="1193" spans="1:22" x14ac:dyDescent="0.35">
      <c r="A1193" s="1">
        <v>45595</v>
      </c>
      <c r="B1193" t="s">
        <v>47</v>
      </c>
      <c r="C1193" s="2">
        <v>0.86333333333333329</v>
      </c>
      <c r="D1193" t="s">
        <v>2621</v>
      </c>
      <c r="E1193" t="s">
        <v>41</v>
      </c>
      <c r="F1193" t="s">
        <v>2622</v>
      </c>
      <c r="G1193" t="s">
        <v>50</v>
      </c>
      <c r="H1193" t="s">
        <v>474</v>
      </c>
      <c r="I1193" t="s">
        <v>565</v>
      </c>
      <c r="J1193">
        <v>9.6999999999999993</v>
      </c>
      <c r="K1193">
        <v>31.5</v>
      </c>
      <c r="L1193" t="s">
        <v>29</v>
      </c>
      <c r="M1193" t="s">
        <v>29</v>
      </c>
      <c r="N1193" t="s">
        <v>29</v>
      </c>
      <c r="O1193" t="s">
        <v>29</v>
      </c>
      <c r="P1193" t="s">
        <v>29</v>
      </c>
      <c r="Q1193" t="s">
        <v>29</v>
      </c>
      <c r="R1193">
        <v>63</v>
      </c>
      <c r="S1193">
        <v>15.38</v>
      </c>
      <c r="T1193">
        <v>4.4000000000000004</v>
      </c>
      <c r="U1193">
        <v>4.2</v>
      </c>
      <c r="V1193" t="s">
        <v>46</v>
      </c>
    </row>
    <row r="1194" spans="1:22" x14ac:dyDescent="0.35">
      <c r="A1194" s="1">
        <v>45631</v>
      </c>
      <c r="B1194" t="s">
        <v>78</v>
      </c>
      <c r="C1194" s="2">
        <v>0.86353009259259261</v>
      </c>
      <c r="D1194" t="s">
        <v>2623</v>
      </c>
      <c r="E1194" t="s">
        <v>41</v>
      </c>
      <c r="F1194" t="s">
        <v>2624</v>
      </c>
      <c r="G1194" t="s">
        <v>50</v>
      </c>
      <c r="H1194" t="s">
        <v>220</v>
      </c>
      <c r="I1194" t="s">
        <v>172</v>
      </c>
      <c r="J1194">
        <v>10.199999999999999</v>
      </c>
      <c r="K1194">
        <v>18.2</v>
      </c>
      <c r="L1194" t="s">
        <v>29</v>
      </c>
      <c r="M1194" t="s">
        <v>29</v>
      </c>
      <c r="N1194" t="s">
        <v>29</v>
      </c>
      <c r="O1194" t="s">
        <v>29</v>
      </c>
      <c r="P1194" t="s">
        <v>29</v>
      </c>
      <c r="Q1194" t="s">
        <v>29</v>
      </c>
      <c r="R1194">
        <v>212</v>
      </c>
      <c r="S1194">
        <v>20.399999999999999</v>
      </c>
      <c r="T1194">
        <v>4.3</v>
      </c>
      <c r="U1194">
        <v>4.7</v>
      </c>
      <c r="V1194" t="s">
        <v>38</v>
      </c>
    </row>
    <row r="1195" spans="1:22" x14ac:dyDescent="0.35">
      <c r="A1195" s="1">
        <v>45401</v>
      </c>
      <c r="B1195" t="s">
        <v>154</v>
      </c>
      <c r="C1195" s="2">
        <v>0.70901620370370366</v>
      </c>
      <c r="D1195" t="s">
        <v>2625</v>
      </c>
      <c r="E1195" t="s">
        <v>93</v>
      </c>
      <c r="F1195" t="s">
        <v>2626</v>
      </c>
      <c r="G1195" t="s">
        <v>43</v>
      </c>
      <c r="H1195" t="s">
        <v>95</v>
      </c>
      <c r="I1195" t="s">
        <v>69</v>
      </c>
      <c r="J1195">
        <v>6.5</v>
      </c>
      <c r="K1195" t="s">
        <v>29</v>
      </c>
      <c r="L1195" t="s">
        <v>29</v>
      </c>
      <c r="M1195" t="s">
        <v>29</v>
      </c>
      <c r="N1195">
        <v>1</v>
      </c>
      <c r="O1195" t="s">
        <v>115</v>
      </c>
      <c r="P1195" t="s">
        <v>29</v>
      </c>
      <c r="Q1195" t="s">
        <v>29</v>
      </c>
      <c r="R1195" t="s">
        <v>29</v>
      </c>
      <c r="S1195" t="s">
        <v>29</v>
      </c>
      <c r="T1195" t="s">
        <v>29</v>
      </c>
      <c r="U1195" t="s">
        <v>29</v>
      </c>
      <c r="V1195" t="s">
        <v>29</v>
      </c>
    </row>
    <row r="1196" spans="1:22" x14ac:dyDescent="0.35">
      <c r="A1196" s="1">
        <v>45315</v>
      </c>
      <c r="B1196" t="s">
        <v>150</v>
      </c>
      <c r="C1196" s="2">
        <v>0.78497685185185184</v>
      </c>
      <c r="D1196" t="s">
        <v>2627</v>
      </c>
      <c r="E1196" t="s">
        <v>41</v>
      </c>
      <c r="F1196" t="s">
        <v>2628</v>
      </c>
      <c r="G1196" t="s">
        <v>43</v>
      </c>
      <c r="H1196" t="s">
        <v>552</v>
      </c>
      <c r="I1196" t="s">
        <v>102</v>
      </c>
      <c r="J1196">
        <v>12.1</v>
      </c>
      <c r="K1196">
        <v>19.3</v>
      </c>
      <c r="L1196" t="s">
        <v>29</v>
      </c>
      <c r="M1196" t="s">
        <v>29</v>
      </c>
      <c r="N1196" t="s">
        <v>29</v>
      </c>
      <c r="O1196" t="s">
        <v>29</v>
      </c>
      <c r="P1196" t="s">
        <v>29</v>
      </c>
      <c r="Q1196" t="s">
        <v>29</v>
      </c>
      <c r="R1196">
        <v>488</v>
      </c>
      <c r="S1196">
        <v>37.229999999999997</v>
      </c>
      <c r="T1196">
        <v>3.1</v>
      </c>
      <c r="U1196">
        <v>4.4000000000000004</v>
      </c>
      <c r="V1196" t="s">
        <v>84</v>
      </c>
    </row>
    <row r="1197" spans="1:22" x14ac:dyDescent="0.35">
      <c r="A1197" s="1">
        <v>45328</v>
      </c>
      <c r="B1197" t="s">
        <v>59</v>
      </c>
      <c r="C1197" s="2">
        <v>0.41967592592592595</v>
      </c>
      <c r="D1197" t="s">
        <v>2629</v>
      </c>
      <c r="E1197" t="s">
        <v>41</v>
      </c>
      <c r="F1197" t="s">
        <v>2630</v>
      </c>
      <c r="G1197" t="s">
        <v>43</v>
      </c>
      <c r="H1197" t="s">
        <v>585</v>
      </c>
      <c r="I1197" t="s">
        <v>58</v>
      </c>
      <c r="J1197">
        <v>13.7</v>
      </c>
      <c r="K1197">
        <v>36.6</v>
      </c>
      <c r="L1197" t="s">
        <v>29</v>
      </c>
      <c r="M1197" t="s">
        <v>29</v>
      </c>
      <c r="N1197" t="s">
        <v>29</v>
      </c>
      <c r="O1197" t="s">
        <v>29</v>
      </c>
      <c r="P1197" t="s">
        <v>29</v>
      </c>
      <c r="Q1197" t="s">
        <v>29</v>
      </c>
      <c r="R1197">
        <v>483</v>
      </c>
      <c r="S1197">
        <v>40.76</v>
      </c>
      <c r="T1197">
        <v>4.4000000000000004</v>
      </c>
      <c r="U1197">
        <v>4.4000000000000004</v>
      </c>
      <c r="V1197" t="s">
        <v>38</v>
      </c>
    </row>
    <row r="1198" spans="1:22" x14ac:dyDescent="0.35">
      <c r="A1198" s="1">
        <v>45614</v>
      </c>
      <c r="B1198" t="s">
        <v>30</v>
      </c>
      <c r="C1198" s="2">
        <v>3.6770833333333336E-2</v>
      </c>
      <c r="D1198" t="s">
        <v>2631</v>
      </c>
      <c r="E1198" t="s">
        <v>41</v>
      </c>
      <c r="F1198" t="s">
        <v>2632</v>
      </c>
      <c r="G1198" t="s">
        <v>50</v>
      </c>
      <c r="H1198" t="s">
        <v>315</v>
      </c>
      <c r="I1198" t="s">
        <v>77</v>
      </c>
      <c r="J1198">
        <v>4.4000000000000004</v>
      </c>
      <c r="K1198">
        <v>15.8</v>
      </c>
      <c r="L1198" t="s">
        <v>29</v>
      </c>
      <c r="M1198" t="s">
        <v>29</v>
      </c>
      <c r="N1198" t="s">
        <v>29</v>
      </c>
      <c r="O1198" t="s">
        <v>29</v>
      </c>
      <c r="P1198" t="s">
        <v>29</v>
      </c>
      <c r="Q1198" t="s">
        <v>29</v>
      </c>
      <c r="R1198">
        <v>400</v>
      </c>
      <c r="S1198">
        <v>8.34</v>
      </c>
      <c r="T1198">
        <v>4.3</v>
      </c>
      <c r="U1198">
        <v>4.4000000000000004</v>
      </c>
      <c r="V1198" t="s">
        <v>149</v>
      </c>
    </row>
    <row r="1199" spans="1:22" x14ac:dyDescent="0.35">
      <c r="A1199" s="1">
        <v>45483</v>
      </c>
      <c r="B1199" t="s">
        <v>108</v>
      </c>
      <c r="C1199" s="2">
        <v>0.6495023148148148</v>
      </c>
      <c r="D1199" t="s">
        <v>2633</v>
      </c>
      <c r="E1199" t="s">
        <v>41</v>
      </c>
      <c r="F1199" t="s">
        <v>2634</v>
      </c>
      <c r="G1199" t="s">
        <v>43</v>
      </c>
      <c r="H1199" t="s">
        <v>819</v>
      </c>
      <c r="I1199" t="s">
        <v>281</v>
      </c>
      <c r="J1199">
        <v>5.5</v>
      </c>
      <c r="K1199">
        <v>36.299999999999997</v>
      </c>
      <c r="L1199" t="s">
        <v>29</v>
      </c>
      <c r="M1199" t="s">
        <v>29</v>
      </c>
      <c r="N1199" t="s">
        <v>29</v>
      </c>
      <c r="O1199" t="s">
        <v>29</v>
      </c>
      <c r="P1199" t="s">
        <v>29</v>
      </c>
      <c r="Q1199" t="s">
        <v>29</v>
      </c>
      <c r="R1199">
        <v>218</v>
      </c>
      <c r="S1199">
        <v>38.96</v>
      </c>
      <c r="T1199">
        <v>3.7</v>
      </c>
      <c r="U1199">
        <v>4.9000000000000004</v>
      </c>
      <c r="V1199" t="s">
        <v>38</v>
      </c>
    </row>
    <row r="1200" spans="1:22" x14ac:dyDescent="0.35">
      <c r="A1200" s="1">
        <v>45537</v>
      </c>
      <c r="B1200" t="s">
        <v>53</v>
      </c>
      <c r="C1200" s="2">
        <v>9.5682870370370376E-2</v>
      </c>
      <c r="D1200" t="s">
        <v>2635</v>
      </c>
      <c r="E1200" t="s">
        <v>24</v>
      </c>
      <c r="F1200" t="s">
        <v>2636</v>
      </c>
      <c r="G1200" t="s">
        <v>43</v>
      </c>
      <c r="H1200" t="s">
        <v>262</v>
      </c>
      <c r="I1200" t="s">
        <v>442</v>
      </c>
      <c r="J1200" t="s">
        <v>29</v>
      </c>
      <c r="K1200" t="s">
        <v>29</v>
      </c>
      <c r="L1200" t="s">
        <v>29</v>
      </c>
      <c r="M1200" t="s">
        <v>29</v>
      </c>
      <c r="N1200" t="s">
        <v>29</v>
      </c>
      <c r="O1200" t="s">
        <v>29</v>
      </c>
      <c r="P1200" t="s">
        <v>29</v>
      </c>
      <c r="Q1200" t="s">
        <v>29</v>
      </c>
      <c r="R1200" t="s">
        <v>29</v>
      </c>
      <c r="S1200" t="s">
        <v>29</v>
      </c>
      <c r="T1200" t="s">
        <v>29</v>
      </c>
      <c r="U1200" t="s">
        <v>29</v>
      </c>
      <c r="V1200" t="s">
        <v>29</v>
      </c>
    </row>
    <row r="1201" spans="1:22" x14ac:dyDescent="0.35">
      <c r="A1201" s="1">
        <v>45480</v>
      </c>
      <c r="B1201" t="s">
        <v>108</v>
      </c>
      <c r="C1201" s="2">
        <v>0.88416666666666666</v>
      </c>
      <c r="D1201" t="s">
        <v>2637</v>
      </c>
      <c r="E1201" t="s">
        <v>24</v>
      </c>
      <c r="F1201" t="s">
        <v>2638</v>
      </c>
      <c r="G1201" t="s">
        <v>43</v>
      </c>
      <c r="H1201" t="s">
        <v>62</v>
      </c>
      <c r="I1201" t="s">
        <v>173</v>
      </c>
      <c r="J1201" t="s">
        <v>29</v>
      </c>
      <c r="K1201" t="s">
        <v>29</v>
      </c>
      <c r="L1201" t="s">
        <v>29</v>
      </c>
      <c r="M1201" t="s">
        <v>29</v>
      </c>
      <c r="N1201" t="s">
        <v>29</v>
      </c>
      <c r="O1201" t="s">
        <v>29</v>
      </c>
      <c r="P1201" t="s">
        <v>29</v>
      </c>
      <c r="Q1201" t="s">
        <v>29</v>
      </c>
      <c r="R1201" t="s">
        <v>29</v>
      </c>
      <c r="S1201" t="s">
        <v>29</v>
      </c>
      <c r="T1201" t="s">
        <v>29</v>
      </c>
      <c r="U1201" t="s">
        <v>29</v>
      </c>
      <c r="V1201" t="s">
        <v>29</v>
      </c>
    </row>
    <row r="1202" spans="1:22" x14ac:dyDescent="0.35">
      <c r="A1202" s="1">
        <v>45575</v>
      </c>
      <c r="B1202" t="s">
        <v>47</v>
      </c>
      <c r="C1202" s="2">
        <v>0.53915509259259264</v>
      </c>
      <c r="D1202" t="s">
        <v>2639</v>
      </c>
      <c r="E1202" t="s">
        <v>117</v>
      </c>
      <c r="F1202" t="s">
        <v>2640</v>
      </c>
      <c r="G1202" t="s">
        <v>43</v>
      </c>
      <c r="H1202" t="s">
        <v>438</v>
      </c>
      <c r="I1202" t="s">
        <v>355</v>
      </c>
      <c r="J1202">
        <v>13.8</v>
      </c>
      <c r="K1202" t="s">
        <v>29</v>
      </c>
      <c r="L1202">
        <v>1</v>
      </c>
      <c r="M1202" t="s">
        <v>420</v>
      </c>
      <c r="N1202" t="s">
        <v>29</v>
      </c>
      <c r="O1202" t="s">
        <v>29</v>
      </c>
      <c r="P1202" t="s">
        <v>29</v>
      </c>
      <c r="Q1202" t="s">
        <v>29</v>
      </c>
      <c r="R1202" t="s">
        <v>29</v>
      </c>
      <c r="S1202" t="s">
        <v>29</v>
      </c>
      <c r="T1202" t="s">
        <v>29</v>
      </c>
      <c r="U1202" t="s">
        <v>29</v>
      </c>
      <c r="V1202" t="s">
        <v>29</v>
      </c>
    </row>
    <row r="1203" spans="1:22" x14ac:dyDescent="0.35">
      <c r="A1203" s="1">
        <v>45421</v>
      </c>
      <c r="B1203" t="s">
        <v>122</v>
      </c>
      <c r="C1203" s="2">
        <v>0.39711805555555557</v>
      </c>
      <c r="D1203" t="s">
        <v>2641</v>
      </c>
      <c r="E1203" t="s">
        <v>41</v>
      </c>
      <c r="F1203" t="s">
        <v>2642</v>
      </c>
      <c r="G1203" t="s">
        <v>34</v>
      </c>
      <c r="H1203" t="s">
        <v>398</v>
      </c>
      <c r="I1203" t="s">
        <v>366</v>
      </c>
      <c r="J1203">
        <v>9.5</v>
      </c>
      <c r="K1203">
        <v>41.2</v>
      </c>
      <c r="L1203" t="s">
        <v>29</v>
      </c>
      <c r="M1203" t="s">
        <v>29</v>
      </c>
      <c r="N1203" t="s">
        <v>29</v>
      </c>
      <c r="O1203" t="s">
        <v>29</v>
      </c>
      <c r="P1203" t="s">
        <v>29</v>
      </c>
      <c r="Q1203" t="s">
        <v>29</v>
      </c>
      <c r="R1203">
        <v>407</v>
      </c>
      <c r="S1203">
        <v>36.880000000000003</v>
      </c>
      <c r="T1203">
        <v>4.7</v>
      </c>
      <c r="U1203">
        <v>4.9000000000000004</v>
      </c>
      <c r="V1203" t="s">
        <v>84</v>
      </c>
    </row>
    <row r="1204" spans="1:22" x14ac:dyDescent="0.35">
      <c r="A1204" s="1">
        <v>45503</v>
      </c>
      <c r="B1204" t="s">
        <v>108</v>
      </c>
      <c r="C1204" s="2">
        <v>0.44383101851851853</v>
      </c>
      <c r="D1204" t="s">
        <v>2643</v>
      </c>
      <c r="E1204" t="s">
        <v>117</v>
      </c>
      <c r="F1204" t="s">
        <v>2644</v>
      </c>
      <c r="G1204" t="s">
        <v>43</v>
      </c>
      <c r="H1204" t="s">
        <v>197</v>
      </c>
      <c r="I1204" t="s">
        <v>714</v>
      </c>
      <c r="J1204">
        <v>5.2</v>
      </c>
      <c r="K1204" t="s">
        <v>29</v>
      </c>
      <c r="L1204">
        <v>1</v>
      </c>
      <c r="M1204" t="s">
        <v>420</v>
      </c>
      <c r="N1204" t="s">
        <v>29</v>
      </c>
      <c r="O1204" t="s">
        <v>29</v>
      </c>
      <c r="P1204" t="s">
        <v>29</v>
      </c>
      <c r="Q1204" t="s">
        <v>29</v>
      </c>
      <c r="R1204" t="s">
        <v>29</v>
      </c>
      <c r="S1204" t="s">
        <v>29</v>
      </c>
      <c r="T1204" t="s">
        <v>29</v>
      </c>
      <c r="U1204" t="s">
        <v>29</v>
      </c>
      <c r="V1204" t="s">
        <v>29</v>
      </c>
    </row>
    <row r="1205" spans="1:22" x14ac:dyDescent="0.35">
      <c r="A1205" s="1">
        <v>45489</v>
      </c>
      <c r="B1205" t="s">
        <v>108</v>
      </c>
      <c r="C1205" s="2">
        <v>0.5158449074074074</v>
      </c>
      <c r="D1205" t="s">
        <v>2645</v>
      </c>
      <c r="E1205" t="s">
        <v>24</v>
      </c>
      <c r="F1205" t="s">
        <v>2646</v>
      </c>
      <c r="G1205" t="s">
        <v>43</v>
      </c>
      <c r="H1205" t="s">
        <v>365</v>
      </c>
      <c r="I1205" t="s">
        <v>132</v>
      </c>
      <c r="J1205" t="s">
        <v>29</v>
      </c>
      <c r="K1205" t="s">
        <v>29</v>
      </c>
      <c r="L1205" t="s">
        <v>29</v>
      </c>
      <c r="M1205" t="s">
        <v>29</v>
      </c>
      <c r="N1205" t="s">
        <v>29</v>
      </c>
      <c r="O1205" t="s">
        <v>29</v>
      </c>
      <c r="P1205" t="s">
        <v>29</v>
      </c>
      <c r="Q1205" t="s">
        <v>29</v>
      </c>
      <c r="R1205" t="s">
        <v>29</v>
      </c>
      <c r="S1205" t="s">
        <v>29</v>
      </c>
      <c r="T1205" t="s">
        <v>29</v>
      </c>
      <c r="U1205" t="s">
        <v>29</v>
      </c>
      <c r="V1205" t="s">
        <v>29</v>
      </c>
    </row>
    <row r="1206" spans="1:22" x14ac:dyDescent="0.35">
      <c r="A1206" s="1">
        <v>45540</v>
      </c>
      <c r="B1206" t="s">
        <v>53</v>
      </c>
      <c r="C1206" s="2">
        <v>0.3909259259259259</v>
      </c>
      <c r="D1206" t="s">
        <v>2647</v>
      </c>
      <c r="E1206" t="s">
        <v>41</v>
      </c>
      <c r="F1206" t="s">
        <v>2648</v>
      </c>
      <c r="G1206" t="s">
        <v>26</v>
      </c>
      <c r="H1206" t="s">
        <v>91</v>
      </c>
      <c r="I1206" t="s">
        <v>132</v>
      </c>
      <c r="J1206">
        <v>11.4</v>
      </c>
      <c r="K1206">
        <v>39.6</v>
      </c>
      <c r="L1206" t="s">
        <v>29</v>
      </c>
      <c r="M1206" t="s">
        <v>29</v>
      </c>
      <c r="N1206" t="s">
        <v>29</v>
      </c>
      <c r="O1206" t="s">
        <v>29</v>
      </c>
      <c r="P1206" t="s">
        <v>29</v>
      </c>
      <c r="Q1206" t="s">
        <v>29</v>
      </c>
      <c r="R1206">
        <v>904</v>
      </c>
      <c r="S1206">
        <v>13.76</v>
      </c>
      <c r="T1206">
        <v>4.7</v>
      </c>
      <c r="U1206">
        <v>4.4000000000000004</v>
      </c>
      <c r="V1206" t="s">
        <v>84</v>
      </c>
    </row>
    <row r="1207" spans="1:22" x14ac:dyDescent="0.35">
      <c r="A1207" s="1">
        <v>45560</v>
      </c>
      <c r="B1207" t="s">
        <v>53</v>
      </c>
      <c r="C1207" s="2">
        <v>0.67777777777777781</v>
      </c>
      <c r="D1207" t="s">
        <v>2649</v>
      </c>
      <c r="E1207" t="s">
        <v>93</v>
      </c>
      <c r="F1207" t="s">
        <v>2650</v>
      </c>
      <c r="G1207" t="s">
        <v>67</v>
      </c>
      <c r="H1207" t="s">
        <v>186</v>
      </c>
      <c r="I1207" t="s">
        <v>290</v>
      </c>
      <c r="J1207">
        <v>4.3</v>
      </c>
      <c r="K1207" t="s">
        <v>29</v>
      </c>
      <c r="L1207" t="s">
        <v>29</v>
      </c>
      <c r="M1207" t="s">
        <v>29</v>
      </c>
      <c r="N1207">
        <v>1</v>
      </c>
      <c r="O1207" t="s">
        <v>97</v>
      </c>
      <c r="P1207" t="s">
        <v>29</v>
      </c>
      <c r="Q1207" t="s">
        <v>29</v>
      </c>
      <c r="R1207" t="s">
        <v>29</v>
      </c>
      <c r="S1207" t="s">
        <v>29</v>
      </c>
      <c r="T1207" t="s">
        <v>29</v>
      </c>
      <c r="U1207" t="s">
        <v>29</v>
      </c>
      <c r="V1207" t="s">
        <v>29</v>
      </c>
    </row>
    <row r="1208" spans="1:22" x14ac:dyDescent="0.35">
      <c r="A1208" s="1">
        <v>45491</v>
      </c>
      <c r="B1208" t="s">
        <v>108</v>
      </c>
      <c r="C1208" s="2">
        <v>0.5763194444444445</v>
      </c>
      <c r="D1208" t="s">
        <v>2651</v>
      </c>
      <c r="E1208" t="s">
        <v>32</v>
      </c>
      <c r="F1208" t="s">
        <v>2652</v>
      </c>
      <c r="G1208" t="s">
        <v>34</v>
      </c>
      <c r="H1208" t="s">
        <v>263</v>
      </c>
      <c r="I1208" t="s">
        <v>280</v>
      </c>
      <c r="J1208">
        <v>4</v>
      </c>
      <c r="K1208">
        <v>11.3</v>
      </c>
      <c r="L1208" t="s">
        <v>29</v>
      </c>
      <c r="M1208" t="s">
        <v>29</v>
      </c>
      <c r="N1208" t="s">
        <v>29</v>
      </c>
      <c r="O1208" t="s">
        <v>29</v>
      </c>
      <c r="P1208">
        <v>1</v>
      </c>
      <c r="Q1208" t="s">
        <v>302</v>
      </c>
      <c r="R1208">
        <v>120</v>
      </c>
      <c r="S1208">
        <v>17.46</v>
      </c>
      <c r="T1208" t="s">
        <v>29</v>
      </c>
      <c r="U1208" t="s">
        <v>29</v>
      </c>
      <c r="V1208" t="s">
        <v>84</v>
      </c>
    </row>
    <row r="1209" spans="1:22" x14ac:dyDescent="0.35">
      <c r="A1209" s="1">
        <v>45635</v>
      </c>
      <c r="B1209" t="s">
        <v>78</v>
      </c>
      <c r="C1209" s="2">
        <v>0.78076388888888892</v>
      </c>
      <c r="D1209" t="s">
        <v>2653</v>
      </c>
      <c r="E1209" t="s">
        <v>41</v>
      </c>
      <c r="F1209" t="s">
        <v>2654</v>
      </c>
      <c r="G1209" t="s">
        <v>43</v>
      </c>
      <c r="H1209" t="s">
        <v>129</v>
      </c>
      <c r="I1209" t="s">
        <v>616</v>
      </c>
      <c r="J1209">
        <v>11</v>
      </c>
      <c r="K1209">
        <v>21.4</v>
      </c>
      <c r="L1209" t="s">
        <v>29</v>
      </c>
      <c r="M1209" t="s">
        <v>29</v>
      </c>
      <c r="N1209" t="s">
        <v>29</v>
      </c>
      <c r="O1209" t="s">
        <v>29</v>
      </c>
      <c r="P1209" t="s">
        <v>29</v>
      </c>
      <c r="Q1209" t="s">
        <v>29</v>
      </c>
      <c r="R1209">
        <v>125</v>
      </c>
      <c r="S1209">
        <v>13.91</v>
      </c>
      <c r="T1209">
        <v>3.7</v>
      </c>
      <c r="U1209">
        <v>4.9000000000000004</v>
      </c>
      <c r="V1209" t="s">
        <v>84</v>
      </c>
    </row>
    <row r="1210" spans="1:22" x14ac:dyDescent="0.35">
      <c r="A1210" s="1">
        <v>45422</v>
      </c>
      <c r="B1210" t="s">
        <v>122</v>
      </c>
      <c r="C1210" s="2">
        <v>0.58012731481481483</v>
      </c>
      <c r="D1210" t="s">
        <v>2655</v>
      </c>
      <c r="E1210" t="s">
        <v>41</v>
      </c>
      <c r="F1210" t="s">
        <v>2656</v>
      </c>
      <c r="G1210" t="s">
        <v>56</v>
      </c>
      <c r="H1210" t="s">
        <v>383</v>
      </c>
      <c r="I1210" t="s">
        <v>425</v>
      </c>
      <c r="J1210">
        <v>12</v>
      </c>
      <c r="K1210">
        <v>32.799999999999997</v>
      </c>
      <c r="L1210" t="s">
        <v>29</v>
      </c>
      <c r="M1210" t="s">
        <v>29</v>
      </c>
      <c r="N1210" t="s">
        <v>29</v>
      </c>
      <c r="O1210" t="s">
        <v>29</v>
      </c>
      <c r="P1210" t="s">
        <v>29</v>
      </c>
      <c r="Q1210" t="s">
        <v>29</v>
      </c>
      <c r="R1210">
        <v>410</v>
      </c>
      <c r="S1210">
        <v>42.95</v>
      </c>
      <c r="T1210">
        <v>3.9</v>
      </c>
      <c r="U1210">
        <v>4.2</v>
      </c>
      <c r="V1210" t="s">
        <v>84</v>
      </c>
    </row>
    <row r="1211" spans="1:22" x14ac:dyDescent="0.35">
      <c r="A1211" s="1">
        <v>45607</v>
      </c>
      <c r="B1211" t="s">
        <v>30</v>
      </c>
      <c r="C1211" s="2">
        <v>0.69439814814814815</v>
      </c>
      <c r="D1211" t="s">
        <v>2657</v>
      </c>
      <c r="E1211" t="s">
        <v>93</v>
      </c>
      <c r="F1211" t="s">
        <v>2658</v>
      </c>
      <c r="G1211" t="s">
        <v>43</v>
      </c>
      <c r="H1211" t="s">
        <v>441</v>
      </c>
      <c r="I1211" t="s">
        <v>102</v>
      </c>
      <c r="J1211">
        <v>8.5</v>
      </c>
      <c r="K1211" t="s">
        <v>29</v>
      </c>
      <c r="L1211" t="s">
        <v>29</v>
      </c>
      <c r="M1211" t="s">
        <v>29</v>
      </c>
      <c r="N1211">
        <v>1</v>
      </c>
      <c r="O1211" t="s">
        <v>97</v>
      </c>
      <c r="P1211" t="s">
        <v>29</v>
      </c>
      <c r="Q1211" t="s">
        <v>29</v>
      </c>
      <c r="R1211" t="s">
        <v>29</v>
      </c>
      <c r="S1211" t="s">
        <v>29</v>
      </c>
      <c r="T1211" t="s">
        <v>29</v>
      </c>
      <c r="U1211" t="s">
        <v>29</v>
      </c>
      <c r="V1211" t="s">
        <v>29</v>
      </c>
    </row>
    <row r="1212" spans="1:22" x14ac:dyDescent="0.35">
      <c r="A1212" s="1">
        <v>45413</v>
      </c>
      <c r="B1212" t="s">
        <v>122</v>
      </c>
      <c r="C1212" s="2">
        <v>0.7104166666666667</v>
      </c>
      <c r="D1212" t="s">
        <v>2659</v>
      </c>
      <c r="E1212" t="s">
        <v>41</v>
      </c>
      <c r="F1212" t="s">
        <v>2660</v>
      </c>
      <c r="G1212" t="s">
        <v>43</v>
      </c>
      <c r="H1212" t="s">
        <v>202</v>
      </c>
      <c r="I1212" t="s">
        <v>77</v>
      </c>
      <c r="J1212">
        <v>11.6</v>
      </c>
      <c r="K1212">
        <v>32.5</v>
      </c>
      <c r="L1212" t="s">
        <v>29</v>
      </c>
      <c r="M1212" t="s">
        <v>29</v>
      </c>
      <c r="N1212" t="s">
        <v>29</v>
      </c>
      <c r="O1212" t="s">
        <v>29</v>
      </c>
      <c r="P1212" t="s">
        <v>29</v>
      </c>
      <c r="Q1212" t="s">
        <v>29</v>
      </c>
      <c r="R1212">
        <v>983</v>
      </c>
      <c r="S1212">
        <v>25.42</v>
      </c>
      <c r="T1212">
        <v>4.3</v>
      </c>
      <c r="U1212">
        <v>4.8</v>
      </c>
      <c r="V1212" t="s">
        <v>38</v>
      </c>
    </row>
    <row r="1213" spans="1:22" x14ac:dyDescent="0.35">
      <c r="A1213" s="1">
        <v>45302</v>
      </c>
      <c r="B1213" t="s">
        <v>150</v>
      </c>
      <c r="C1213" s="2">
        <v>0.35505787037037034</v>
      </c>
      <c r="D1213" t="s">
        <v>2661</v>
      </c>
      <c r="E1213" t="s">
        <v>41</v>
      </c>
      <c r="F1213" t="s">
        <v>2662</v>
      </c>
      <c r="G1213" t="s">
        <v>50</v>
      </c>
      <c r="H1213" t="s">
        <v>239</v>
      </c>
      <c r="I1213" t="s">
        <v>585</v>
      </c>
      <c r="J1213">
        <v>6</v>
      </c>
      <c r="K1213">
        <v>22.3</v>
      </c>
      <c r="L1213" t="s">
        <v>29</v>
      </c>
      <c r="M1213" t="s">
        <v>29</v>
      </c>
      <c r="N1213" t="s">
        <v>29</v>
      </c>
      <c r="O1213" t="s">
        <v>29</v>
      </c>
      <c r="P1213" t="s">
        <v>29</v>
      </c>
      <c r="Q1213" t="s">
        <v>29</v>
      </c>
      <c r="R1213">
        <v>149</v>
      </c>
      <c r="S1213">
        <v>9.86</v>
      </c>
      <c r="T1213">
        <v>4.2</v>
      </c>
      <c r="U1213">
        <v>4.5</v>
      </c>
      <c r="V1213" t="s">
        <v>38</v>
      </c>
    </row>
    <row r="1214" spans="1:22" x14ac:dyDescent="0.35">
      <c r="A1214" s="1">
        <v>45308</v>
      </c>
      <c r="B1214" t="s">
        <v>150</v>
      </c>
      <c r="C1214" s="2">
        <v>0.52498842592592587</v>
      </c>
      <c r="D1214" t="s">
        <v>2663</v>
      </c>
      <c r="E1214" t="s">
        <v>41</v>
      </c>
      <c r="F1214" t="s">
        <v>2664</v>
      </c>
      <c r="G1214" t="s">
        <v>56</v>
      </c>
      <c r="H1214" t="s">
        <v>435</v>
      </c>
      <c r="I1214" t="s">
        <v>369</v>
      </c>
      <c r="J1214">
        <v>3.4</v>
      </c>
      <c r="K1214">
        <v>28.4</v>
      </c>
      <c r="L1214" t="s">
        <v>29</v>
      </c>
      <c r="M1214" t="s">
        <v>29</v>
      </c>
      <c r="N1214" t="s">
        <v>29</v>
      </c>
      <c r="O1214" t="s">
        <v>29</v>
      </c>
      <c r="P1214" t="s">
        <v>29</v>
      </c>
      <c r="Q1214" t="s">
        <v>29</v>
      </c>
      <c r="R1214">
        <v>243</v>
      </c>
      <c r="S1214">
        <v>7.36</v>
      </c>
      <c r="T1214">
        <v>4.7</v>
      </c>
      <c r="U1214">
        <v>4.5</v>
      </c>
      <c r="V1214" t="s">
        <v>38</v>
      </c>
    </row>
    <row r="1215" spans="1:22" x14ac:dyDescent="0.35">
      <c r="A1215" s="1">
        <v>45380</v>
      </c>
      <c r="B1215" t="s">
        <v>22</v>
      </c>
      <c r="C1215" s="2">
        <v>0.65479166666666666</v>
      </c>
      <c r="D1215" t="s">
        <v>2665</v>
      </c>
      <c r="E1215" t="s">
        <v>41</v>
      </c>
      <c r="F1215" t="s">
        <v>2666</v>
      </c>
      <c r="G1215" t="s">
        <v>67</v>
      </c>
      <c r="H1215" t="s">
        <v>120</v>
      </c>
      <c r="I1215" t="s">
        <v>803</v>
      </c>
      <c r="J1215">
        <v>10.1</v>
      </c>
      <c r="K1215">
        <v>17.600000000000001</v>
      </c>
      <c r="L1215" t="s">
        <v>29</v>
      </c>
      <c r="M1215" t="s">
        <v>29</v>
      </c>
      <c r="N1215" t="s">
        <v>29</v>
      </c>
      <c r="O1215" t="s">
        <v>29</v>
      </c>
      <c r="P1215" t="s">
        <v>29</v>
      </c>
      <c r="Q1215" t="s">
        <v>29</v>
      </c>
      <c r="R1215">
        <v>1087</v>
      </c>
      <c r="S1215">
        <v>42.75</v>
      </c>
      <c r="T1215">
        <v>4.3</v>
      </c>
      <c r="U1215">
        <v>4.4000000000000004</v>
      </c>
      <c r="V1215" t="s">
        <v>38</v>
      </c>
    </row>
    <row r="1216" spans="1:22" x14ac:dyDescent="0.35">
      <c r="A1216" s="1">
        <v>45525</v>
      </c>
      <c r="B1216" t="s">
        <v>39</v>
      </c>
      <c r="C1216" s="2">
        <v>0.81083333333333329</v>
      </c>
      <c r="D1216" t="s">
        <v>2667</v>
      </c>
      <c r="E1216" t="s">
        <v>24</v>
      </c>
      <c r="F1216" t="s">
        <v>2668</v>
      </c>
      <c r="G1216" t="s">
        <v>43</v>
      </c>
      <c r="H1216" t="s">
        <v>201</v>
      </c>
      <c r="I1216" t="s">
        <v>343</v>
      </c>
      <c r="J1216" t="s">
        <v>29</v>
      </c>
      <c r="K1216" t="s">
        <v>29</v>
      </c>
      <c r="L1216" t="s">
        <v>29</v>
      </c>
      <c r="M1216" t="s">
        <v>29</v>
      </c>
      <c r="N1216" t="s">
        <v>29</v>
      </c>
      <c r="O1216" t="s">
        <v>29</v>
      </c>
      <c r="P1216" t="s">
        <v>29</v>
      </c>
      <c r="Q1216" t="s">
        <v>29</v>
      </c>
      <c r="R1216" t="s">
        <v>29</v>
      </c>
      <c r="S1216" t="s">
        <v>29</v>
      </c>
      <c r="T1216" t="s">
        <v>29</v>
      </c>
      <c r="U1216" t="s">
        <v>29</v>
      </c>
      <c r="V1216" t="s">
        <v>29</v>
      </c>
    </row>
    <row r="1217" spans="1:22" x14ac:dyDescent="0.35">
      <c r="A1217" s="1">
        <v>45609</v>
      </c>
      <c r="B1217" t="s">
        <v>30</v>
      </c>
      <c r="C1217" s="2">
        <v>0.59844907407407411</v>
      </c>
      <c r="D1217" t="s">
        <v>2669</v>
      </c>
      <c r="E1217" t="s">
        <v>117</v>
      </c>
      <c r="F1217" t="s">
        <v>2670</v>
      </c>
      <c r="G1217" t="s">
        <v>34</v>
      </c>
      <c r="H1217" t="s">
        <v>549</v>
      </c>
      <c r="I1217" t="s">
        <v>739</v>
      </c>
      <c r="J1217">
        <v>18.7</v>
      </c>
      <c r="K1217" t="s">
        <v>29</v>
      </c>
      <c r="L1217">
        <v>1</v>
      </c>
      <c r="M1217" t="s">
        <v>420</v>
      </c>
      <c r="N1217" t="s">
        <v>29</v>
      </c>
      <c r="O1217" t="s">
        <v>29</v>
      </c>
      <c r="P1217" t="s">
        <v>29</v>
      </c>
      <c r="Q1217" t="s">
        <v>29</v>
      </c>
      <c r="R1217" t="s">
        <v>29</v>
      </c>
      <c r="S1217" t="s">
        <v>29</v>
      </c>
      <c r="T1217" t="s">
        <v>29</v>
      </c>
      <c r="U1217" t="s">
        <v>29</v>
      </c>
      <c r="V1217" t="s">
        <v>29</v>
      </c>
    </row>
    <row r="1218" spans="1:22" x14ac:dyDescent="0.35">
      <c r="A1218" s="1">
        <v>45573</v>
      </c>
      <c r="B1218" t="s">
        <v>47</v>
      </c>
      <c r="C1218" s="2">
        <v>0.71347222222222217</v>
      </c>
      <c r="D1218" t="s">
        <v>2671</v>
      </c>
      <c r="E1218" t="s">
        <v>93</v>
      </c>
      <c r="F1218" t="s">
        <v>2672</v>
      </c>
      <c r="G1218" t="s">
        <v>50</v>
      </c>
      <c r="H1218" t="s">
        <v>425</v>
      </c>
      <c r="I1218" t="s">
        <v>665</v>
      </c>
      <c r="J1218">
        <v>5.0999999999999996</v>
      </c>
      <c r="K1218" t="s">
        <v>29</v>
      </c>
      <c r="L1218" t="s">
        <v>29</v>
      </c>
      <c r="M1218" t="s">
        <v>29</v>
      </c>
      <c r="N1218">
        <v>1</v>
      </c>
      <c r="O1218" t="s">
        <v>169</v>
      </c>
      <c r="P1218" t="s">
        <v>29</v>
      </c>
      <c r="Q1218" t="s">
        <v>29</v>
      </c>
      <c r="R1218" t="s">
        <v>29</v>
      </c>
      <c r="S1218" t="s">
        <v>29</v>
      </c>
      <c r="T1218" t="s">
        <v>29</v>
      </c>
      <c r="U1218" t="s">
        <v>29</v>
      </c>
      <c r="V1218" t="s">
        <v>29</v>
      </c>
    </row>
    <row r="1219" spans="1:22" x14ac:dyDescent="0.35">
      <c r="A1219" s="1">
        <v>45480</v>
      </c>
      <c r="B1219" t="s">
        <v>108</v>
      </c>
      <c r="C1219" s="2">
        <v>0.44050925925925927</v>
      </c>
      <c r="D1219" t="s">
        <v>2673</v>
      </c>
      <c r="E1219" t="s">
        <v>24</v>
      </c>
      <c r="F1219" t="s">
        <v>2674</v>
      </c>
      <c r="G1219" t="s">
        <v>43</v>
      </c>
      <c r="H1219" t="s">
        <v>180</v>
      </c>
      <c r="I1219" t="s">
        <v>493</v>
      </c>
      <c r="J1219" t="s">
        <v>29</v>
      </c>
      <c r="K1219" t="s">
        <v>29</v>
      </c>
      <c r="L1219" t="s">
        <v>29</v>
      </c>
      <c r="M1219" t="s">
        <v>29</v>
      </c>
      <c r="N1219" t="s">
        <v>29</v>
      </c>
      <c r="O1219" t="s">
        <v>29</v>
      </c>
      <c r="P1219" t="s">
        <v>29</v>
      </c>
      <c r="Q1219" t="s">
        <v>29</v>
      </c>
      <c r="R1219" t="s">
        <v>29</v>
      </c>
      <c r="S1219" t="s">
        <v>29</v>
      </c>
      <c r="T1219" t="s">
        <v>29</v>
      </c>
      <c r="U1219" t="s">
        <v>29</v>
      </c>
      <c r="V1219" t="s">
        <v>29</v>
      </c>
    </row>
    <row r="1220" spans="1:22" x14ac:dyDescent="0.35">
      <c r="A1220" s="1">
        <v>45576</v>
      </c>
      <c r="B1220" t="s">
        <v>47</v>
      </c>
      <c r="C1220" s="2">
        <v>0.77133101851851849</v>
      </c>
      <c r="D1220" t="s">
        <v>2675</v>
      </c>
      <c r="E1220" t="s">
        <v>41</v>
      </c>
      <c r="F1220" t="s">
        <v>2676</v>
      </c>
      <c r="G1220" t="s">
        <v>34</v>
      </c>
      <c r="H1220" t="s">
        <v>1035</v>
      </c>
      <c r="I1220" t="s">
        <v>441</v>
      </c>
      <c r="J1220">
        <v>11.5</v>
      </c>
      <c r="K1220">
        <v>17.8</v>
      </c>
      <c r="L1220" t="s">
        <v>29</v>
      </c>
      <c r="M1220" t="s">
        <v>29</v>
      </c>
      <c r="N1220" t="s">
        <v>29</v>
      </c>
      <c r="O1220" t="s">
        <v>29</v>
      </c>
      <c r="P1220" t="s">
        <v>29</v>
      </c>
      <c r="Q1220" t="s">
        <v>29</v>
      </c>
      <c r="R1220">
        <v>854</v>
      </c>
      <c r="S1220">
        <v>32.22</v>
      </c>
      <c r="T1220">
        <v>4.7</v>
      </c>
      <c r="U1220">
        <v>3.9</v>
      </c>
      <c r="V1220" t="s">
        <v>46</v>
      </c>
    </row>
    <row r="1221" spans="1:22" x14ac:dyDescent="0.35">
      <c r="A1221" s="1">
        <v>45391</v>
      </c>
      <c r="B1221" t="s">
        <v>154</v>
      </c>
      <c r="C1221" s="2">
        <v>0.82075231481481481</v>
      </c>
      <c r="D1221" t="s">
        <v>2677</v>
      </c>
      <c r="E1221" t="s">
        <v>41</v>
      </c>
      <c r="F1221" t="s">
        <v>2678</v>
      </c>
      <c r="G1221" t="s">
        <v>56</v>
      </c>
      <c r="H1221" t="s">
        <v>463</v>
      </c>
      <c r="I1221" t="s">
        <v>140</v>
      </c>
      <c r="J1221">
        <v>5.8</v>
      </c>
      <c r="K1221">
        <v>29.8</v>
      </c>
      <c r="L1221" t="s">
        <v>29</v>
      </c>
      <c r="M1221" t="s">
        <v>29</v>
      </c>
      <c r="N1221" t="s">
        <v>29</v>
      </c>
      <c r="O1221" t="s">
        <v>29</v>
      </c>
      <c r="P1221" t="s">
        <v>29</v>
      </c>
      <c r="Q1221" t="s">
        <v>29</v>
      </c>
      <c r="R1221">
        <v>818</v>
      </c>
      <c r="S1221">
        <v>35.24</v>
      </c>
      <c r="T1221">
        <v>4.5999999999999996</v>
      </c>
      <c r="U1221">
        <v>4.5999999999999996</v>
      </c>
      <c r="V1221" t="s">
        <v>84</v>
      </c>
    </row>
    <row r="1222" spans="1:22" x14ac:dyDescent="0.35">
      <c r="A1222" s="1">
        <v>45508</v>
      </c>
      <c r="B1222" t="s">
        <v>39</v>
      </c>
      <c r="C1222" s="2">
        <v>0.47918981481481482</v>
      </c>
      <c r="D1222" t="s">
        <v>2679</v>
      </c>
      <c r="E1222" t="s">
        <v>117</v>
      </c>
      <c r="F1222" t="s">
        <v>2680</v>
      </c>
      <c r="G1222" t="s">
        <v>56</v>
      </c>
      <c r="H1222" t="s">
        <v>346</v>
      </c>
      <c r="I1222" t="s">
        <v>27</v>
      </c>
      <c r="J1222">
        <v>17</v>
      </c>
      <c r="K1222" t="s">
        <v>29</v>
      </c>
      <c r="L1222">
        <v>1</v>
      </c>
      <c r="M1222" t="s">
        <v>420</v>
      </c>
      <c r="N1222" t="s">
        <v>29</v>
      </c>
      <c r="O1222" t="s">
        <v>29</v>
      </c>
      <c r="P1222" t="s">
        <v>29</v>
      </c>
      <c r="Q1222" t="s">
        <v>29</v>
      </c>
      <c r="R1222" t="s">
        <v>29</v>
      </c>
      <c r="S1222" t="s">
        <v>29</v>
      </c>
      <c r="T1222" t="s">
        <v>29</v>
      </c>
      <c r="U1222" t="s">
        <v>29</v>
      </c>
      <c r="V1222" t="s">
        <v>29</v>
      </c>
    </row>
    <row r="1223" spans="1:22" x14ac:dyDescent="0.35">
      <c r="A1223" s="1">
        <v>45517</v>
      </c>
      <c r="B1223" t="s">
        <v>39</v>
      </c>
      <c r="C1223" s="2">
        <v>0.5988310185185185</v>
      </c>
      <c r="D1223" t="s">
        <v>2681</v>
      </c>
      <c r="E1223" t="s">
        <v>41</v>
      </c>
      <c r="F1223" t="s">
        <v>2682</v>
      </c>
      <c r="G1223" t="s">
        <v>43</v>
      </c>
      <c r="H1223" t="s">
        <v>133</v>
      </c>
      <c r="I1223" t="s">
        <v>565</v>
      </c>
      <c r="J1223">
        <v>4.4000000000000004</v>
      </c>
      <c r="K1223">
        <v>23.6</v>
      </c>
      <c r="L1223" t="s">
        <v>29</v>
      </c>
      <c r="M1223" t="s">
        <v>29</v>
      </c>
      <c r="N1223" t="s">
        <v>29</v>
      </c>
      <c r="O1223" t="s">
        <v>29</v>
      </c>
      <c r="P1223" t="s">
        <v>29</v>
      </c>
      <c r="Q1223" t="s">
        <v>29</v>
      </c>
      <c r="R1223">
        <v>620</v>
      </c>
      <c r="S1223">
        <v>17.63</v>
      </c>
      <c r="T1223">
        <v>3.1</v>
      </c>
      <c r="U1223">
        <v>4.9000000000000004</v>
      </c>
      <c r="V1223" t="s">
        <v>46</v>
      </c>
    </row>
    <row r="1224" spans="1:22" x14ac:dyDescent="0.35">
      <c r="A1224" s="1">
        <v>45451</v>
      </c>
      <c r="B1224" t="s">
        <v>64</v>
      </c>
      <c r="C1224" s="2">
        <v>0.84692129629629631</v>
      </c>
      <c r="D1224" t="s">
        <v>2683</v>
      </c>
      <c r="E1224" t="s">
        <v>41</v>
      </c>
      <c r="F1224" t="s">
        <v>2684</v>
      </c>
      <c r="G1224" t="s">
        <v>34</v>
      </c>
      <c r="H1224" t="s">
        <v>68</v>
      </c>
      <c r="I1224" t="s">
        <v>336</v>
      </c>
      <c r="J1224">
        <v>14.6</v>
      </c>
      <c r="K1224">
        <v>40.299999999999997</v>
      </c>
      <c r="L1224" t="s">
        <v>29</v>
      </c>
      <c r="M1224" t="s">
        <v>29</v>
      </c>
      <c r="N1224" t="s">
        <v>29</v>
      </c>
      <c r="O1224" t="s">
        <v>29</v>
      </c>
      <c r="P1224" t="s">
        <v>29</v>
      </c>
      <c r="Q1224" t="s">
        <v>29</v>
      </c>
      <c r="R1224">
        <v>556</v>
      </c>
      <c r="S1224">
        <v>11.56</v>
      </c>
      <c r="T1224">
        <v>3.2</v>
      </c>
      <c r="U1224">
        <v>4.5999999999999996</v>
      </c>
      <c r="V1224" t="s">
        <v>38</v>
      </c>
    </row>
    <row r="1225" spans="1:22" x14ac:dyDescent="0.35">
      <c r="A1225" s="1">
        <v>45546</v>
      </c>
      <c r="B1225" t="s">
        <v>53</v>
      </c>
      <c r="C1225" s="2">
        <v>0.52115740740740746</v>
      </c>
      <c r="D1225" t="s">
        <v>2685</v>
      </c>
      <c r="E1225" t="s">
        <v>93</v>
      </c>
      <c r="F1225" t="s">
        <v>2686</v>
      </c>
      <c r="G1225" t="s">
        <v>56</v>
      </c>
      <c r="H1225" t="s">
        <v>95</v>
      </c>
      <c r="I1225" t="s">
        <v>57</v>
      </c>
      <c r="J1225">
        <v>3.6</v>
      </c>
      <c r="K1225" t="s">
        <v>29</v>
      </c>
      <c r="L1225" t="s">
        <v>29</v>
      </c>
      <c r="M1225" t="s">
        <v>29</v>
      </c>
      <c r="N1225">
        <v>1</v>
      </c>
      <c r="O1225" t="s">
        <v>169</v>
      </c>
      <c r="P1225" t="s">
        <v>29</v>
      </c>
      <c r="Q1225" t="s">
        <v>29</v>
      </c>
      <c r="R1225" t="s">
        <v>29</v>
      </c>
      <c r="S1225" t="s">
        <v>29</v>
      </c>
      <c r="T1225" t="s">
        <v>29</v>
      </c>
      <c r="U1225" t="s">
        <v>29</v>
      </c>
      <c r="V1225" t="s">
        <v>29</v>
      </c>
    </row>
    <row r="1226" spans="1:22" x14ac:dyDescent="0.35">
      <c r="A1226" s="1">
        <v>45455</v>
      </c>
      <c r="B1226" t="s">
        <v>64</v>
      </c>
      <c r="C1226" s="2">
        <v>0.87807870370370367</v>
      </c>
      <c r="D1226" t="s">
        <v>2687</v>
      </c>
      <c r="E1226" t="s">
        <v>93</v>
      </c>
      <c r="F1226" t="s">
        <v>2688</v>
      </c>
      <c r="G1226" t="s">
        <v>43</v>
      </c>
      <c r="H1226" t="s">
        <v>383</v>
      </c>
      <c r="I1226" t="s">
        <v>552</v>
      </c>
      <c r="J1226">
        <v>11.1</v>
      </c>
      <c r="K1226" t="s">
        <v>29</v>
      </c>
      <c r="L1226" t="s">
        <v>29</v>
      </c>
      <c r="M1226" t="s">
        <v>29</v>
      </c>
      <c r="N1226">
        <v>1</v>
      </c>
      <c r="O1226" t="s">
        <v>337</v>
      </c>
      <c r="P1226" t="s">
        <v>29</v>
      </c>
      <c r="Q1226" t="s">
        <v>29</v>
      </c>
      <c r="R1226" t="s">
        <v>29</v>
      </c>
      <c r="S1226" t="s">
        <v>29</v>
      </c>
      <c r="T1226" t="s">
        <v>29</v>
      </c>
      <c r="U1226" t="s">
        <v>29</v>
      </c>
      <c r="V1226" t="s">
        <v>29</v>
      </c>
    </row>
    <row r="1227" spans="1:22" x14ac:dyDescent="0.35">
      <c r="A1227" s="1">
        <v>45475</v>
      </c>
      <c r="B1227" t="s">
        <v>108</v>
      </c>
      <c r="C1227" s="2">
        <v>0.28767361111111112</v>
      </c>
      <c r="D1227" t="s">
        <v>2689</v>
      </c>
      <c r="E1227" t="s">
        <v>93</v>
      </c>
      <c r="F1227" t="s">
        <v>2690</v>
      </c>
      <c r="G1227" t="s">
        <v>56</v>
      </c>
      <c r="H1227" t="s">
        <v>739</v>
      </c>
      <c r="I1227" t="s">
        <v>45</v>
      </c>
      <c r="J1227">
        <v>11.8</v>
      </c>
      <c r="K1227" t="s">
        <v>29</v>
      </c>
      <c r="L1227" t="s">
        <v>29</v>
      </c>
      <c r="M1227" t="s">
        <v>29</v>
      </c>
      <c r="N1227">
        <v>1</v>
      </c>
      <c r="O1227" t="s">
        <v>97</v>
      </c>
      <c r="P1227" t="s">
        <v>29</v>
      </c>
      <c r="Q1227" t="s">
        <v>29</v>
      </c>
      <c r="R1227" t="s">
        <v>29</v>
      </c>
      <c r="S1227" t="s">
        <v>29</v>
      </c>
      <c r="T1227" t="s">
        <v>29</v>
      </c>
      <c r="U1227" t="s">
        <v>29</v>
      </c>
      <c r="V1227" t="s">
        <v>29</v>
      </c>
    </row>
    <row r="1228" spans="1:22" x14ac:dyDescent="0.35">
      <c r="A1228" s="1">
        <v>45439</v>
      </c>
      <c r="B1228" t="s">
        <v>122</v>
      </c>
      <c r="C1228" s="2">
        <v>0.50187499999999996</v>
      </c>
      <c r="D1228" t="s">
        <v>2691</v>
      </c>
      <c r="E1228" t="s">
        <v>117</v>
      </c>
      <c r="F1228" t="s">
        <v>2692</v>
      </c>
      <c r="G1228" t="s">
        <v>34</v>
      </c>
      <c r="H1228" t="s">
        <v>147</v>
      </c>
      <c r="I1228" t="s">
        <v>158</v>
      </c>
      <c r="J1228">
        <v>15.5</v>
      </c>
      <c r="K1228" t="s">
        <v>29</v>
      </c>
      <c r="L1228">
        <v>1</v>
      </c>
      <c r="M1228" t="s">
        <v>490</v>
      </c>
      <c r="N1228" t="s">
        <v>29</v>
      </c>
      <c r="O1228" t="s">
        <v>29</v>
      </c>
      <c r="P1228" t="s">
        <v>29</v>
      </c>
      <c r="Q1228" t="s">
        <v>29</v>
      </c>
      <c r="R1228" t="s">
        <v>29</v>
      </c>
      <c r="S1228" t="s">
        <v>29</v>
      </c>
      <c r="T1228" t="s">
        <v>29</v>
      </c>
      <c r="U1228" t="s">
        <v>29</v>
      </c>
      <c r="V1228" t="s">
        <v>29</v>
      </c>
    </row>
    <row r="1229" spans="1:22" x14ac:dyDescent="0.35">
      <c r="A1229" s="1">
        <v>45628</v>
      </c>
      <c r="B1229" t="s">
        <v>78</v>
      </c>
      <c r="C1229" s="2">
        <v>0.92295138888888884</v>
      </c>
      <c r="D1229" t="s">
        <v>2693</v>
      </c>
      <c r="E1229" t="s">
        <v>41</v>
      </c>
      <c r="F1229" t="s">
        <v>2694</v>
      </c>
      <c r="G1229" t="s">
        <v>43</v>
      </c>
      <c r="H1229" t="s">
        <v>962</v>
      </c>
      <c r="I1229" t="s">
        <v>425</v>
      </c>
      <c r="J1229">
        <v>7.3</v>
      </c>
      <c r="K1229">
        <v>24.6</v>
      </c>
      <c r="L1229" t="s">
        <v>29</v>
      </c>
      <c r="M1229" t="s">
        <v>29</v>
      </c>
      <c r="N1229" t="s">
        <v>29</v>
      </c>
      <c r="O1229" t="s">
        <v>29</v>
      </c>
      <c r="P1229" t="s">
        <v>29</v>
      </c>
      <c r="Q1229" t="s">
        <v>29</v>
      </c>
      <c r="R1229">
        <v>652</v>
      </c>
      <c r="S1229">
        <v>47.1</v>
      </c>
      <c r="T1229">
        <v>4.2</v>
      </c>
      <c r="U1229">
        <v>4.3</v>
      </c>
      <c r="V1229" t="s">
        <v>84</v>
      </c>
    </row>
    <row r="1230" spans="1:22" x14ac:dyDescent="0.35">
      <c r="A1230" s="1">
        <v>45503</v>
      </c>
      <c r="B1230" t="s">
        <v>108</v>
      </c>
      <c r="C1230" s="2">
        <v>0.26828703703703705</v>
      </c>
      <c r="D1230" t="s">
        <v>2695</v>
      </c>
      <c r="E1230" t="s">
        <v>24</v>
      </c>
      <c r="F1230" t="s">
        <v>2696</v>
      </c>
      <c r="G1230" t="s">
        <v>67</v>
      </c>
      <c r="H1230" t="s">
        <v>125</v>
      </c>
      <c r="I1230" t="s">
        <v>103</v>
      </c>
      <c r="J1230" t="s">
        <v>29</v>
      </c>
      <c r="K1230" t="s">
        <v>29</v>
      </c>
      <c r="L1230" t="s">
        <v>29</v>
      </c>
      <c r="M1230" t="s">
        <v>29</v>
      </c>
      <c r="N1230" t="s">
        <v>29</v>
      </c>
      <c r="O1230" t="s">
        <v>29</v>
      </c>
      <c r="P1230" t="s">
        <v>29</v>
      </c>
      <c r="Q1230" t="s">
        <v>29</v>
      </c>
      <c r="R1230" t="s">
        <v>29</v>
      </c>
      <c r="S1230" t="s">
        <v>29</v>
      </c>
      <c r="T1230" t="s">
        <v>29</v>
      </c>
      <c r="U1230" t="s">
        <v>29</v>
      </c>
      <c r="V1230" t="s">
        <v>29</v>
      </c>
    </row>
    <row r="1231" spans="1:22" x14ac:dyDescent="0.35">
      <c r="A1231" s="1">
        <v>45341</v>
      </c>
      <c r="B1231" t="s">
        <v>59</v>
      </c>
      <c r="C1231" s="2">
        <v>0.8071990740740741</v>
      </c>
      <c r="D1231" t="s">
        <v>2697</v>
      </c>
      <c r="E1231" t="s">
        <v>41</v>
      </c>
      <c r="F1231" t="s">
        <v>2698</v>
      </c>
      <c r="G1231" t="s">
        <v>67</v>
      </c>
      <c r="H1231" t="s">
        <v>343</v>
      </c>
      <c r="I1231" t="s">
        <v>280</v>
      </c>
      <c r="J1231">
        <v>4</v>
      </c>
      <c r="K1231">
        <v>40.700000000000003</v>
      </c>
      <c r="L1231" t="s">
        <v>29</v>
      </c>
      <c r="M1231" t="s">
        <v>29</v>
      </c>
      <c r="N1231" t="s">
        <v>29</v>
      </c>
      <c r="O1231" t="s">
        <v>29</v>
      </c>
      <c r="P1231" t="s">
        <v>29</v>
      </c>
      <c r="Q1231" t="s">
        <v>29</v>
      </c>
      <c r="R1231">
        <v>399</v>
      </c>
      <c r="S1231">
        <v>14.59</v>
      </c>
      <c r="T1231">
        <v>4.3</v>
      </c>
      <c r="U1231">
        <v>4.3</v>
      </c>
      <c r="V1231" t="s">
        <v>107</v>
      </c>
    </row>
    <row r="1232" spans="1:22" x14ac:dyDescent="0.35">
      <c r="A1232" s="1">
        <v>45594</v>
      </c>
      <c r="B1232" t="s">
        <v>47</v>
      </c>
      <c r="C1232" s="2">
        <v>0.70746527777777779</v>
      </c>
      <c r="D1232" t="s">
        <v>2699</v>
      </c>
      <c r="E1232" t="s">
        <v>41</v>
      </c>
      <c r="F1232" t="s">
        <v>2700</v>
      </c>
      <c r="G1232" t="s">
        <v>67</v>
      </c>
      <c r="H1232" t="s">
        <v>180</v>
      </c>
      <c r="I1232" t="s">
        <v>962</v>
      </c>
      <c r="J1232">
        <v>2.6</v>
      </c>
      <c r="K1232">
        <v>23.8</v>
      </c>
      <c r="L1232" t="s">
        <v>29</v>
      </c>
      <c r="M1232" t="s">
        <v>29</v>
      </c>
      <c r="N1232" t="s">
        <v>29</v>
      </c>
      <c r="O1232" t="s">
        <v>29</v>
      </c>
      <c r="P1232" t="s">
        <v>29</v>
      </c>
      <c r="Q1232" t="s">
        <v>29</v>
      </c>
      <c r="R1232">
        <v>662</v>
      </c>
      <c r="S1232">
        <v>7.96</v>
      </c>
      <c r="T1232">
        <v>4.5999999999999996</v>
      </c>
      <c r="U1232">
        <v>3.2</v>
      </c>
      <c r="V1232" t="s">
        <v>38</v>
      </c>
    </row>
    <row r="1233" spans="1:22" x14ac:dyDescent="0.35">
      <c r="A1233" s="1">
        <v>45359</v>
      </c>
      <c r="B1233" t="s">
        <v>22</v>
      </c>
      <c r="C1233" s="2">
        <v>0.51531249999999995</v>
      </c>
      <c r="D1233" t="s">
        <v>2701</v>
      </c>
      <c r="E1233" t="s">
        <v>41</v>
      </c>
      <c r="F1233" t="s">
        <v>2702</v>
      </c>
      <c r="G1233" t="s">
        <v>67</v>
      </c>
      <c r="H1233" t="s">
        <v>355</v>
      </c>
      <c r="I1233" t="s">
        <v>582</v>
      </c>
      <c r="J1233">
        <v>8.3000000000000007</v>
      </c>
      <c r="K1233">
        <v>42.8</v>
      </c>
      <c r="L1233" t="s">
        <v>29</v>
      </c>
      <c r="M1233" t="s">
        <v>29</v>
      </c>
      <c r="N1233" t="s">
        <v>29</v>
      </c>
      <c r="O1233" t="s">
        <v>29</v>
      </c>
      <c r="P1233" t="s">
        <v>29</v>
      </c>
      <c r="Q1233" t="s">
        <v>29</v>
      </c>
      <c r="R1233">
        <v>743</v>
      </c>
      <c r="S1233">
        <v>46.76</v>
      </c>
      <c r="T1233">
        <v>4.3</v>
      </c>
      <c r="U1233">
        <v>3.5</v>
      </c>
      <c r="V1233" t="s">
        <v>38</v>
      </c>
    </row>
    <row r="1234" spans="1:22" x14ac:dyDescent="0.35">
      <c r="A1234" s="1">
        <v>45390</v>
      </c>
      <c r="B1234" t="s">
        <v>154</v>
      </c>
      <c r="C1234" s="2">
        <v>0.51679398148148148</v>
      </c>
      <c r="D1234" t="s">
        <v>2703</v>
      </c>
      <c r="E1234" t="s">
        <v>41</v>
      </c>
      <c r="F1234" t="s">
        <v>2704</v>
      </c>
      <c r="G1234" t="s">
        <v>34</v>
      </c>
      <c r="H1234" t="s">
        <v>201</v>
      </c>
      <c r="I1234" t="s">
        <v>214</v>
      </c>
      <c r="J1234">
        <v>8.8000000000000007</v>
      </c>
      <c r="K1234">
        <v>36</v>
      </c>
      <c r="L1234" t="s">
        <v>29</v>
      </c>
      <c r="M1234" t="s">
        <v>29</v>
      </c>
      <c r="N1234" t="s">
        <v>29</v>
      </c>
      <c r="O1234" t="s">
        <v>29</v>
      </c>
      <c r="P1234" t="s">
        <v>29</v>
      </c>
      <c r="Q1234" t="s">
        <v>29</v>
      </c>
      <c r="R1234">
        <v>865</v>
      </c>
      <c r="S1234">
        <v>24.67</v>
      </c>
      <c r="T1234">
        <v>4.5999999999999996</v>
      </c>
      <c r="U1234">
        <v>4.8</v>
      </c>
      <c r="V1234" t="s">
        <v>149</v>
      </c>
    </row>
    <row r="1235" spans="1:22" x14ac:dyDescent="0.35">
      <c r="A1235" s="1">
        <v>45497</v>
      </c>
      <c r="B1235" t="s">
        <v>108</v>
      </c>
      <c r="C1235" s="2">
        <v>0.73887731481481478</v>
      </c>
      <c r="D1235" t="s">
        <v>2705</v>
      </c>
      <c r="E1235" t="s">
        <v>41</v>
      </c>
      <c r="F1235" t="s">
        <v>2706</v>
      </c>
      <c r="G1235" t="s">
        <v>50</v>
      </c>
      <c r="H1235" t="s">
        <v>111</v>
      </c>
      <c r="I1235" t="s">
        <v>498</v>
      </c>
      <c r="J1235">
        <v>7.6</v>
      </c>
      <c r="K1235">
        <v>44.2</v>
      </c>
      <c r="L1235" t="s">
        <v>29</v>
      </c>
      <c r="M1235" t="s">
        <v>29</v>
      </c>
      <c r="N1235" t="s">
        <v>29</v>
      </c>
      <c r="O1235" t="s">
        <v>29</v>
      </c>
      <c r="P1235" t="s">
        <v>29</v>
      </c>
      <c r="Q1235" t="s">
        <v>29</v>
      </c>
      <c r="R1235">
        <v>222</v>
      </c>
      <c r="S1235">
        <v>24.33</v>
      </c>
      <c r="T1235">
        <v>4.0999999999999996</v>
      </c>
      <c r="U1235">
        <v>4.9000000000000004</v>
      </c>
      <c r="V1235" t="s">
        <v>38</v>
      </c>
    </row>
    <row r="1236" spans="1:22" x14ac:dyDescent="0.35">
      <c r="A1236" s="1">
        <v>45543</v>
      </c>
      <c r="B1236" t="s">
        <v>53</v>
      </c>
      <c r="C1236" s="2">
        <v>0.38261574074074073</v>
      </c>
      <c r="D1236" t="s">
        <v>2707</v>
      </c>
      <c r="E1236" t="s">
        <v>117</v>
      </c>
      <c r="F1236" t="s">
        <v>2708</v>
      </c>
      <c r="G1236" t="s">
        <v>50</v>
      </c>
      <c r="H1236" t="s">
        <v>133</v>
      </c>
      <c r="I1236" t="s">
        <v>881</v>
      </c>
      <c r="J1236">
        <v>7.3</v>
      </c>
      <c r="K1236" t="s">
        <v>29</v>
      </c>
      <c r="L1236">
        <v>1</v>
      </c>
      <c r="M1236" t="s">
        <v>420</v>
      </c>
      <c r="N1236" t="s">
        <v>29</v>
      </c>
      <c r="O1236" t="s">
        <v>29</v>
      </c>
      <c r="P1236" t="s">
        <v>29</v>
      </c>
      <c r="Q1236" t="s">
        <v>29</v>
      </c>
      <c r="R1236" t="s">
        <v>29</v>
      </c>
      <c r="S1236" t="s">
        <v>29</v>
      </c>
      <c r="T1236" t="s">
        <v>29</v>
      </c>
      <c r="U1236" t="s">
        <v>29</v>
      </c>
      <c r="V1236" t="s">
        <v>29</v>
      </c>
    </row>
    <row r="1237" spans="1:22" x14ac:dyDescent="0.35">
      <c r="A1237" s="1">
        <v>45387</v>
      </c>
      <c r="B1237" t="s">
        <v>154</v>
      </c>
      <c r="C1237" s="2">
        <v>0.65957175925925926</v>
      </c>
      <c r="D1237" t="s">
        <v>2709</v>
      </c>
      <c r="E1237" t="s">
        <v>41</v>
      </c>
      <c r="F1237" t="s">
        <v>2710</v>
      </c>
      <c r="G1237" t="s">
        <v>43</v>
      </c>
      <c r="H1237" t="s">
        <v>293</v>
      </c>
      <c r="I1237" t="s">
        <v>744</v>
      </c>
      <c r="J1237">
        <v>9.8000000000000007</v>
      </c>
      <c r="K1237">
        <v>35.700000000000003</v>
      </c>
      <c r="L1237" t="s">
        <v>29</v>
      </c>
      <c r="M1237" t="s">
        <v>29</v>
      </c>
      <c r="N1237" t="s">
        <v>29</v>
      </c>
      <c r="O1237" t="s">
        <v>29</v>
      </c>
      <c r="P1237" t="s">
        <v>29</v>
      </c>
      <c r="Q1237" t="s">
        <v>29</v>
      </c>
      <c r="R1237">
        <v>57</v>
      </c>
      <c r="S1237">
        <v>28.51</v>
      </c>
      <c r="T1237">
        <v>4.5</v>
      </c>
      <c r="U1237">
        <v>4.9000000000000004</v>
      </c>
      <c r="V1237" t="s">
        <v>46</v>
      </c>
    </row>
    <row r="1238" spans="1:22" x14ac:dyDescent="0.35">
      <c r="A1238" s="1">
        <v>45530</v>
      </c>
      <c r="B1238" t="s">
        <v>39</v>
      </c>
      <c r="C1238" s="2">
        <v>0.8002083333333333</v>
      </c>
      <c r="D1238" t="s">
        <v>2711</v>
      </c>
      <c r="E1238" t="s">
        <v>41</v>
      </c>
      <c r="F1238" t="s">
        <v>2712</v>
      </c>
      <c r="G1238" t="s">
        <v>34</v>
      </c>
      <c r="H1238" t="s">
        <v>858</v>
      </c>
      <c r="I1238" t="s">
        <v>143</v>
      </c>
      <c r="J1238">
        <v>13.7</v>
      </c>
      <c r="K1238">
        <v>39.5</v>
      </c>
      <c r="L1238" t="s">
        <v>29</v>
      </c>
      <c r="M1238" t="s">
        <v>29</v>
      </c>
      <c r="N1238" t="s">
        <v>29</v>
      </c>
      <c r="O1238" t="s">
        <v>29</v>
      </c>
      <c r="P1238" t="s">
        <v>29</v>
      </c>
      <c r="Q1238" t="s">
        <v>29</v>
      </c>
      <c r="R1238">
        <v>104</v>
      </c>
      <c r="S1238">
        <v>43.67</v>
      </c>
      <c r="T1238">
        <v>4.3</v>
      </c>
      <c r="U1238">
        <v>4</v>
      </c>
      <c r="V1238" t="s">
        <v>38</v>
      </c>
    </row>
    <row r="1239" spans="1:22" x14ac:dyDescent="0.35">
      <c r="A1239" s="1">
        <v>45601</v>
      </c>
      <c r="B1239" t="s">
        <v>30</v>
      </c>
      <c r="C1239" s="2">
        <v>0.81018518518518523</v>
      </c>
      <c r="D1239" t="s">
        <v>2713</v>
      </c>
      <c r="E1239" t="s">
        <v>24</v>
      </c>
      <c r="F1239" t="s">
        <v>2714</v>
      </c>
      <c r="G1239" t="s">
        <v>34</v>
      </c>
      <c r="H1239" t="s">
        <v>407</v>
      </c>
      <c r="I1239" t="s">
        <v>449</v>
      </c>
      <c r="J1239" t="s">
        <v>29</v>
      </c>
      <c r="K1239" t="s">
        <v>29</v>
      </c>
      <c r="L1239" t="s">
        <v>29</v>
      </c>
      <c r="M1239" t="s">
        <v>29</v>
      </c>
      <c r="N1239" t="s">
        <v>29</v>
      </c>
      <c r="O1239" t="s">
        <v>29</v>
      </c>
      <c r="P1239" t="s">
        <v>29</v>
      </c>
      <c r="Q1239" t="s">
        <v>29</v>
      </c>
      <c r="R1239" t="s">
        <v>29</v>
      </c>
      <c r="S1239" t="s">
        <v>29</v>
      </c>
      <c r="T1239" t="s">
        <v>29</v>
      </c>
      <c r="U1239" t="s">
        <v>29</v>
      </c>
      <c r="V1239" t="s">
        <v>29</v>
      </c>
    </row>
    <row r="1240" spans="1:22" x14ac:dyDescent="0.35">
      <c r="A1240" s="1">
        <v>45473</v>
      </c>
      <c r="B1240" t="s">
        <v>64</v>
      </c>
      <c r="C1240" s="2">
        <v>0.81324074074074071</v>
      </c>
      <c r="D1240" t="s">
        <v>2715</v>
      </c>
      <c r="E1240" t="s">
        <v>41</v>
      </c>
      <c r="F1240" t="s">
        <v>2716</v>
      </c>
      <c r="G1240" t="s">
        <v>56</v>
      </c>
      <c r="H1240" t="s">
        <v>158</v>
      </c>
      <c r="I1240" t="s">
        <v>136</v>
      </c>
      <c r="J1240">
        <v>10.8</v>
      </c>
      <c r="K1240">
        <v>42.1</v>
      </c>
      <c r="L1240" t="s">
        <v>29</v>
      </c>
      <c r="M1240" t="s">
        <v>29</v>
      </c>
      <c r="N1240" t="s">
        <v>29</v>
      </c>
      <c r="O1240" t="s">
        <v>29</v>
      </c>
      <c r="P1240" t="s">
        <v>29</v>
      </c>
      <c r="Q1240" t="s">
        <v>29</v>
      </c>
      <c r="R1240">
        <v>1241</v>
      </c>
      <c r="S1240">
        <v>29.38</v>
      </c>
      <c r="T1240">
        <v>4.2</v>
      </c>
      <c r="U1240">
        <v>4.2</v>
      </c>
      <c r="V1240" t="s">
        <v>46</v>
      </c>
    </row>
    <row r="1241" spans="1:22" x14ac:dyDescent="0.35">
      <c r="A1241" s="1">
        <v>45491</v>
      </c>
      <c r="B1241" t="s">
        <v>108</v>
      </c>
      <c r="C1241" s="2">
        <v>0.64223379629629629</v>
      </c>
      <c r="D1241" t="s">
        <v>2717</v>
      </c>
      <c r="E1241" t="s">
        <v>93</v>
      </c>
      <c r="F1241" t="s">
        <v>2718</v>
      </c>
      <c r="G1241" t="s">
        <v>43</v>
      </c>
      <c r="H1241" t="s">
        <v>463</v>
      </c>
      <c r="I1241" t="s">
        <v>498</v>
      </c>
      <c r="J1241">
        <v>7.4</v>
      </c>
      <c r="K1241" t="s">
        <v>29</v>
      </c>
      <c r="L1241" t="s">
        <v>29</v>
      </c>
      <c r="M1241" t="s">
        <v>29</v>
      </c>
      <c r="N1241">
        <v>1</v>
      </c>
      <c r="O1241" t="s">
        <v>169</v>
      </c>
      <c r="P1241" t="s">
        <v>29</v>
      </c>
      <c r="Q1241" t="s">
        <v>29</v>
      </c>
      <c r="R1241" t="s">
        <v>29</v>
      </c>
      <c r="S1241" t="s">
        <v>29</v>
      </c>
      <c r="T1241" t="s">
        <v>29</v>
      </c>
      <c r="U1241" t="s">
        <v>29</v>
      </c>
      <c r="V1241" t="s">
        <v>29</v>
      </c>
    </row>
    <row r="1242" spans="1:22" x14ac:dyDescent="0.35">
      <c r="A1242" s="1">
        <v>45414</v>
      </c>
      <c r="B1242" t="s">
        <v>122</v>
      </c>
      <c r="C1242" s="2">
        <v>0.76282407407407404</v>
      </c>
      <c r="D1242" t="s">
        <v>2719</v>
      </c>
      <c r="E1242" t="s">
        <v>41</v>
      </c>
      <c r="F1242" t="s">
        <v>2720</v>
      </c>
      <c r="G1242" t="s">
        <v>34</v>
      </c>
      <c r="H1242" t="s">
        <v>119</v>
      </c>
      <c r="I1242" t="s">
        <v>36</v>
      </c>
      <c r="J1242">
        <v>14.1</v>
      </c>
      <c r="K1242">
        <v>20.5</v>
      </c>
      <c r="L1242" t="s">
        <v>29</v>
      </c>
      <c r="M1242" t="s">
        <v>29</v>
      </c>
      <c r="N1242" t="s">
        <v>29</v>
      </c>
      <c r="O1242" t="s">
        <v>29</v>
      </c>
      <c r="P1242" t="s">
        <v>29</v>
      </c>
      <c r="Q1242" t="s">
        <v>29</v>
      </c>
      <c r="R1242">
        <v>95</v>
      </c>
      <c r="S1242">
        <v>25.04</v>
      </c>
      <c r="T1242">
        <v>3.8</v>
      </c>
      <c r="U1242">
        <v>4.5999999999999996</v>
      </c>
      <c r="V1242" t="s">
        <v>149</v>
      </c>
    </row>
    <row r="1243" spans="1:22" x14ac:dyDescent="0.35">
      <c r="A1243" s="1">
        <v>45446</v>
      </c>
      <c r="B1243" t="s">
        <v>64</v>
      </c>
      <c r="C1243" s="2">
        <v>0.35810185185185184</v>
      </c>
      <c r="D1243" t="s">
        <v>2721</v>
      </c>
      <c r="E1243" t="s">
        <v>41</v>
      </c>
      <c r="F1243" t="s">
        <v>2722</v>
      </c>
      <c r="G1243" t="s">
        <v>43</v>
      </c>
      <c r="H1243" t="s">
        <v>262</v>
      </c>
      <c r="I1243" t="s">
        <v>77</v>
      </c>
      <c r="J1243">
        <v>7.8</v>
      </c>
      <c r="K1243">
        <v>21.8</v>
      </c>
      <c r="L1243" t="s">
        <v>29</v>
      </c>
      <c r="M1243" t="s">
        <v>29</v>
      </c>
      <c r="N1243" t="s">
        <v>29</v>
      </c>
      <c r="O1243" t="s">
        <v>29</v>
      </c>
      <c r="P1243" t="s">
        <v>29</v>
      </c>
      <c r="Q1243" t="s">
        <v>29</v>
      </c>
      <c r="R1243">
        <v>266</v>
      </c>
      <c r="S1243">
        <v>28.28</v>
      </c>
      <c r="T1243">
        <v>4.7</v>
      </c>
      <c r="U1243">
        <v>4.3</v>
      </c>
      <c r="V1243" t="s">
        <v>107</v>
      </c>
    </row>
    <row r="1244" spans="1:22" x14ac:dyDescent="0.35">
      <c r="A1244" s="1">
        <v>45587</v>
      </c>
      <c r="B1244" t="s">
        <v>47</v>
      </c>
      <c r="C1244" s="2">
        <v>0.78893518518518524</v>
      </c>
      <c r="D1244" t="s">
        <v>2723</v>
      </c>
      <c r="E1244" t="s">
        <v>41</v>
      </c>
      <c r="F1244" t="s">
        <v>2724</v>
      </c>
      <c r="G1244" t="s">
        <v>26</v>
      </c>
      <c r="H1244" t="s">
        <v>430</v>
      </c>
      <c r="I1244" t="s">
        <v>167</v>
      </c>
      <c r="J1244">
        <v>7.3</v>
      </c>
      <c r="K1244">
        <v>15.5</v>
      </c>
      <c r="L1244" t="s">
        <v>29</v>
      </c>
      <c r="M1244" t="s">
        <v>29</v>
      </c>
      <c r="N1244" t="s">
        <v>29</v>
      </c>
      <c r="O1244" t="s">
        <v>29</v>
      </c>
      <c r="P1244" t="s">
        <v>29</v>
      </c>
      <c r="Q1244" t="s">
        <v>29</v>
      </c>
      <c r="R1244">
        <v>694</v>
      </c>
      <c r="S1244">
        <v>28.75</v>
      </c>
      <c r="T1244">
        <v>4.4000000000000004</v>
      </c>
      <c r="U1244">
        <v>4.7</v>
      </c>
      <c r="V1244" t="s">
        <v>149</v>
      </c>
    </row>
    <row r="1245" spans="1:22" x14ac:dyDescent="0.35">
      <c r="A1245" s="1">
        <v>45338</v>
      </c>
      <c r="B1245" t="s">
        <v>59</v>
      </c>
      <c r="C1245" s="2">
        <v>0.74677083333333338</v>
      </c>
      <c r="D1245" t="s">
        <v>2725</v>
      </c>
      <c r="E1245" t="s">
        <v>41</v>
      </c>
      <c r="F1245" t="s">
        <v>2726</v>
      </c>
      <c r="G1245" t="s">
        <v>50</v>
      </c>
      <c r="H1245" t="s">
        <v>63</v>
      </c>
      <c r="I1245" t="s">
        <v>654</v>
      </c>
      <c r="J1245">
        <v>12.6</v>
      </c>
      <c r="K1245">
        <v>27.7</v>
      </c>
      <c r="L1245" t="s">
        <v>29</v>
      </c>
      <c r="M1245" t="s">
        <v>29</v>
      </c>
      <c r="N1245" t="s">
        <v>29</v>
      </c>
      <c r="O1245" t="s">
        <v>29</v>
      </c>
      <c r="P1245" t="s">
        <v>29</v>
      </c>
      <c r="Q1245" t="s">
        <v>29</v>
      </c>
      <c r="R1245">
        <v>375</v>
      </c>
      <c r="S1245">
        <v>31.28</v>
      </c>
      <c r="T1245">
        <v>4.0999999999999996</v>
      </c>
      <c r="U1245">
        <v>4.3</v>
      </c>
      <c r="V1245" t="s">
        <v>107</v>
      </c>
    </row>
    <row r="1246" spans="1:22" x14ac:dyDescent="0.35">
      <c r="A1246" s="1">
        <v>45313</v>
      </c>
      <c r="B1246" t="s">
        <v>150</v>
      </c>
      <c r="C1246" s="2">
        <v>0.69642361111111106</v>
      </c>
      <c r="D1246" t="s">
        <v>2727</v>
      </c>
      <c r="E1246" t="s">
        <v>117</v>
      </c>
      <c r="F1246" t="s">
        <v>2728</v>
      </c>
      <c r="G1246" t="s">
        <v>50</v>
      </c>
      <c r="H1246" t="s">
        <v>164</v>
      </c>
      <c r="I1246" t="s">
        <v>211</v>
      </c>
      <c r="J1246">
        <v>20</v>
      </c>
      <c r="K1246" t="s">
        <v>29</v>
      </c>
      <c r="L1246">
        <v>1</v>
      </c>
      <c r="M1246" t="s">
        <v>420</v>
      </c>
      <c r="N1246" t="s">
        <v>29</v>
      </c>
      <c r="O1246" t="s">
        <v>29</v>
      </c>
      <c r="P1246" t="s">
        <v>29</v>
      </c>
      <c r="Q1246" t="s">
        <v>29</v>
      </c>
      <c r="R1246" t="s">
        <v>29</v>
      </c>
      <c r="S1246" t="s">
        <v>29</v>
      </c>
      <c r="T1246" t="s">
        <v>29</v>
      </c>
      <c r="U1246" t="s">
        <v>29</v>
      </c>
      <c r="V1246" t="s">
        <v>29</v>
      </c>
    </row>
    <row r="1247" spans="1:22" x14ac:dyDescent="0.35">
      <c r="A1247" s="1">
        <v>45648</v>
      </c>
      <c r="B1247" t="s">
        <v>78</v>
      </c>
      <c r="C1247" s="2">
        <v>0.34468749999999998</v>
      </c>
      <c r="D1247" t="s">
        <v>2729</v>
      </c>
      <c r="E1247" t="s">
        <v>41</v>
      </c>
      <c r="F1247" t="s">
        <v>2730</v>
      </c>
      <c r="G1247" t="s">
        <v>34</v>
      </c>
      <c r="H1247" t="s">
        <v>332</v>
      </c>
      <c r="I1247" t="s">
        <v>36</v>
      </c>
      <c r="J1247">
        <v>10</v>
      </c>
      <c r="K1247">
        <v>41.1</v>
      </c>
      <c r="L1247" t="s">
        <v>29</v>
      </c>
      <c r="M1247" t="s">
        <v>29</v>
      </c>
      <c r="N1247" t="s">
        <v>29</v>
      </c>
      <c r="O1247" t="s">
        <v>29</v>
      </c>
      <c r="P1247" t="s">
        <v>29</v>
      </c>
      <c r="Q1247" t="s">
        <v>29</v>
      </c>
      <c r="R1247">
        <v>1459</v>
      </c>
      <c r="S1247">
        <v>38.97</v>
      </c>
      <c r="T1247">
        <v>4.5</v>
      </c>
      <c r="U1247">
        <v>4.3</v>
      </c>
      <c r="V1247" t="s">
        <v>149</v>
      </c>
    </row>
    <row r="1248" spans="1:22" x14ac:dyDescent="0.35">
      <c r="A1248" s="1">
        <v>45635</v>
      </c>
      <c r="B1248" t="s">
        <v>78</v>
      </c>
      <c r="C1248" s="2">
        <v>0.4241435185185185</v>
      </c>
      <c r="D1248" t="s">
        <v>2731</v>
      </c>
      <c r="E1248" t="s">
        <v>41</v>
      </c>
      <c r="F1248" t="s">
        <v>2732</v>
      </c>
      <c r="G1248" t="s">
        <v>43</v>
      </c>
      <c r="H1248" t="s">
        <v>87</v>
      </c>
      <c r="I1248" t="s">
        <v>267</v>
      </c>
      <c r="J1248">
        <v>2.2999999999999998</v>
      </c>
      <c r="K1248">
        <v>16.5</v>
      </c>
      <c r="L1248" t="s">
        <v>29</v>
      </c>
      <c r="M1248" t="s">
        <v>29</v>
      </c>
      <c r="N1248" t="s">
        <v>29</v>
      </c>
      <c r="O1248" t="s">
        <v>29</v>
      </c>
      <c r="P1248" t="s">
        <v>29</v>
      </c>
      <c r="Q1248" t="s">
        <v>29</v>
      </c>
      <c r="R1248">
        <v>174</v>
      </c>
      <c r="S1248">
        <v>41.64</v>
      </c>
      <c r="T1248">
        <v>4.3</v>
      </c>
      <c r="U1248">
        <v>4.2</v>
      </c>
      <c r="V1248" t="s">
        <v>38</v>
      </c>
    </row>
    <row r="1249" spans="1:22" x14ac:dyDescent="0.35">
      <c r="A1249" s="1">
        <v>45368</v>
      </c>
      <c r="B1249" t="s">
        <v>22</v>
      </c>
      <c r="C1249" s="2">
        <v>0.44920138888888889</v>
      </c>
      <c r="D1249" t="s">
        <v>2733</v>
      </c>
      <c r="E1249" t="s">
        <v>93</v>
      </c>
      <c r="F1249" t="s">
        <v>2734</v>
      </c>
      <c r="G1249" t="s">
        <v>43</v>
      </c>
      <c r="H1249" t="s">
        <v>407</v>
      </c>
      <c r="I1249" t="s">
        <v>627</v>
      </c>
      <c r="J1249">
        <v>10.8</v>
      </c>
      <c r="K1249" t="s">
        <v>29</v>
      </c>
      <c r="L1249" t="s">
        <v>29</v>
      </c>
      <c r="M1249" t="s">
        <v>29</v>
      </c>
      <c r="N1249">
        <v>1</v>
      </c>
      <c r="O1249" t="s">
        <v>97</v>
      </c>
      <c r="P1249" t="s">
        <v>29</v>
      </c>
      <c r="Q1249" t="s">
        <v>29</v>
      </c>
      <c r="R1249" t="s">
        <v>29</v>
      </c>
      <c r="S1249" t="s">
        <v>29</v>
      </c>
      <c r="T1249" t="s">
        <v>29</v>
      </c>
      <c r="U1249" t="s">
        <v>29</v>
      </c>
      <c r="V1249" t="s">
        <v>29</v>
      </c>
    </row>
    <row r="1250" spans="1:22" x14ac:dyDescent="0.35">
      <c r="A1250" s="1">
        <v>45475</v>
      </c>
      <c r="B1250" t="s">
        <v>108</v>
      </c>
      <c r="C1250" s="2">
        <v>0.5776041666666667</v>
      </c>
      <c r="D1250" t="s">
        <v>2735</v>
      </c>
      <c r="E1250" t="s">
        <v>41</v>
      </c>
      <c r="F1250" t="s">
        <v>2736</v>
      </c>
      <c r="G1250" t="s">
        <v>26</v>
      </c>
      <c r="H1250" t="s">
        <v>407</v>
      </c>
      <c r="I1250" t="s">
        <v>95</v>
      </c>
      <c r="J1250">
        <v>8</v>
      </c>
      <c r="K1250">
        <v>18.600000000000001</v>
      </c>
      <c r="L1250" t="s">
        <v>29</v>
      </c>
      <c r="M1250" t="s">
        <v>29</v>
      </c>
      <c r="N1250" t="s">
        <v>29</v>
      </c>
      <c r="O1250" t="s">
        <v>29</v>
      </c>
      <c r="P1250" t="s">
        <v>29</v>
      </c>
      <c r="Q1250" t="s">
        <v>29</v>
      </c>
      <c r="R1250">
        <v>416</v>
      </c>
      <c r="S1250">
        <v>22.34</v>
      </c>
      <c r="T1250">
        <v>4.0999999999999996</v>
      </c>
      <c r="U1250">
        <v>3.5</v>
      </c>
      <c r="V1250" t="s">
        <v>84</v>
      </c>
    </row>
    <row r="1251" spans="1:22" x14ac:dyDescent="0.35">
      <c r="A1251" s="1">
        <v>45336</v>
      </c>
      <c r="B1251" t="s">
        <v>59</v>
      </c>
      <c r="C1251" s="2">
        <v>0.4039699074074074</v>
      </c>
      <c r="D1251" t="s">
        <v>2737</v>
      </c>
      <c r="E1251" t="s">
        <v>41</v>
      </c>
      <c r="F1251" t="s">
        <v>2738</v>
      </c>
      <c r="G1251" t="s">
        <v>43</v>
      </c>
      <c r="H1251" t="s">
        <v>91</v>
      </c>
      <c r="I1251" t="s">
        <v>255</v>
      </c>
      <c r="J1251">
        <v>7.9</v>
      </c>
      <c r="K1251">
        <v>23.4</v>
      </c>
      <c r="L1251" t="s">
        <v>29</v>
      </c>
      <c r="M1251" t="s">
        <v>29</v>
      </c>
      <c r="N1251" t="s">
        <v>29</v>
      </c>
      <c r="O1251" t="s">
        <v>29</v>
      </c>
      <c r="P1251" t="s">
        <v>29</v>
      </c>
      <c r="Q1251" t="s">
        <v>29</v>
      </c>
      <c r="R1251">
        <v>1077</v>
      </c>
      <c r="S1251">
        <v>28.53</v>
      </c>
      <c r="T1251">
        <v>4.4000000000000004</v>
      </c>
      <c r="U1251">
        <v>4.8</v>
      </c>
      <c r="V1251" t="s">
        <v>84</v>
      </c>
    </row>
    <row r="1252" spans="1:22" x14ac:dyDescent="0.35">
      <c r="A1252" s="1">
        <v>45493</v>
      </c>
      <c r="B1252" t="s">
        <v>108</v>
      </c>
      <c r="C1252" s="2">
        <v>0.52631944444444445</v>
      </c>
      <c r="D1252" t="s">
        <v>2739</v>
      </c>
      <c r="E1252" t="s">
        <v>93</v>
      </c>
      <c r="F1252" t="s">
        <v>2740</v>
      </c>
      <c r="G1252" t="s">
        <v>56</v>
      </c>
      <c r="H1252" t="s">
        <v>881</v>
      </c>
      <c r="I1252" t="s">
        <v>119</v>
      </c>
      <c r="J1252">
        <v>7.3</v>
      </c>
      <c r="K1252" t="s">
        <v>29</v>
      </c>
      <c r="L1252" t="s">
        <v>29</v>
      </c>
      <c r="M1252" t="s">
        <v>29</v>
      </c>
      <c r="N1252">
        <v>1</v>
      </c>
      <c r="O1252" t="s">
        <v>337</v>
      </c>
      <c r="P1252" t="s">
        <v>29</v>
      </c>
      <c r="Q1252" t="s">
        <v>29</v>
      </c>
      <c r="R1252" t="s">
        <v>29</v>
      </c>
      <c r="S1252" t="s">
        <v>29</v>
      </c>
      <c r="T1252" t="s">
        <v>29</v>
      </c>
      <c r="U1252" t="s">
        <v>29</v>
      </c>
      <c r="V1252" t="s">
        <v>29</v>
      </c>
    </row>
    <row r="1253" spans="1:22" x14ac:dyDescent="0.35">
      <c r="A1253" s="1">
        <v>45292</v>
      </c>
      <c r="B1253" t="s">
        <v>150</v>
      </c>
      <c r="C1253" s="2">
        <v>0.72668981481481476</v>
      </c>
      <c r="D1253" t="s">
        <v>2741</v>
      </c>
      <c r="E1253" t="s">
        <v>93</v>
      </c>
      <c r="F1253" t="s">
        <v>2742</v>
      </c>
      <c r="G1253" t="s">
        <v>56</v>
      </c>
      <c r="H1253" t="s">
        <v>355</v>
      </c>
      <c r="I1253" t="s">
        <v>582</v>
      </c>
      <c r="J1253">
        <v>7.8</v>
      </c>
      <c r="K1253" t="s">
        <v>29</v>
      </c>
      <c r="L1253" t="s">
        <v>29</v>
      </c>
      <c r="M1253" t="s">
        <v>29</v>
      </c>
      <c r="N1253">
        <v>1</v>
      </c>
      <c r="O1253" t="s">
        <v>337</v>
      </c>
      <c r="P1253" t="s">
        <v>29</v>
      </c>
      <c r="Q1253" t="s">
        <v>29</v>
      </c>
      <c r="R1253" t="s">
        <v>29</v>
      </c>
      <c r="S1253" t="s">
        <v>29</v>
      </c>
      <c r="T1253" t="s">
        <v>29</v>
      </c>
      <c r="U1253" t="s">
        <v>29</v>
      </c>
      <c r="V1253" t="s">
        <v>29</v>
      </c>
    </row>
    <row r="1254" spans="1:22" x14ac:dyDescent="0.35">
      <c r="A1254" s="1">
        <v>45334</v>
      </c>
      <c r="B1254" t="s">
        <v>59</v>
      </c>
      <c r="C1254" s="2">
        <v>0.45447916666666666</v>
      </c>
      <c r="D1254" t="s">
        <v>2743</v>
      </c>
      <c r="E1254" t="s">
        <v>32</v>
      </c>
      <c r="F1254" t="s">
        <v>2744</v>
      </c>
      <c r="G1254" t="s">
        <v>50</v>
      </c>
      <c r="H1254" t="s">
        <v>214</v>
      </c>
      <c r="I1254" t="s">
        <v>714</v>
      </c>
      <c r="J1254">
        <v>5.6</v>
      </c>
      <c r="K1254">
        <v>23.2</v>
      </c>
      <c r="L1254" t="s">
        <v>29</v>
      </c>
      <c r="M1254" t="s">
        <v>29</v>
      </c>
      <c r="N1254" t="s">
        <v>29</v>
      </c>
      <c r="O1254" t="s">
        <v>29</v>
      </c>
      <c r="P1254">
        <v>1</v>
      </c>
      <c r="Q1254" t="s">
        <v>302</v>
      </c>
      <c r="R1254">
        <v>278</v>
      </c>
      <c r="S1254">
        <v>14.22</v>
      </c>
      <c r="T1254" t="s">
        <v>29</v>
      </c>
      <c r="U1254" t="s">
        <v>29</v>
      </c>
      <c r="V1254" t="s">
        <v>38</v>
      </c>
    </row>
    <row r="1255" spans="1:22" x14ac:dyDescent="0.35">
      <c r="A1255" s="1">
        <v>45614</v>
      </c>
      <c r="B1255" t="s">
        <v>30</v>
      </c>
      <c r="C1255" s="2">
        <v>0.90017361111111116</v>
      </c>
      <c r="D1255" t="s">
        <v>2745</v>
      </c>
      <c r="E1255" t="s">
        <v>24</v>
      </c>
      <c r="F1255" t="s">
        <v>2746</v>
      </c>
      <c r="G1255" t="s">
        <v>50</v>
      </c>
      <c r="H1255" t="s">
        <v>173</v>
      </c>
      <c r="I1255" t="s">
        <v>714</v>
      </c>
      <c r="J1255" t="s">
        <v>29</v>
      </c>
      <c r="K1255" t="s">
        <v>29</v>
      </c>
      <c r="L1255" t="s">
        <v>29</v>
      </c>
      <c r="M1255" t="s">
        <v>29</v>
      </c>
      <c r="N1255" t="s">
        <v>29</v>
      </c>
      <c r="O1255" t="s">
        <v>29</v>
      </c>
      <c r="P1255" t="s">
        <v>29</v>
      </c>
      <c r="Q1255" t="s">
        <v>29</v>
      </c>
      <c r="R1255" t="s">
        <v>29</v>
      </c>
      <c r="S1255" t="s">
        <v>29</v>
      </c>
      <c r="T1255" t="s">
        <v>29</v>
      </c>
      <c r="U1255" t="s">
        <v>29</v>
      </c>
      <c r="V1255" t="s">
        <v>29</v>
      </c>
    </row>
    <row r="1256" spans="1:22" x14ac:dyDescent="0.35">
      <c r="A1256" s="1">
        <v>45365</v>
      </c>
      <c r="B1256" t="s">
        <v>22</v>
      </c>
      <c r="C1256" s="2">
        <v>0.47215277777777775</v>
      </c>
      <c r="D1256" t="s">
        <v>2747</v>
      </c>
      <c r="E1256" t="s">
        <v>41</v>
      </c>
      <c r="F1256" t="s">
        <v>2748</v>
      </c>
      <c r="G1256" t="s">
        <v>67</v>
      </c>
      <c r="H1256" t="s">
        <v>365</v>
      </c>
      <c r="I1256" t="s">
        <v>267</v>
      </c>
      <c r="J1256">
        <v>7.2</v>
      </c>
      <c r="K1256">
        <v>42.1</v>
      </c>
      <c r="L1256" t="s">
        <v>29</v>
      </c>
      <c r="M1256" t="s">
        <v>29</v>
      </c>
      <c r="N1256" t="s">
        <v>29</v>
      </c>
      <c r="O1256" t="s">
        <v>29</v>
      </c>
      <c r="P1256" t="s">
        <v>29</v>
      </c>
      <c r="Q1256" t="s">
        <v>29</v>
      </c>
      <c r="R1256">
        <v>491</v>
      </c>
      <c r="S1256">
        <v>10.77</v>
      </c>
      <c r="T1256">
        <v>4.2</v>
      </c>
      <c r="U1256">
        <v>4.3</v>
      </c>
      <c r="V1256" t="s">
        <v>38</v>
      </c>
    </row>
    <row r="1257" spans="1:22" x14ac:dyDescent="0.35">
      <c r="A1257" s="1">
        <v>45301</v>
      </c>
      <c r="B1257" t="s">
        <v>150</v>
      </c>
      <c r="C1257" s="2">
        <v>0.76840277777777777</v>
      </c>
      <c r="D1257" t="s">
        <v>2749</v>
      </c>
      <c r="E1257" t="s">
        <v>41</v>
      </c>
      <c r="F1257" t="s">
        <v>2750</v>
      </c>
      <c r="G1257" t="s">
        <v>43</v>
      </c>
      <c r="H1257" t="s">
        <v>305</v>
      </c>
      <c r="I1257" t="s">
        <v>808</v>
      </c>
      <c r="J1257">
        <v>4.7</v>
      </c>
      <c r="K1257">
        <v>39.700000000000003</v>
      </c>
      <c r="L1257" t="s">
        <v>29</v>
      </c>
      <c r="M1257" t="s">
        <v>29</v>
      </c>
      <c r="N1257" t="s">
        <v>29</v>
      </c>
      <c r="O1257" t="s">
        <v>29</v>
      </c>
      <c r="P1257" t="s">
        <v>29</v>
      </c>
      <c r="Q1257" t="s">
        <v>29</v>
      </c>
      <c r="R1257">
        <v>394</v>
      </c>
      <c r="S1257">
        <v>45.56</v>
      </c>
      <c r="T1257">
        <v>4.7</v>
      </c>
      <c r="U1257">
        <v>4.8</v>
      </c>
      <c r="V1257" t="s">
        <v>84</v>
      </c>
    </row>
    <row r="1258" spans="1:22" x14ac:dyDescent="0.35">
      <c r="A1258" s="1">
        <v>45397</v>
      </c>
      <c r="B1258" t="s">
        <v>154</v>
      </c>
      <c r="C1258" s="2">
        <v>0.44859953703703703</v>
      </c>
      <c r="D1258" t="s">
        <v>2751</v>
      </c>
      <c r="E1258" t="s">
        <v>93</v>
      </c>
      <c r="F1258" t="s">
        <v>2752</v>
      </c>
      <c r="G1258" t="s">
        <v>50</v>
      </c>
      <c r="H1258" t="s">
        <v>263</v>
      </c>
      <c r="I1258" t="s">
        <v>193</v>
      </c>
      <c r="J1258">
        <v>9.5</v>
      </c>
      <c r="K1258" t="s">
        <v>29</v>
      </c>
      <c r="L1258" t="s">
        <v>29</v>
      </c>
      <c r="M1258" t="s">
        <v>29</v>
      </c>
      <c r="N1258">
        <v>1</v>
      </c>
      <c r="O1258" t="s">
        <v>169</v>
      </c>
      <c r="P1258" t="s">
        <v>29</v>
      </c>
      <c r="Q1258" t="s">
        <v>29</v>
      </c>
      <c r="R1258" t="s">
        <v>29</v>
      </c>
      <c r="S1258" t="s">
        <v>29</v>
      </c>
      <c r="T1258" t="s">
        <v>29</v>
      </c>
      <c r="U1258" t="s">
        <v>29</v>
      </c>
      <c r="V1258" t="s">
        <v>29</v>
      </c>
    </row>
    <row r="1259" spans="1:22" x14ac:dyDescent="0.35">
      <c r="A1259" s="1">
        <v>45310</v>
      </c>
      <c r="B1259" t="s">
        <v>150</v>
      </c>
      <c r="C1259" s="2">
        <v>0.82222222222222219</v>
      </c>
      <c r="D1259" t="s">
        <v>2753</v>
      </c>
      <c r="E1259" t="s">
        <v>41</v>
      </c>
      <c r="F1259" t="s">
        <v>2754</v>
      </c>
      <c r="G1259" t="s">
        <v>56</v>
      </c>
      <c r="H1259" t="s">
        <v>102</v>
      </c>
      <c r="I1259" t="s">
        <v>366</v>
      </c>
      <c r="J1259">
        <v>3.8</v>
      </c>
      <c r="K1259">
        <v>15.5</v>
      </c>
      <c r="L1259" t="s">
        <v>29</v>
      </c>
      <c r="M1259" t="s">
        <v>29</v>
      </c>
      <c r="N1259" t="s">
        <v>29</v>
      </c>
      <c r="O1259" t="s">
        <v>29</v>
      </c>
      <c r="P1259" t="s">
        <v>29</v>
      </c>
      <c r="Q1259" t="s">
        <v>29</v>
      </c>
      <c r="R1259">
        <v>325</v>
      </c>
      <c r="S1259">
        <v>34.049999999999997</v>
      </c>
      <c r="T1259">
        <v>4.9000000000000004</v>
      </c>
      <c r="U1259">
        <v>4.5</v>
      </c>
      <c r="V1259" t="s">
        <v>149</v>
      </c>
    </row>
    <row r="1260" spans="1:22" x14ac:dyDescent="0.35">
      <c r="A1260" s="1">
        <v>45544</v>
      </c>
      <c r="B1260" t="s">
        <v>53</v>
      </c>
      <c r="C1260" s="2">
        <v>0.41619212962962965</v>
      </c>
      <c r="D1260" t="s">
        <v>2755</v>
      </c>
      <c r="E1260" t="s">
        <v>41</v>
      </c>
      <c r="F1260" t="s">
        <v>2756</v>
      </c>
      <c r="G1260" t="s">
        <v>43</v>
      </c>
      <c r="H1260" t="s">
        <v>377</v>
      </c>
      <c r="I1260" t="s">
        <v>164</v>
      </c>
      <c r="J1260">
        <v>9.1999999999999993</v>
      </c>
      <c r="K1260">
        <v>20.399999999999999</v>
      </c>
      <c r="L1260" t="s">
        <v>29</v>
      </c>
      <c r="M1260" t="s">
        <v>29</v>
      </c>
      <c r="N1260" t="s">
        <v>29</v>
      </c>
      <c r="O1260" t="s">
        <v>29</v>
      </c>
      <c r="P1260" t="s">
        <v>29</v>
      </c>
      <c r="Q1260" t="s">
        <v>29</v>
      </c>
      <c r="R1260">
        <v>956</v>
      </c>
      <c r="S1260">
        <v>7</v>
      </c>
      <c r="T1260">
        <v>4.7</v>
      </c>
      <c r="U1260">
        <v>4.0999999999999996</v>
      </c>
      <c r="V1260" t="s">
        <v>84</v>
      </c>
    </row>
    <row r="1261" spans="1:22" x14ac:dyDescent="0.35">
      <c r="A1261" s="1">
        <v>45364</v>
      </c>
      <c r="B1261" t="s">
        <v>22</v>
      </c>
      <c r="C1261" s="2">
        <v>0.51545138888888886</v>
      </c>
      <c r="D1261" t="s">
        <v>2757</v>
      </c>
      <c r="E1261" t="s">
        <v>41</v>
      </c>
      <c r="F1261" t="s">
        <v>2758</v>
      </c>
      <c r="G1261" t="s">
        <v>67</v>
      </c>
      <c r="H1261" t="s">
        <v>221</v>
      </c>
      <c r="I1261" t="s">
        <v>511</v>
      </c>
      <c r="J1261">
        <v>11.3</v>
      </c>
      <c r="K1261">
        <v>31.7</v>
      </c>
      <c r="L1261" t="s">
        <v>29</v>
      </c>
      <c r="M1261" t="s">
        <v>29</v>
      </c>
      <c r="N1261" t="s">
        <v>29</v>
      </c>
      <c r="O1261" t="s">
        <v>29</v>
      </c>
      <c r="P1261" t="s">
        <v>29</v>
      </c>
      <c r="Q1261" t="s">
        <v>29</v>
      </c>
      <c r="R1261">
        <v>214</v>
      </c>
      <c r="S1261">
        <v>18.39</v>
      </c>
      <c r="T1261">
        <v>4.2</v>
      </c>
      <c r="U1261">
        <v>4.2</v>
      </c>
      <c r="V1261" t="s">
        <v>38</v>
      </c>
    </row>
    <row r="1262" spans="1:22" x14ac:dyDescent="0.35">
      <c r="A1262" s="1">
        <v>45336</v>
      </c>
      <c r="B1262" t="s">
        <v>59</v>
      </c>
      <c r="C1262" s="2">
        <v>0.44896990740740739</v>
      </c>
      <c r="D1262" t="s">
        <v>2759</v>
      </c>
      <c r="E1262" t="s">
        <v>41</v>
      </c>
      <c r="F1262" t="s">
        <v>2760</v>
      </c>
      <c r="G1262" t="s">
        <v>43</v>
      </c>
      <c r="H1262" t="s">
        <v>242</v>
      </c>
      <c r="I1262" t="s">
        <v>125</v>
      </c>
      <c r="J1262">
        <v>11</v>
      </c>
      <c r="K1262">
        <v>37.700000000000003</v>
      </c>
      <c r="L1262" t="s">
        <v>29</v>
      </c>
      <c r="M1262" t="s">
        <v>29</v>
      </c>
      <c r="N1262" t="s">
        <v>29</v>
      </c>
      <c r="O1262" t="s">
        <v>29</v>
      </c>
      <c r="P1262" t="s">
        <v>29</v>
      </c>
      <c r="Q1262" t="s">
        <v>29</v>
      </c>
      <c r="R1262">
        <v>352</v>
      </c>
      <c r="S1262">
        <v>2.65</v>
      </c>
      <c r="T1262">
        <v>4.3</v>
      </c>
      <c r="U1262">
        <v>4.2</v>
      </c>
      <c r="V1262" t="s">
        <v>46</v>
      </c>
    </row>
    <row r="1263" spans="1:22" x14ac:dyDescent="0.35">
      <c r="A1263" s="1">
        <v>45490</v>
      </c>
      <c r="B1263" t="s">
        <v>108</v>
      </c>
      <c r="C1263" s="2">
        <v>0.42322916666666666</v>
      </c>
      <c r="D1263" t="s">
        <v>2761</v>
      </c>
      <c r="E1263" t="s">
        <v>41</v>
      </c>
      <c r="F1263" t="s">
        <v>2762</v>
      </c>
      <c r="G1263" t="s">
        <v>34</v>
      </c>
      <c r="H1263" t="s">
        <v>962</v>
      </c>
      <c r="I1263" t="s">
        <v>511</v>
      </c>
      <c r="J1263">
        <v>8.8000000000000007</v>
      </c>
      <c r="K1263">
        <v>39.200000000000003</v>
      </c>
      <c r="L1263" t="s">
        <v>29</v>
      </c>
      <c r="M1263" t="s">
        <v>29</v>
      </c>
      <c r="N1263" t="s">
        <v>29</v>
      </c>
      <c r="O1263" t="s">
        <v>29</v>
      </c>
      <c r="P1263" t="s">
        <v>29</v>
      </c>
      <c r="Q1263" t="s">
        <v>29</v>
      </c>
      <c r="R1263">
        <v>561</v>
      </c>
      <c r="S1263">
        <v>7.47</v>
      </c>
      <c r="T1263">
        <v>4.5999999999999996</v>
      </c>
      <c r="U1263">
        <v>4</v>
      </c>
      <c r="V1263" t="s">
        <v>38</v>
      </c>
    </row>
    <row r="1264" spans="1:22" x14ac:dyDescent="0.35">
      <c r="A1264" s="1">
        <v>45362</v>
      </c>
      <c r="B1264" t="s">
        <v>22</v>
      </c>
      <c r="C1264" s="2">
        <v>0.71146990740740745</v>
      </c>
      <c r="D1264" t="s">
        <v>2763</v>
      </c>
      <c r="E1264" t="s">
        <v>41</v>
      </c>
      <c r="F1264" t="s">
        <v>2764</v>
      </c>
      <c r="G1264" t="s">
        <v>67</v>
      </c>
      <c r="H1264" t="s">
        <v>296</v>
      </c>
      <c r="I1264" t="s">
        <v>267</v>
      </c>
      <c r="J1264">
        <v>5</v>
      </c>
      <c r="K1264">
        <v>37.1</v>
      </c>
      <c r="L1264" t="s">
        <v>29</v>
      </c>
      <c r="M1264" t="s">
        <v>29</v>
      </c>
      <c r="N1264" t="s">
        <v>29</v>
      </c>
      <c r="O1264" t="s">
        <v>29</v>
      </c>
      <c r="P1264" t="s">
        <v>29</v>
      </c>
      <c r="Q1264" t="s">
        <v>29</v>
      </c>
      <c r="R1264">
        <v>109</v>
      </c>
      <c r="S1264">
        <v>49.32</v>
      </c>
      <c r="T1264">
        <v>4.2</v>
      </c>
      <c r="U1264">
        <v>4.8</v>
      </c>
      <c r="V1264" t="s">
        <v>107</v>
      </c>
    </row>
    <row r="1265" spans="1:22" x14ac:dyDescent="0.35">
      <c r="A1265" s="1">
        <v>45395</v>
      </c>
      <c r="B1265" t="s">
        <v>154</v>
      </c>
      <c r="C1265" s="2">
        <v>0.85758101851851853</v>
      </c>
      <c r="D1265" t="s">
        <v>2765</v>
      </c>
      <c r="E1265" t="s">
        <v>41</v>
      </c>
      <c r="F1265" t="s">
        <v>2766</v>
      </c>
      <c r="G1265" t="s">
        <v>67</v>
      </c>
      <c r="H1265" t="s">
        <v>28</v>
      </c>
      <c r="I1265" t="s">
        <v>430</v>
      </c>
      <c r="J1265">
        <v>2.7</v>
      </c>
      <c r="K1265">
        <v>42.3</v>
      </c>
      <c r="L1265" t="s">
        <v>29</v>
      </c>
      <c r="M1265" t="s">
        <v>29</v>
      </c>
      <c r="N1265" t="s">
        <v>29</v>
      </c>
      <c r="O1265" t="s">
        <v>29</v>
      </c>
      <c r="P1265" t="s">
        <v>29</v>
      </c>
      <c r="Q1265" t="s">
        <v>29</v>
      </c>
      <c r="R1265">
        <v>1268</v>
      </c>
      <c r="S1265">
        <v>30.38</v>
      </c>
      <c r="T1265">
        <v>3.9</v>
      </c>
      <c r="U1265">
        <v>3.8</v>
      </c>
      <c r="V1265" t="s">
        <v>107</v>
      </c>
    </row>
    <row r="1266" spans="1:22" x14ac:dyDescent="0.35">
      <c r="A1266" s="1">
        <v>45328</v>
      </c>
      <c r="B1266" t="s">
        <v>59</v>
      </c>
      <c r="C1266" s="2">
        <v>0.95879629629629626</v>
      </c>
      <c r="D1266" t="s">
        <v>2767</v>
      </c>
      <c r="E1266" t="s">
        <v>93</v>
      </c>
      <c r="F1266" t="s">
        <v>2768</v>
      </c>
      <c r="G1266" t="s">
        <v>56</v>
      </c>
      <c r="H1266" t="s">
        <v>245</v>
      </c>
      <c r="I1266" t="s">
        <v>153</v>
      </c>
      <c r="J1266">
        <v>4.3</v>
      </c>
      <c r="K1266" t="s">
        <v>29</v>
      </c>
      <c r="L1266" t="s">
        <v>29</v>
      </c>
      <c r="M1266" t="s">
        <v>29</v>
      </c>
      <c r="N1266">
        <v>1</v>
      </c>
      <c r="O1266" t="s">
        <v>97</v>
      </c>
      <c r="P1266" t="s">
        <v>29</v>
      </c>
      <c r="Q1266" t="s">
        <v>29</v>
      </c>
      <c r="R1266" t="s">
        <v>29</v>
      </c>
      <c r="S1266" t="s">
        <v>29</v>
      </c>
      <c r="T1266" t="s">
        <v>29</v>
      </c>
      <c r="U1266" t="s">
        <v>29</v>
      </c>
      <c r="V1266" t="s">
        <v>29</v>
      </c>
    </row>
    <row r="1267" spans="1:22" x14ac:dyDescent="0.35">
      <c r="A1267" s="1">
        <v>45464</v>
      </c>
      <c r="B1267" t="s">
        <v>64</v>
      </c>
      <c r="C1267" s="2">
        <v>0.8490509259259259</v>
      </c>
      <c r="D1267" t="s">
        <v>2769</v>
      </c>
      <c r="E1267" t="s">
        <v>41</v>
      </c>
      <c r="F1267" t="s">
        <v>2770</v>
      </c>
      <c r="G1267" t="s">
        <v>43</v>
      </c>
      <c r="H1267" t="s">
        <v>493</v>
      </c>
      <c r="I1267" t="s">
        <v>552</v>
      </c>
      <c r="J1267">
        <v>13.7</v>
      </c>
      <c r="K1267">
        <v>18.399999999999999</v>
      </c>
      <c r="L1267" t="s">
        <v>29</v>
      </c>
      <c r="M1267" t="s">
        <v>29</v>
      </c>
      <c r="N1267" t="s">
        <v>29</v>
      </c>
      <c r="O1267" t="s">
        <v>29</v>
      </c>
      <c r="P1267" t="s">
        <v>29</v>
      </c>
      <c r="Q1267" t="s">
        <v>29</v>
      </c>
      <c r="R1267">
        <v>83</v>
      </c>
      <c r="S1267">
        <v>39.83</v>
      </c>
      <c r="T1267">
        <v>4.0999999999999996</v>
      </c>
      <c r="U1267">
        <v>4.3</v>
      </c>
      <c r="V1267" t="s">
        <v>84</v>
      </c>
    </row>
    <row r="1268" spans="1:22" x14ac:dyDescent="0.35">
      <c r="A1268" s="1">
        <v>45618</v>
      </c>
      <c r="B1268" t="s">
        <v>30</v>
      </c>
      <c r="C1268" s="2">
        <v>0.27414351851851854</v>
      </c>
      <c r="D1268" t="s">
        <v>2771</v>
      </c>
      <c r="E1268" t="s">
        <v>24</v>
      </c>
      <c r="F1268" t="s">
        <v>2772</v>
      </c>
      <c r="G1268" t="s">
        <v>43</v>
      </c>
      <c r="H1268" t="s">
        <v>198</v>
      </c>
      <c r="I1268" t="s">
        <v>235</v>
      </c>
      <c r="J1268" t="s">
        <v>29</v>
      </c>
      <c r="K1268" t="s">
        <v>29</v>
      </c>
      <c r="L1268" t="s">
        <v>29</v>
      </c>
      <c r="M1268" t="s">
        <v>29</v>
      </c>
      <c r="N1268" t="s">
        <v>29</v>
      </c>
      <c r="O1268" t="s">
        <v>29</v>
      </c>
      <c r="P1268" t="s">
        <v>29</v>
      </c>
      <c r="Q1268" t="s">
        <v>29</v>
      </c>
      <c r="R1268" t="s">
        <v>29</v>
      </c>
      <c r="S1268" t="s">
        <v>29</v>
      </c>
      <c r="T1268" t="s">
        <v>29</v>
      </c>
      <c r="U1268" t="s">
        <v>29</v>
      </c>
      <c r="V1268" t="s">
        <v>29</v>
      </c>
    </row>
    <row r="1269" spans="1:22" x14ac:dyDescent="0.35">
      <c r="A1269" s="1">
        <v>45300</v>
      </c>
      <c r="B1269" t="s">
        <v>150</v>
      </c>
      <c r="C1269" s="2">
        <v>0.99083333333333334</v>
      </c>
      <c r="D1269" t="s">
        <v>2773</v>
      </c>
      <c r="E1269" t="s">
        <v>24</v>
      </c>
      <c r="F1269" t="s">
        <v>2774</v>
      </c>
      <c r="G1269" t="s">
        <v>67</v>
      </c>
      <c r="H1269" t="s">
        <v>653</v>
      </c>
      <c r="I1269" t="s">
        <v>277</v>
      </c>
      <c r="J1269" t="s">
        <v>29</v>
      </c>
      <c r="K1269" t="s">
        <v>29</v>
      </c>
      <c r="L1269" t="s">
        <v>29</v>
      </c>
      <c r="M1269" t="s">
        <v>29</v>
      </c>
      <c r="N1269" t="s">
        <v>29</v>
      </c>
      <c r="O1269" t="s">
        <v>29</v>
      </c>
      <c r="P1269" t="s">
        <v>29</v>
      </c>
      <c r="Q1269" t="s">
        <v>29</v>
      </c>
      <c r="R1269" t="s">
        <v>29</v>
      </c>
      <c r="S1269" t="s">
        <v>29</v>
      </c>
      <c r="T1269" t="s">
        <v>29</v>
      </c>
      <c r="U1269" t="s">
        <v>29</v>
      </c>
      <c r="V1269" t="s">
        <v>29</v>
      </c>
    </row>
    <row r="1270" spans="1:22" x14ac:dyDescent="0.35">
      <c r="A1270" s="1">
        <v>45604</v>
      </c>
      <c r="B1270" t="s">
        <v>30</v>
      </c>
      <c r="C1270" s="2">
        <v>0.77322916666666663</v>
      </c>
      <c r="D1270" t="s">
        <v>2775</v>
      </c>
      <c r="E1270" t="s">
        <v>41</v>
      </c>
      <c r="F1270" t="s">
        <v>2776</v>
      </c>
      <c r="G1270" t="s">
        <v>56</v>
      </c>
      <c r="H1270" t="s">
        <v>27</v>
      </c>
      <c r="I1270" t="s">
        <v>106</v>
      </c>
      <c r="J1270">
        <v>12.6</v>
      </c>
      <c r="K1270">
        <v>17.7</v>
      </c>
      <c r="L1270" t="s">
        <v>29</v>
      </c>
      <c r="M1270" t="s">
        <v>29</v>
      </c>
      <c r="N1270" t="s">
        <v>29</v>
      </c>
      <c r="O1270" t="s">
        <v>29</v>
      </c>
      <c r="P1270" t="s">
        <v>29</v>
      </c>
      <c r="Q1270" t="s">
        <v>29</v>
      </c>
      <c r="R1270">
        <v>300</v>
      </c>
      <c r="S1270">
        <v>36.450000000000003</v>
      </c>
      <c r="T1270">
        <v>4.9000000000000004</v>
      </c>
      <c r="U1270">
        <v>4.5999999999999996</v>
      </c>
      <c r="V1270" t="s">
        <v>46</v>
      </c>
    </row>
    <row r="1271" spans="1:22" x14ac:dyDescent="0.35">
      <c r="A1271" s="1">
        <v>45447</v>
      </c>
      <c r="B1271" t="s">
        <v>64</v>
      </c>
      <c r="C1271" s="2">
        <v>0.99184027777777772</v>
      </c>
      <c r="D1271" t="s">
        <v>2777</v>
      </c>
      <c r="E1271" t="s">
        <v>93</v>
      </c>
      <c r="F1271" t="s">
        <v>2778</v>
      </c>
      <c r="G1271" t="s">
        <v>43</v>
      </c>
      <c r="H1271" t="s">
        <v>267</v>
      </c>
      <c r="I1271" t="s">
        <v>207</v>
      </c>
      <c r="J1271">
        <v>8.6999999999999993</v>
      </c>
      <c r="K1271" t="s">
        <v>29</v>
      </c>
      <c r="L1271" t="s">
        <v>29</v>
      </c>
      <c r="M1271" t="s">
        <v>29</v>
      </c>
      <c r="N1271">
        <v>1</v>
      </c>
      <c r="O1271" t="s">
        <v>337</v>
      </c>
      <c r="P1271" t="s">
        <v>29</v>
      </c>
      <c r="Q1271" t="s">
        <v>29</v>
      </c>
      <c r="R1271" t="s">
        <v>29</v>
      </c>
      <c r="S1271" t="s">
        <v>29</v>
      </c>
      <c r="T1271" t="s">
        <v>29</v>
      </c>
      <c r="U1271" t="s">
        <v>29</v>
      </c>
      <c r="V1271" t="s">
        <v>29</v>
      </c>
    </row>
    <row r="1272" spans="1:22" x14ac:dyDescent="0.35">
      <c r="A1272" s="1">
        <v>45555</v>
      </c>
      <c r="B1272" t="s">
        <v>53</v>
      </c>
      <c r="C1272" s="2">
        <v>0.16818287037037036</v>
      </c>
      <c r="D1272" t="s">
        <v>2779</v>
      </c>
      <c r="E1272" t="s">
        <v>93</v>
      </c>
      <c r="F1272" t="s">
        <v>2780</v>
      </c>
      <c r="G1272" t="s">
        <v>67</v>
      </c>
      <c r="H1272" t="s">
        <v>255</v>
      </c>
      <c r="I1272" t="s">
        <v>412</v>
      </c>
      <c r="J1272">
        <v>3.3</v>
      </c>
      <c r="K1272" t="s">
        <v>29</v>
      </c>
      <c r="L1272" t="s">
        <v>29</v>
      </c>
      <c r="M1272" t="s">
        <v>29</v>
      </c>
      <c r="N1272">
        <v>1</v>
      </c>
      <c r="O1272" t="s">
        <v>115</v>
      </c>
      <c r="P1272" t="s">
        <v>29</v>
      </c>
      <c r="Q1272" t="s">
        <v>29</v>
      </c>
      <c r="R1272" t="s">
        <v>29</v>
      </c>
      <c r="S1272" t="s">
        <v>29</v>
      </c>
      <c r="T1272" t="s">
        <v>29</v>
      </c>
      <c r="U1272" t="s">
        <v>29</v>
      </c>
      <c r="V1272" t="s">
        <v>29</v>
      </c>
    </row>
    <row r="1273" spans="1:22" x14ac:dyDescent="0.35">
      <c r="A1273" s="1">
        <v>45458</v>
      </c>
      <c r="B1273" t="s">
        <v>64</v>
      </c>
      <c r="C1273" s="2">
        <v>0.35906250000000001</v>
      </c>
      <c r="D1273" t="s">
        <v>2781</v>
      </c>
      <c r="E1273" t="s">
        <v>117</v>
      </c>
      <c r="F1273" t="s">
        <v>2782</v>
      </c>
      <c r="G1273" t="s">
        <v>43</v>
      </c>
      <c r="H1273" t="s">
        <v>498</v>
      </c>
      <c r="I1273" t="s">
        <v>140</v>
      </c>
      <c r="J1273">
        <v>8.4</v>
      </c>
      <c r="K1273" t="s">
        <v>29</v>
      </c>
      <c r="L1273">
        <v>1</v>
      </c>
      <c r="M1273" t="s">
        <v>420</v>
      </c>
      <c r="N1273" t="s">
        <v>29</v>
      </c>
      <c r="O1273" t="s">
        <v>29</v>
      </c>
      <c r="P1273" t="s">
        <v>29</v>
      </c>
      <c r="Q1273" t="s">
        <v>29</v>
      </c>
      <c r="R1273" t="s">
        <v>29</v>
      </c>
      <c r="S1273" t="s">
        <v>29</v>
      </c>
      <c r="T1273" t="s">
        <v>29</v>
      </c>
      <c r="U1273" t="s">
        <v>29</v>
      </c>
      <c r="V1273" t="s">
        <v>29</v>
      </c>
    </row>
    <row r="1274" spans="1:22" x14ac:dyDescent="0.35">
      <c r="A1274" s="1">
        <v>45433</v>
      </c>
      <c r="B1274" t="s">
        <v>122</v>
      </c>
      <c r="C1274" s="2">
        <v>0.52762731481481484</v>
      </c>
      <c r="D1274" t="s">
        <v>2783</v>
      </c>
      <c r="E1274" t="s">
        <v>93</v>
      </c>
      <c r="F1274" t="s">
        <v>2784</v>
      </c>
      <c r="G1274" t="s">
        <v>56</v>
      </c>
      <c r="H1274" t="s">
        <v>383</v>
      </c>
      <c r="I1274" t="s">
        <v>103</v>
      </c>
      <c r="J1274">
        <v>4.9000000000000004</v>
      </c>
      <c r="K1274" t="s">
        <v>29</v>
      </c>
      <c r="L1274" t="s">
        <v>29</v>
      </c>
      <c r="M1274" t="s">
        <v>29</v>
      </c>
      <c r="N1274">
        <v>1</v>
      </c>
      <c r="O1274" t="s">
        <v>115</v>
      </c>
      <c r="P1274" t="s">
        <v>29</v>
      </c>
      <c r="Q1274" t="s">
        <v>29</v>
      </c>
      <c r="R1274" t="s">
        <v>29</v>
      </c>
      <c r="S1274" t="s">
        <v>29</v>
      </c>
      <c r="T1274" t="s">
        <v>29</v>
      </c>
      <c r="U1274" t="s">
        <v>29</v>
      </c>
      <c r="V1274" t="s">
        <v>29</v>
      </c>
    </row>
    <row r="1275" spans="1:22" x14ac:dyDescent="0.35">
      <c r="A1275" s="1">
        <v>45523</v>
      </c>
      <c r="B1275" t="s">
        <v>39</v>
      </c>
      <c r="C1275" s="2">
        <v>0.67254629629629625</v>
      </c>
      <c r="D1275" t="s">
        <v>2785</v>
      </c>
      <c r="E1275" t="s">
        <v>41</v>
      </c>
      <c r="F1275" t="s">
        <v>2786</v>
      </c>
      <c r="G1275" t="s">
        <v>67</v>
      </c>
      <c r="H1275" t="s">
        <v>36</v>
      </c>
      <c r="I1275" t="s">
        <v>193</v>
      </c>
      <c r="J1275">
        <v>7.7</v>
      </c>
      <c r="K1275">
        <v>43.8</v>
      </c>
      <c r="L1275" t="s">
        <v>29</v>
      </c>
      <c r="M1275" t="s">
        <v>29</v>
      </c>
      <c r="N1275" t="s">
        <v>29</v>
      </c>
      <c r="O1275" t="s">
        <v>29</v>
      </c>
      <c r="P1275" t="s">
        <v>29</v>
      </c>
      <c r="Q1275" t="s">
        <v>29</v>
      </c>
      <c r="R1275">
        <v>275</v>
      </c>
      <c r="S1275">
        <v>23.54</v>
      </c>
      <c r="T1275">
        <v>4.5999999999999996</v>
      </c>
      <c r="U1275">
        <v>3.7</v>
      </c>
      <c r="V1275" t="s">
        <v>84</v>
      </c>
    </row>
    <row r="1276" spans="1:22" x14ac:dyDescent="0.35">
      <c r="A1276" s="1">
        <v>45455</v>
      </c>
      <c r="B1276" t="s">
        <v>64</v>
      </c>
      <c r="C1276" s="2">
        <v>0.44657407407407407</v>
      </c>
      <c r="D1276" t="s">
        <v>2787</v>
      </c>
      <c r="E1276" t="s">
        <v>117</v>
      </c>
      <c r="F1276" t="s">
        <v>2788</v>
      </c>
      <c r="G1276" t="s">
        <v>43</v>
      </c>
      <c r="H1276" t="s">
        <v>63</v>
      </c>
      <c r="I1276" t="s">
        <v>235</v>
      </c>
      <c r="J1276">
        <v>16.8</v>
      </c>
      <c r="K1276" t="s">
        <v>29</v>
      </c>
      <c r="L1276">
        <v>1</v>
      </c>
      <c r="M1276" t="s">
        <v>224</v>
      </c>
      <c r="N1276" t="s">
        <v>29</v>
      </c>
      <c r="O1276" t="s">
        <v>29</v>
      </c>
      <c r="P1276" t="s">
        <v>29</v>
      </c>
      <c r="Q1276" t="s">
        <v>29</v>
      </c>
      <c r="R1276" t="s">
        <v>29</v>
      </c>
      <c r="S1276" t="s">
        <v>29</v>
      </c>
      <c r="T1276" t="s">
        <v>29</v>
      </c>
      <c r="U1276" t="s">
        <v>29</v>
      </c>
      <c r="V1276" t="s">
        <v>29</v>
      </c>
    </row>
    <row r="1277" spans="1:22" x14ac:dyDescent="0.35">
      <c r="A1277" s="1">
        <v>45641</v>
      </c>
      <c r="B1277" t="s">
        <v>78</v>
      </c>
      <c r="C1277" s="2">
        <v>0.81657407407407412</v>
      </c>
      <c r="D1277" t="s">
        <v>2789</v>
      </c>
      <c r="E1277" t="s">
        <v>117</v>
      </c>
      <c r="F1277" t="s">
        <v>2790</v>
      </c>
      <c r="G1277" t="s">
        <v>34</v>
      </c>
      <c r="H1277" t="s">
        <v>245</v>
      </c>
      <c r="I1277" t="s">
        <v>585</v>
      </c>
      <c r="J1277">
        <v>8.9</v>
      </c>
      <c r="K1277" t="s">
        <v>29</v>
      </c>
      <c r="L1277">
        <v>1</v>
      </c>
      <c r="M1277" t="s">
        <v>420</v>
      </c>
      <c r="N1277" t="s">
        <v>29</v>
      </c>
      <c r="O1277" t="s">
        <v>29</v>
      </c>
      <c r="P1277" t="s">
        <v>29</v>
      </c>
      <c r="Q1277" t="s">
        <v>29</v>
      </c>
      <c r="R1277" t="s">
        <v>29</v>
      </c>
      <c r="S1277" t="s">
        <v>29</v>
      </c>
      <c r="T1277" t="s">
        <v>29</v>
      </c>
      <c r="U1277" t="s">
        <v>29</v>
      </c>
      <c r="V1277" t="s">
        <v>29</v>
      </c>
    </row>
    <row r="1278" spans="1:22" x14ac:dyDescent="0.35">
      <c r="A1278" s="1">
        <v>45507</v>
      </c>
      <c r="B1278" t="s">
        <v>39</v>
      </c>
      <c r="C1278" s="2">
        <v>0.81951388888888888</v>
      </c>
      <c r="D1278" t="s">
        <v>2791</v>
      </c>
      <c r="E1278" t="s">
        <v>41</v>
      </c>
      <c r="F1278" t="s">
        <v>2792</v>
      </c>
      <c r="G1278" t="s">
        <v>43</v>
      </c>
      <c r="H1278" t="s">
        <v>129</v>
      </c>
      <c r="I1278" t="s">
        <v>315</v>
      </c>
      <c r="J1278">
        <v>6.1</v>
      </c>
      <c r="K1278">
        <v>44.7</v>
      </c>
      <c r="L1278" t="s">
        <v>29</v>
      </c>
      <c r="M1278" t="s">
        <v>29</v>
      </c>
      <c r="N1278" t="s">
        <v>29</v>
      </c>
      <c r="O1278" t="s">
        <v>29</v>
      </c>
      <c r="P1278" t="s">
        <v>29</v>
      </c>
      <c r="Q1278" t="s">
        <v>29</v>
      </c>
      <c r="R1278">
        <v>557</v>
      </c>
      <c r="S1278">
        <v>26.49</v>
      </c>
      <c r="T1278">
        <v>4.5</v>
      </c>
      <c r="U1278">
        <v>5</v>
      </c>
      <c r="V1278" t="s">
        <v>46</v>
      </c>
    </row>
    <row r="1279" spans="1:22" x14ac:dyDescent="0.35">
      <c r="A1279" s="1">
        <v>45369</v>
      </c>
      <c r="B1279" t="s">
        <v>22</v>
      </c>
      <c r="C1279" s="2">
        <v>0.74417824074074079</v>
      </c>
      <c r="D1279" t="s">
        <v>2793</v>
      </c>
      <c r="E1279" t="s">
        <v>24</v>
      </c>
      <c r="F1279" t="s">
        <v>2794</v>
      </c>
      <c r="G1279" t="s">
        <v>34</v>
      </c>
      <c r="H1279" t="s">
        <v>714</v>
      </c>
      <c r="I1279" t="s">
        <v>391</v>
      </c>
      <c r="J1279" t="s">
        <v>29</v>
      </c>
      <c r="K1279" t="s">
        <v>29</v>
      </c>
      <c r="L1279" t="s">
        <v>29</v>
      </c>
      <c r="M1279" t="s">
        <v>29</v>
      </c>
      <c r="N1279" t="s">
        <v>29</v>
      </c>
      <c r="O1279" t="s">
        <v>29</v>
      </c>
      <c r="P1279" t="s">
        <v>29</v>
      </c>
      <c r="Q1279" t="s">
        <v>29</v>
      </c>
      <c r="R1279" t="s">
        <v>29</v>
      </c>
      <c r="S1279" t="s">
        <v>29</v>
      </c>
      <c r="T1279" t="s">
        <v>29</v>
      </c>
      <c r="U1279" t="s">
        <v>29</v>
      </c>
      <c r="V1279" t="s">
        <v>29</v>
      </c>
    </row>
    <row r="1280" spans="1:22" x14ac:dyDescent="0.35">
      <c r="A1280" s="1">
        <v>45506</v>
      </c>
      <c r="B1280" t="s">
        <v>39</v>
      </c>
      <c r="C1280" s="2">
        <v>0.72381944444444446</v>
      </c>
      <c r="D1280" t="s">
        <v>2795</v>
      </c>
      <c r="E1280" t="s">
        <v>41</v>
      </c>
      <c r="F1280" t="s">
        <v>2796</v>
      </c>
      <c r="G1280" t="s">
        <v>56</v>
      </c>
      <c r="H1280" t="s">
        <v>81</v>
      </c>
      <c r="I1280" t="s">
        <v>157</v>
      </c>
      <c r="J1280">
        <v>7.4</v>
      </c>
      <c r="K1280">
        <v>35.200000000000003</v>
      </c>
      <c r="L1280" t="s">
        <v>29</v>
      </c>
      <c r="M1280" t="s">
        <v>29</v>
      </c>
      <c r="N1280" t="s">
        <v>29</v>
      </c>
      <c r="O1280" t="s">
        <v>29</v>
      </c>
      <c r="P1280" t="s">
        <v>29</v>
      </c>
      <c r="Q1280" t="s">
        <v>29</v>
      </c>
      <c r="R1280">
        <v>919</v>
      </c>
      <c r="S1280">
        <v>2.14</v>
      </c>
      <c r="T1280">
        <v>3.8</v>
      </c>
      <c r="U1280">
        <v>4.5999999999999996</v>
      </c>
      <c r="V1280" t="s">
        <v>84</v>
      </c>
    </row>
    <row r="1281" spans="1:22" x14ac:dyDescent="0.35">
      <c r="A1281" s="1">
        <v>45591</v>
      </c>
      <c r="B1281" t="s">
        <v>47</v>
      </c>
      <c r="C1281" s="2">
        <v>0.69792824074074078</v>
      </c>
      <c r="D1281" t="s">
        <v>2797</v>
      </c>
      <c r="E1281" t="s">
        <v>93</v>
      </c>
      <c r="F1281" t="s">
        <v>2798</v>
      </c>
      <c r="G1281" t="s">
        <v>146</v>
      </c>
      <c r="H1281" t="s">
        <v>822</v>
      </c>
      <c r="I1281" t="s">
        <v>52</v>
      </c>
      <c r="J1281">
        <v>8.9</v>
      </c>
      <c r="K1281" t="s">
        <v>29</v>
      </c>
      <c r="L1281" t="s">
        <v>29</v>
      </c>
      <c r="M1281" t="s">
        <v>29</v>
      </c>
      <c r="N1281">
        <v>1</v>
      </c>
      <c r="O1281" t="s">
        <v>115</v>
      </c>
      <c r="P1281" t="s">
        <v>29</v>
      </c>
      <c r="Q1281" t="s">
        <v>29</v>
      </c>
      <c r="R1281" t="s">
        <v>29</v>
      </c>
      <c r="S1281" t="s">
        <v>29</v>
      </c>
      <c r="T1281" t="s">
        <v>29</v>
      </c>
      <c r="U1281" t="s">
        <v>29</v>
      </c>
      <c r="V1281" t="s">
        <v>29</v>
      </c>
    </row>
    <row r="1282" spans="1:22" x14ac:dyDescent="0.35">
      <c r="A1282" s="1">
        <v>45423</v>
      </c>
      <c r="B1282" t="s">
        <v>122</v>
      </c>
      <c r="C1282" s="2">
        <v>0.80074074074074075</v>
      </c>
      <c r="D1282" t="s">
        <v>2799</v>
      </c>
      <c r="E1282" t="s">
        <v>93</v>
      </c>
      <c r="F1282" t="s">
        <v>2800</v>
      </c>
      <c r="G1282" t="s">
        <v>67</v>
      </c>
      <c r="H1282" t="s">
        <v>739</v>
      </c>
      <c r="I1282" t="s">
        <v>69</v>
      </c>
      <c r="J1282">
        <v>3.1</v>
      </c>
      <c r="K1282" t="s">
        <v>29</v>
      </c>
      <c r="L1282" t="s">
        <v>29</v>
      </c>
      <c r="M1282" t="s">
        <v>29</v>
      </c>
      <c r="N1282">
        <v>1</v>
      </c>
      <c r="O1282" t="s">
        <v>169</v>
      </c>
      <c r="P1282" t="s">
        <v>29</v>
      </c>
      <c r="Q1282" t="s">
        <v>29</v>
      </c>
      <c r="R1282" t="s">
        <v>29</v>
      </c>
      <c r="S1282" t="s">
        <v>29</v>
      </c>
      <c r="T1282" t="s">
        <v>29</v>
      </c>
      <c r="U1282" t="s">
        <v>29</v>
      </c>
      <c r="V1282" t="s">
        <v>29</v>
      </c>
    </row>
    <row r="1283" spans="1:22" x14ac:dyDescent="0.35">
      <c r="A1283" s="1">
        <v>45496</v>
      </c>
      <c r="B1283" t="s">
        <v>108</v>
      </c>
      <c r="C1283" s="2">
        <v>0.76504629629629628</v>
      </c>
      <c r="D1283" t="s">
        <v>2801</v>
      </c>
      <c r="E1283" t="s">
        <v>41</v>
      </c>
      <c r="F1283" t="s">
        <v>2802</v>
      </c>
      <c r="G1283" t="s">
        <v>67</v>
      </c>
      <c r="H1283" t="s">
        <v>245</v>
      </c>
      <c r="I1283" t="s">
        <v>585</v>
      </c>
      <c r="J1283">
        <v>14.9</v>
      </c>
      <c r="K1283">
        <v>30.5</v>
      </c>
      <c r="L1283" t="s">
        <v>29</v>
      </c>
      <c r="M1283" t="s">
        <v>29</v>
      </c>
      <c r="N1283" t="s">
        <v>29</v>
      </c>
      <c r="O1283" t="s">
        <v>29</v>
      </c>
      <c r="P1283" t="s">
        <v>29</v>
      </c>
      <c r="Q1283" t="s">
        <v>29</v>
      </c>
      <c r="R1283">
        <v>135</v>
      </c>
      <c r="S1283">
        <v>43.35</v>
      </c>
      <c r="T1283">
        <v>4.2</v>
      </c>
      <c r="U1283">
        <v>4.5999999999999996</v>
      </c>
      <c r="V1283" t="s">
        <v>38</v>
      </c>
    </row>
    <row r="1284" spans="1:22" x14ac:dyDescent="0.35">
      <c r="A1284" s="1">
        <v>45440</v>
      </c>
      <c r="B1284" t="s">
        <v>122</v>
      </c>
      <c r="C1284" s="2">
        <v>0.72059027777777773</v>
      </c>
      <c r="D1284" t="s">
        <v>2803</v>
      </c>
      <c r="E1284" t="s">
        <v>32</v>
      </c>
      <c r="F1284" t="s">
        <v>2804</v>
      </c>
      <c r="G1284" t="s">
        <v>26</v>
      </c>
      <c r="H1284" t="s">
        <v>296</v>
      </c>
      <c r="I1284" t="s">
        <v>158</v>
      </c>
      <c r="J1284">
        <v>5.0999999999999996</v>
      </c>
      <c r="K1284">
        <v>25.1</v>
      </c>
      <c r="L1284" t="s">
        <v>29</v>
      </c>
      <c r="M1284" t="s">
        <v>29</v>
      </c>
      <c r="N1284" t="s">
        <v>29</v>
      </c>
      <c r="O1284" t="s">
        <v>29</v>
      </c>
      <c r="P1284">
        <v>1</v>
      </c>
      <c r="Q1284" t="s">
        <v>83</v>
      </c>
      <c r="R1284">
        <v>191</v>
      </c>
      <c r="S1284">
        <v>13.69</v>
      </c>
      <c r="T1284" t="s">
        <v>29</v>
      </c>
      <c r="U1284" t="s">
        <v>29</v>
      </c>
      <c r="V1284" t="s">
        <v>107</v>
      </c>
    </row>
    <row r="1285" spans="1:22" x14ac:dyDescent="0.35">
      <c r="A1285" s="1">
        <v>45644</v>
      </c>
      <c r="B1285" t="s">
        <v>78</v>
      </c>
      <c r="C1285" s="2">
        <v>0.49439814814814814</v>
      </c>
      <c r="D1285" t="s">
        <v>2805</v>
      </c>
      <c r="E1285" t="s">
        <v>93</v>
      </c>
      <c r="F1285" t="s">
        <v>2806</v>
      </c>
      <c r="G1285" t="s">
        <v>34</v>
      </c>
      <c r="H1285" t="s">
        <v>489</v>
      </c>
      <c r="I1285" t="s">
        <v>232</v>
      </c>
      <c r="J1285">
        <v>3.8</v>
      </c>
      <c r="K1285" t="s">
        <v>29</v>
      </c>
      <c r="L1285" t="s">
        <v>29</v>
      </c>
      <c r="M1285" t="s">
        <v>29</v>
      </c>
      <c r="N1285">
        <v>1</v>
      </c>
      <c r="O1285" t="s">
        <v>97</v>
      </c>
      <c r="P1285" t="s">
        <v>29</v>
      </c>
      <c r="Q1285" t="s">
        <v>29</v>
      </c>
      <c r="R1285" t="s">
        <v>29</v>
      </c>
      <c r="S1285" t="s">
        <v>29</v>
      </c>
      <c r="T1285" t="s">
        <v>29</v>
      </c>
      <c r="U1285" t="s">
        <v>29</v>
      </c>
      <c r="V1285" t="s">
        <v>29</v>
      </c>
    </row>
    <row r="1286" spans="1:22" x14ac:dyDescent="0.35">
      <c r="A1286" s="1">
        <v>45654</v>
      </c>
      <c r="B1286" t="s">
        <v>78</v>
      </c>
      <c r="C1286" s="2">
        <v>0.39831018518518518</v>
      </c>
      <c r="D1286" t="s">
        <v>2807</v>
      </c>
      <c r="E1286" t="s">
        <v>41</v>
      </c>
      <c r="F1286" t="s">
        <v>2808</v>
      </c>
      <c r="G1286" t="s">
        <v>146</v>
      </c>
      <c r="H1286" t="s">
        <v>157</v>
      </c>
      <c r="I1286" t="s">
        <v>585</v>
      </c>
      <c r="J1286">
        <v>10.8</v>
      </c>
      <c r="K1286">
        <v>24.9</v>
      </c>
      <c r="L1286" t="s">
        <v>29</v>
      </c>
      <c r="M1286" t="s">
        <v>29</v>
      </c>
      <c r="N1286" t="s">
        <v>29</v>
      </c>
      <c r="O1286" t="s">
        <v>29</v>
      </c>
      <c r="P1286" t="s">
        <v>29</v>
      </c>
      <c r="Q1286" t="s">
        <v>29</v>
      </c>
      <c r="R1286">
        <v>1052</v>
      </c>
      <c r="S1286">
        <v>37.619999999999997</v>
      </c>
      <c r="T1286">
        <v>4.2</v>
      </c>
      <c r="U1286">
        <v>4.2</v>
      </c>
      <c r="V1286" t="s">
        <v>107</v>
      </c>
    </row>
    <row r="1287" spans="1:22" x14ac:dyDescent="0.35">
      <c r="A1287" s="1">
        <v>45482</v>
      </c>
      <c r="B1287" t="s">
        <v>108</v>
      </c>
      <c r="C1287" s="2">
        <v>0.71796296296296291</v>
      </c>
      <c r="D1287" t="s">
        <v>2809</v>
      </c>
      <c r="E1287" t="s">
        <v>41</v>
      </c>
      <c r="F1287" t="s">
        <v>2810</v>
      </c>
      <c r="G1287" t="s">
        <v>56</v>
      </c>
      <c r="H1287" t="s">
        <v>58</v>
      </c>
      <c r="I1287" t="s">
        <v>106</v>
      </c>
      <c r="J1287">
        <v>9.1999999999999993</v>
      </c>
      <c r="K1287">
        <v>37.9</v>
      </c>
      <c r="L1287" t="s">
        <v>29</v>
      </c>
      <c r="M1287" t="s">
        <v>29</v>
      </c>
      <c r="N1287" t="s">
        <v>29</v>
      </c>
      <c r="O1287" t="s">
        <v>29</v>
      </c>
      <c r="P1287" t="s">
        <v>29</v>
      </c>
      <c r="Q1287" t="s">
        <v>29</v>
      </c>
      <c r="R1287">
        <v>484</v>
      </c>
      <c r="S1287">
        <v>31.48</v>
      </c>
      <c r="T1287">
        <v>3.7</v>
      </c>
      <c r="U1287">
        <v>4.3</v>
      </c>
      <c r="V1287" t="s">
        <v>149</v>
      </c>
    </row>
    <row r="1288" spans="1:22" x14ac:dyDescent="0.35">
      <c r="A1288" s="1">
        <v>45374</v>
      </c>
      <c r="B1288" t="s">
        <v>22</v>
      </c>
      <c r="C1288" s="2">
        <v>0.687962962962963</v>
      </c>
      <c r="D1288" t="s">
        <v>2811</v>
      </c>
      <c r="E1288" t="s">
        <v>41</v>
      </c>
      <c r="F1288" t="s">
        <v>2812</v>
      </c>
      <c r="G1288" t="s">
        <v>43</v>
      </c>
      <c r="H1288" t="s">
        <v>186</v>
      </c>
      <c r="I1288" t="s">
        <v>407</v>
      </c>
      <c r="J1288">
        <v>6.1</v>
      </c>
      <c r="K1288">
        <v>30</v>
      </c>
      <c r="L1288" t="s">
        <v>29</v>
      </c>
      <c r="M1288" t="s">
        <v>29</v>
      </c>
      <c r="N1288" t="s">
        <v>29</v>
      </c>
      <c r="O1288" t="s">
        <v>29</v>
      </c>
      <c r="P1288" t="s">
        <v>29</v>
      </c>
      <c r="Q1288" t="s">
        <v>29</v>
      </c>
      <c r="R1288">
        <v>849</v>
      </c>
      <c r="S1288">
        <v>34.049999999999997</v>
      </c>
      <c r="T1288">
        <v>4.3</v>
      </c>
      <c r="U1288">
        <v>5</v>
      </c>
      <c r="V1288" t="s">
        <v>84</v>
      </c>
    </row>
    <row r="1289" spans="1:22" x14ac:dyDescent="0.35">
      <c r="A1289" s="1">
        <v>45373</v>
      </c>
      <c r="B1289" t="s">
        <v>22</v>
      </c>
      <c r="C1289" s="2">
        <v>0.76398148148148148</v>
      </c>
      <c r="D1289" t="s">
        <v>2813</v>
      </c>
      <c r="E1289" t="s">
        <v>41</v>
      </c>
      <c r="F1289" t="s">
        <v>2814</v>
      </c>
      <c r="G1289" t="s">
        <v>50</v>
      </c>
      <c r="H1289" t="s">
        <v>531</v>
      </c>
      <c r="I1289" t="s">
        <v>137</v>
      </c>
      <c r="J1289">
        <v>5.6</v>
      </c>
      <c r="K1289">
        <v>21.3</v>
      </c>
      <c r="L1289" t="s">
        <v>29</v>
      </c>
      <c r="M1289" t="s">
        <v>29</v>
      </c>
      <c r="N1289" t="s">
        <v>29</v>
      </c>
      <c r="O1289" t="s">
        <v>29</v>
      </c>
      <c r="P1289" t="s">
        <v>29</v>
      </c>
      <c r="Q1289" t="s">
        <v>29</v>
      </c>
      <c r="R1289">
        <v>407</v>
      </c>
      <c r="S1289">
        <v>14.91</v>
      </c>
      <c r="T1289">
        <v>4.4000000000000004</v>
      </c>
      <c r="U1289">
        <v>4.5999999999999996</v>
      </c>
      <c r="V1289" t="s">
        <v>38</v>
      </c>
    </row>
    <row r="1290" spans="1:22" x14ac:dyDescent="0.35">
      <c r="A1290" s="1">
        <v>45368</v>
      </c>
      <c r="B1290" t="s">
        <v>22</v>
      </c>
      <c r="C1290" s="2">
        <v>0.90254629629629635</v>
      </c>
      <c r="D1290" t="s">
        <v>2815</v>
      </c>
      <c r="E1290" t="s">
        <v>41</v>
      </c>
      <c r="F1290" t="s">
        <v>2816</v>
      </c>
      <c r="G1290" t="s">
        <v>43</v>
      </c>
      <c r="H1290" t="s">
        <v>290</v>
      </c>
      <c r="I1290" t="s">
        <v>119</v>
      </c>
      <c r="J1290">
        <v>2.6</v>
      </c>
      <c r="K1290">
        <v>28</v>
      </c>
      <c r="L1290" t="s">
        <v>29</v>
      </c>
      <c r="M1290" t="s">
        <v>29</v>
      </c>
      <c r="N1290" t="s">
        <v>29</v>
      </c>
      <c r="O1290" t="s">
        <v>29</v>
      </c>
      <c r="P1290" t="s">
        <v>29</v>
      </c>
      <c r="Q1290" t="s">
        <v>29</v>
      </c>
      <c r="R1290">
        <v>542</v>
      </c>
      <c r="S1290">
        <v>26.7</v>
      </c>
      <c r="T1290">
        <v>3.8</v>
      </c>
      <c r="U1290">
        <v>4.0999999999999996</v>
      </c>
      <c r="V1290" t="s">
        <v>84</v>
      </c>
    </row>
    <row r="1291" spans="1:22" x14ac:dyDescent="0.35">
      <c r="A1291" s="1">
        <v>45577</v>
      </c>
      <c r="B1291" t="s">
        <v>47</v>
      </c>
      <c r="C1291" s="2">
        <v>0.78207175925925931</v>
      </c>
      <c r="D1291" t="s">
        <v>2817</v>
      </c>
      <c r="E1291" t="s">
        <v>41</v>
      </c>
      <c r="F1291" t="s">
        <v>2818</v>
      </c>
      <c r="G1291" t="s">
        <v>50</v>
      </c>
      <c r="H1291" t="s">
        <v>202</v>
      </c>
      <c r="I1291" t="s">
        <v>280</v>
      </c>
      <c r="J1291">
        <v>9.1</v>
      </c>
      <c r="K1291">
        <v>38.1</v>
      </c>
      <c r="L1291" t="s">
        <v>29</v>
      </c>
      <c r="M1291" t="s">
        <v>29</v>
      </c>
      <c r="N1291" t="s">
        <v>29</v>
      </c>
      <c r="O1291" t="s">
        <v>29</v>
      </c>
      <c r="P1291" t="s">
        <v>29</v>
      </c>
      <c r="Q1291" t="s">
        <v>29</v>
      </c>
      <c r="R1291">
        <v>1461</v>
      </c>
      <c r="S1291">
        <v>44.3</v>
      </c>
      <c r="T1291">
        <v>4.4000000000000004</v>
      </c>
      <c r="U1291">
        <v>5</v>
      </c>
      <c r="V1291" t="s">
        <v>84</v>
      </c>
    </row>
    <row r="1292" spans="1:22" x14ac:dyDescent="0.35">
      <c r="A1292" s="1">
        <v>45412</v>
      </c>
      <c r="B1292" t="s">
        <v>154</v>
      </c>
      <c r="C1292" s="2">
        <v>0.42162037037037037</v>
      </c>
      <c r="D1292" t="s">
        <v>2819</v>
      </c>
      <c r="E1292" t="s">
        <v>41</v>
      </c>
      <c r="F1292" t="s">
        <v>2820</v>
      </c>
      <c r="G1292" t="s">
        <v>43</v>
      </c>
      <c r="H1292" t="s">
        <v>340</v>
      </c>
      <c r="I1292" t="s">
        <v>332</v>
      </c>
      <c r="J1292">
        <v>12.2</v>
      </c>
      <c r="K1292">
        <v>36.700000000000003</v>
      </c>
      <c r="L1292" t="s">
        <v>29</v>
      </c>
      <c r="M1292" t="s">
        <v>29</v>
      </c>
      <c r="N1292" t="s">
        <v>29</v>
      </c>
      <c r="O1292" t="s">
        <v>29</v>
      </c>
      <c r="P1292" t="s">
        <v>29</v>
      </c>
      <c r="Q1292" t="s">
        <v>29</v>
      </c>
      <c r="R1292">
        <v>298</v>
      </c>
      <c r="S1292">
        <v>31.23</v>
      </c>
      <c r="T1292">
        <v>4.3</v>
      </c>
      <c r="U1292">
        <v>4.7</v>
      </c>
      <c r="V1292" t="s">
        <v>84</v>
      </c>
    </row>
    <row r="1293" spans="1:22" x14ac:dyDescent="0.35">
      <c r="A1293" s="1">
        <v>45324</v>
      </c>
      <c r="B1293" t="s">
        <v>59</v>
      </c>
      <c r="C1293" s="2">
        <v>0.74584490740740739</v>
      </c>
      <c r="D1293" t="s">
        <v>2821</v>
      </c>
      <c r="E1293" t="s">
        <v>41</v>
      </c>
      <c r="F1293" t="s">
        <v>2822</v>
      </c>
      <c r="G1293" t="s">
        <v>43</v>
      </c>
      <c r="H1293" t="s">
        <v>202</v>
      </c>
      <c r="I1293" t="s">
        <v>197</v>
      </c>
      <c r="J1293">
        <v>7.4</v>
      </c>
      <c r="K1293">
        <v>33.700000000000003</v>
      </c>
      <c r="L1293" t="s">
        <v>29</v>
      </c>
      <c r="M1293" t="s">
        <v>29</v>
      </c>
      <c r="N1293" t="s">
        <v>29</v>
      </c>
      <c r="O1293" t="s">
        <v>29</v>
      </c>
      <c r="P1293" t="s">
        <v>29</v>
      </c>
      <c r="Q1293" t="s">
        <v>29</v>
      </c>
      <c r="R1293">
        <v>139</v>
      </c>
      <c r="S1293">
        <v>41.91</v>
      </c>
      <c r="T1293">
        <v>4.2</v>
      </c>
      <c r="U1293">
        <v>4.2</v>
      </c>
      <c r="V1293" t="s">
        <v>149</v>
      </c>
    </row>
    <row r="1294" spans="1:22" x14ac:dyDescent="0.35">
      <c r="A1294" s="1">
        <v>45575</v>
      </c>
      <c r="B1294" t="s">
        <v>47</v>
      </c>
      <c r="C1294" s="2">
        <v>0.60637731481481483</v>
      </c>
      <c r="D1294" t="s">
        <v>2823</v>
      </c>
      <c r="E1294" t="s">
        <v>41</v>
      </c>
      <c r="F1294" t="s">
        <v>2824</v>
      </c>
      <c r="G1294" t="s">
        <v>50</v>
      </c>
      <c r="H1294" t="s">
        <v>442</v>
      </c>
      <c r="I1294" t="s">
        <v>520</v>
      </c>
      <c r="J1294">
        <v>9.4</v>
      </c>
      <c r="K1294">
        <v>16.5</v>
      </c>
      <c r="L1294" t="s">
        <v>29</v>
      </c>
      <c r="M1294" t="s">
        <v>29</v>
      </c>
      <c r="N1294" t="s">
        <v>29</v>
      </c>
      <c r="O1294" t="s">
        <v>29</v>
      </c>
      <c r="P1294" t="s">
        <v>29</v>
      </c>
      <c r="Q1294" t="s">
        <v>29</v>
      </c>
      <c r="R1294">
        <v>297</v>
      </c>
      <c r="S1294">
        <v>30.75</v>
      </c>
      <c r="T1294">
        <v>3.9</v>
      </c>
      <c r="U1294">
        <v>4.3</v>
      </c>
      <c r="V1294" t="s">
        <v>46</v>
      </c>
    </row>
    <row r="1295" spans="1:22" x14ac:dyDescent="0.35">
      <c r="A1295" s="1">
        <v>45312</v>
      </c>
      <c r="B1295" t="s">
        <v>150</v>
      </c>
      <c r="C1295" s="2">
        <v>0.36259259259259258</v>
      </c>
      <c r="D1295" t="s">
        <v>2825</v>
      </c>
      <c r="E1295" t="s">
        <v>117</v>
      </c>
      <c r="F1295" t="s">
        <v>2826</v>
      </c>
      <c r="G1295" t="s">
        <v>43</v>
      </c>
      <c r="H1295" t="s">
        <v>183</v>
      </c>
      <c r="I1295" t="s">
        <v>136</v>
      </c>
      <c r="J1295">
        <v>5.4</v>
      </c>
      <c r="K1295" t="s">
        <v>29</v>
      </c>
      <c r="L1295">
        <v>1</v>
      </c>
      <c r="M1295" t="s">
        <v>420</v>
      </c>
      <c r="N1295" t="s">
        <v>29</v>
      </c>
      <c r="O1295" t="s">
        <v>29</v>
      </c>
      <c r="P1295" t="s">
        <v>29</v>
      </c>
      <c r="Q1295" t="s">
        <v>29</v>
      </c>
      <c r="R1295" t="s">
        <v>29</v>
      </c>
      <c r="S1295" t="s">
        <v>29</v>
      </c>
      <c r="T1295" t="s">
        <v>29</v>
      </c>
      <c r="U1295" t="s">
        <v>29</v>
      </c>
      <c r="V1295" t="s">
        <v>29</v>
      </c>
    </row>
    <row r="1296" spans="1:22" x14ac:dyDescent="0.35">
      <c r="A1296" s="1">
        <v>45365</v>
      </c>
      <c r="B1296" t="s">
        <v>22</v>
      </c>
      <c r="C1296" s="2">
        <v>0.79290509259259256</v>
      </c>
      <c r="D1296" t="s">
        <v>2827</v>
      </c>
      <c r="E1296" t="s">
        <v>93</v>
      </c>
      <c r="F1296" t="s">
        <v>2828</v>
      </c>
      <c r="G1296" t="s">
        <v>34</v>
      </c>
      <c r="H1296" t="s">
        <v>312</v>
      </c>
      <c r="I1296" t="s">
        <v>549</v>
      </c>
      <c r="J1296">
        <v>8.3000000000000007</v>
      </c>
      <c r="K1296" t="s">
        <v>29</v>
      </c>
      <c r="L1296" t="s">
        <v>29</v>
      </c>
      <c r="M1296" t="s">
        <v>29</v>
      </c>
      <c r="N1296">
        <v>1</v>
      </c>
      <c r="O1296" t="s">
        <v>169</v>
      </c>
      <c r="P1296" t="s">
        <v>29</v>
      </c>
      <c r="Q1296" t="s">
        <v>29</v>
      </c>
      <c r="R1296" t="s">
        <v>29</v>
      </c>
      <c r="S1296" t="s">
        <v>29</v>
      </c>
      <c r="T1296" t="s">
        <v>29</v>
      </c>
      <c r="U1296" t="s">
        <v>29</v>
      </c>
      <c r="V1296" t="s">
        <v>29</v>
      </c>
    </row>
    <row r="1297" spans="1:22" x14ac:dyDescent="0.35">
      <c r="A1297" s="1">
        <v>45308</v>
      </c>
      <c r="B1297" t="s">
        <v>150</v>
      </c>
      <c r="C1297" s="2">
        <v>0.78020833333333328</v>
      </c>
      <c r="D1297" t="s">
        <v>2829</v>
      </c>
      <c r="E1297" t="s">
        <v>41</v>
      </c>
      <c r="F1297" t="s">
        <v>2830</v>
      </c>
      <c r="G1297" t="s">
        <v>56</v>
      </c>
      <c r="H1297" t="s">
        <v>441</v>
      </c>
      <c r="I1297" t="s">
        <v>168</v>
      </c>
      <c r="J1297">
        <v>6</v>
      </c>
      <c r="K1297">
        <v>41.6</v>
      </c>
      <c r="L1297" t="s">
        <v>29</v>
      </c>
      <c r="M1297" t="s">
        <v>29</v>
      </c>
      <c r="N1297" t="s">
        <v>29</v>
      </c>
      <c r="O1297" t="s">
        <v>29</v>
      </c>
      <c r="P1297" t="s">
        <v>29</v>
      </c>
      <c r="Q1297" t="s">
        <v>29</v>
      </c>
      <c r="R1297">
        <v>331</v>
      </c>
      <c r="S1297">
        <v>31.38</v>
      </c>
      <c r="T1297">
        <v>4.2</v>
      </c>
      <c r="U1297">
        <v>4.3</v>
      </c>
      <c r="V1297" t="s">
        <v>46</v>
      </c>
    </row>
    <row r="1298" spans="1:22" x14ac:dyDescent="0.35">
      <c r="A1298" s="1">
        <v>45645</v>
      </c>
      <c r="B1298" t="s">
        <v>78</v>
      </c>
      <c r="C1298" s="2">
        <v>0.91817129629629635</v>
      </c>
      <c r="D1298" t="s">
        <v>2831</v>
      </c>
      <c r="E1298" t="s">
        <v>93</v>
      </c>
      <c r="F1298" t="s">
        <v>2832</v>
      </c>
      <c r="G1298" t="s">
        <v>34</v>
      </c>
      <c r="H1298" t="s">
        <v>305</v>
      </c>
      <c r="I1298" t="s">
        <v>935</v>
      </c>
      <c r="J1298">
        <v>7</v>
      </c>
      <c r="K1298" t="s">
        <v>29</v>
      </c>
      <c r="L1298" t="s">
        <v>29</v>
      </c>
      <c r="M1298" t="s">
        <v>29</v>
      </c>
      <c r="N1298">
        <v>1</v>
      </c>
      <c r="O1298" t="s">
        <v>169</v>
      </c>
      <c r="P1298" t="s">
        <v>29</v>
      </c>
      <c r="Q1298" t="s">
        <v>29</v>
      </c>
      <c r="R1298" t="s">
        <v>29</v>
      </c>
      <c r="S1298" t="s">
        <v>29</v>
      </c>
      <c r="T1298" t="s">
        <v>29</v>
      </c>
      <c r="U1298" t="s">
        <v>29</v>
      </c>
      <c r="V1298" t="s">
        <v>29</v>
      </c>
    </row>
    <row r="1299" spans="1:22" x14ac:dyDescent="0.35">
      <c r="A1299" s="1">
        <v>45310</v>
      </c>
      <c r="B1299" t="s">
        <v>150</v>
      </c>
      <c r="C1299" s="2">
        <v>0.63053240740740746</v>
      </c>
      <c r="D1299" t="s">
        <v>2833</v>
      </c>
      <c r="E1299" t="s">
        <v>32</v>
      </c>
      <c r="F1299" t="s">
        <v>2834</v>
      </c>
      <c r="G1299" t="s">
        <v>67</v>
      </c>
      <c r="H1299" t="s">
        <v>714</v>
      </c>
      <c r="I1299" t="s">
        <v>132</v>
      </c>
      <c r="J1299">
        <v>7.5</v>
      </c>
      <c r="K1299">
        <v>18.2</v>
      </c>
      <c r="L1299" t="s">
        <v>29</v>
      </c>
      <c r="M1299" t="s">
        <v>29</v>
      </c>
      <c r="N1299" t="s">
        <v>29</v>
      </c>
      <c r="O1299" t="s">
        <v>29</v>
      </c>
      <c r="P1299">
        <v>1</v>
      </c>
      <c r="Q1299" t="s">
        <v>37</v>
      </c>
      <c r="R1299">
        <v>477</v>
      </c>
      <c r="S1299">
        <v>16.22</v>
      </c>
      <c r="T1299" t="s">
        <v>29</v>
      </c>
      <c r="U1299" t="s">
        <v>29</v>
      </c>
      <c r="V1299" t="s">
        <v>38</v>
      </c>
    </row>
    <row r="1300" spans="1:22" x14ac:dyDescent="0.35">
      <c r="A1300" s="1">
        <v>45311</v>
      </c>
      <c r="B1300" t="s">
        <v>150</v>
      </c>
      <c r="C1300" s="2">
        <v>0.67271990740740739</v>
      </c>
      <c r="D1300" t="s">
        <v>2835</v>
      </c>
      <c r="E1300" t="s">
        <v>93</v>
      </c>
      <c r="F1300" t="s">
        <v>2836</v>
      </c>
      <c r="G1300" t="s">
        <v>67</v>
      </c>
      <c r="H1300" t="s">
        <v>102</v>
      </c>
      <c r="I1300" t="s">
        <v>249</v>
      </c>
      <c r="J1300">
        <v>5.0999999999999996</v>
      </c>
      <c r="K1300" t="s">
        <v>29</v>
      </c>
      <c r="L1300" t="s">
        <v>29</v>
      </c>
      <c r="M1300" t="s">
        <v>29</v>
      </c>
      <c r="N1300">
        <v>1</v>
      </c>
      <c r="O1300" t="s">
        <v>115</v>
      </c>
      <c r="P1300" t="s">
        <v>29</v>
      </c>
      <c r="Q1300" t="s">
        <v>29</v>
      </c>
      <c r="R1300" t="s">
        <v>29</v>
      </c>
      <c r="S1300" t="s">
        <v>29</v>
      </c>
      <c r="T1300" t="s">
        <v>29</v>
      </c>
      <c r="U1300" t="s">
        <v>29</v>
      </c>
      <c r="V1300" t="s">
        <v>29</v>
      </c>
    </row>
    <row r="1301" spans="1:22" x14ac:dyDescent="0.35">
      <c r="A1301" s="1">
        <v>45494</v>
      </c>
      <c r="B1301" t="s">
        <v>108</v>
      </c>
      <c r="C1301" s="2">
        <v>0.89990740740740738</v>
      </c>
      <c r="D1301" t="s">
        <v>2837</v>
      </c>
      <c r="E1301" t="s">
        <v>24</v>
      </c>
      <c r="F1301" t="s">
        <v>2838</v>
      </c>
      <c r="G1301" t="s">
        <v>34</v>
      </c>
      <c r="H1301" t="s">
        <v>305</v>
      </c>
      <c r="I1301" t="s">
        <v>197</v>
      </c>
      <c r="J1301" t="s">
        <v>29</v>
      </c>
      <c r="K1301" t="s">
        <v>29</v>
      </c>
      <c r="L1301" t="s">
        <v>29</v>
      </c>
      <c r="M1301" t="s">
        <v>29</v>
      </c>
      <c r="N1301" t="s">
        <v>29</v>
      </c>
      <c r="O1301" t="s">
        <v>29</v>
      </c>
      <c r="P1301" t="s">
        <v>29</v>
      </c>
      <c r="Q1301" t="s">
        <v>29</v>
      </c>
      <c r="R1301" t="s">
        <v>29</v>
      </c>
      <c r="S1301" t="s">
        <v>29</v>
      </c>
      <c r="T1301" t="s">
        <v>29</v>
      </c>
      <c r="U1301" t="s">
        <v>29</v>
      </c>
      <c r="V1301" t="s">
        <v>29</v>
      </c>
    </row>
    <row r="1302" spans="1:22" x14ac:dyDescent="0.35">
      <c r="A1302" s="1">
        <v>45455</v>
      </c>
      <c r="B1302" t="s">
        <v>64</v>
      </c>
      <c r="C1302" s="2">
        <v>0.68003472222222228</v>
      </c>
      <c r="D1302" t="s">
        <v>2839</v>
      </c>
      <c r="E1302" t="s">
        <v>32</v>
      </c>
      <c r="F1302" t="s">
        <v>2840</v>
      </c>
      <c r="G1302" t="s">
        <v>67</v>
      </c>
      <c r="H1302" t="s">
        <v>449</v>
      </c>
      <c r="I1302" t="s">
        <v>77</v>
      </c>
      <c r="J1302">
        <v>3.6</v>
      </c>
      <c r="K1302">
        <v>19.600000000000001</v>
      </c>
      <c r="L1302" t="s">
        <v>29</v>
      </c>
      <c r="M1302" t="s">
        <v>29</v>
      </c>
      <c r="N1302" t="s">
        <v>29</v>
      </c>
      <c r="O1302" t="s">
        <v>29</v>
      </c>
      <c r="P1302">
        <v>1</v>
      </c>
      <c r="Q1302" t="s">
        <v>37</v>
      </c>
      <c r="R1302">
        <v>205</v>
      </c>
      <c r="S1302">
        <v>15.7</v>
      </c>
      <c r="T1302" t="s">
        <v>29</v>
      </c>
      <c r="U1302" t="s">
        <v>29</v>
      </c>
      <c r="V1302" t="s">
        <v>38</v>
      </c>
    </row>
    <row r="1303" spans="1:22" x14ac:dyDescent="0.35">
      <c r="A1303" s="1">
        <v>45341</v>
      </c>
      <c r="B1303" t="s">
        <v>59</v>
      </c>
      <c r="C1303" s="2">
        <v>0.15561342592592592</v>
      </c>
      <c r="D1303" t="s">
        <v>2841</v>
      </c>
      <c r="E1303" t="s">
        <v>41</v>
      </c>
      <c r="F1303" t="s">
        <v>2842</v>
      </c>
      <c r="G1303" t="s">
        <v>67</v>
      </c>
      <c r="H1303" t="s">
        <v>63</v>
      </c>
      <c r="I1303" t="s">
        <v>474</v>
      </c>
      <c r="J1303">
        <v>4.5</v>
      </c>
      <c r="K1303">
        <v>17.7</v>
      </c>
      <c r="L1303" t="s">
        <v>29</v>
      </c>
      <c r="M1303" t="s">
        <v>29</v>
      </c>
      <c r="N1303" t="s">
        <v>29</v>
      </c>
      <c r="O1303" t="s">
        <v>29</v>
      </c>
      <c r="P1303" t="s">
        <v>29</v>
      </c>
      <c r="Q1303" t="s">
        <v>29</v>
      </c>
      <c r="R1303">
        <v>307</v>
      </c>
      <c r="S1303">
        <v>9.91</v>
      </c>
      <c r="T1303">
        <v>4.5999999999999996</v>
      </c>
      <c r="U1303">
        <v>4.5999999999999996</v>
      </c>
      <c r="V1303" t="s">
        <v>38</v>
      </c>
    </row>
    <row r="1304" spans="1:22" x14ac:dyDescent="0.35">
      <c r="A1304" s="1">
        <v>45634</v>
      </c>
      <c r="B1304" t="s">
        <v>78</v>
      </c>
      <c r="C1304" s="2">
        <v>0.73211805555555554</v>
      </c>
      <c r="D1304" t="s">
        <v>2843</v>
      </c>
      <c r="E1304" t="s">
        <v>93</v>
      </c>
      <c r="F1304" t="s">
        <v>2844</v>
      </c>
      <c r="G1304" t="s">
        <v>56</v>
      </c>
      <c r="H1304" t="s">
        <v>227</v>
      </c>
      <c r="I1304" t="s">
        <v>245</v>
      </c>
      <c r="J1304">
        <v>5</v>
      </c>
      <c r="K1304" t="s">
        <v>29</v>
      </c>
      <c r="L1304" t="s">
        <v>29</v>
      </c>
      <c r="M1304" t="s">
        <v>29</v>
      </c>
      <c r="N1304">
        <v>1</v>
      </c>
      <c r="O1304" t="s">
        <v>337</v>
      </c>
      <c r="P1304" t="s">
        <v>29</v>
      </c>
      <c r="Q1304" t="s">
        <v>29</v>
      </c>
      <c r="R1304" t="s">
        <v>29</v>
      </c>
      <c r="S1304" t="s">
        <v>29</v>
      </c>
      <c r="T1304" t="s">
        <v>29</v>
      </c>
      <c r="U1304" t="s">
        <v>29</v>
      </c>
      <c r="V1304" t="s">
        <v>29</v>
      </c>
    </row>
    <row r="1305" spans="1:22" x14ac:dyDescent="0.35">
      <c r="A1305" s="1">
        <v>45404</v>
      </c>
      <c r="B1305" t="s">
        <v>154</v>
      </c>
      <c r="C1305" s="2">
        <v>0.87312500000000004</v>
      </c>
      <c r="D1305" t="s">
        <v>2845</v>
      </c>
      <c r="E1305" t="s">
        <v>32</v>
      </c>
      <c r="F1305" t="s">
        <v>2846</v>
      </c>
      <c r="G1305" t="s">
        <v>50</v>
      </c>
      <c r="H1305" t="s">
        <v>305</v>
      </c>
      <c r="I1305" t="s">
        <v>263</v>
      </c>
      <c r="J1305">
        <v>7.3</v>
      </c>
      <c r="K1305">
        <v>24.3</v>
      </c>
      <c r="L1305" t="s">
        <v>29</v>
      </c>
      <c r="M1305" t="s">
        <v>29</v>
      </c>
      <c r="N1305" t="s">
        <v>29</v>
      </c>
      <c r="O1305" t="s">
        <v>29</v>
      </c>
      <c r="P1305">
        <v>1</v>
      </c>
      <c r="Q1305" t="s">
        <v>83</v>
      </c>
      <c r="R1305">
        <v>849</v>
      </c>
      <c r="S1305">
        <v>16.34</v>
      </c>
      <c r="T1305" t="s">
        <v>29</v>
      </c>
      <c r="U1305" t="s">
        <v>29</v>
      </c>
      <c r="V1305" t="s">
        <v>38</v>
      </c>
    </row>
    <row r="1306" spans="1:22" x14ac:dyDescent="0.35">
      <c r="A1306" s="1">
        <v>45292</v>
      </c>
      <c r="B1306" t="s">
        <v>150</v>
      </c>
      <c r="C1306" s="2">
        <v>0.8489930555555556</v>
      </c>
      <c r="D1306" t="s">
        <v>2847</v>
      </c>
      <c r="E1306" t="s">
        <v>41</v>
      </c>
      <c r="F1306" t="s">
        <v>2848</v>
      </c>
      <c r="G1306" t="s">
        <v>56</v>
      </c>
      <c r="H1306" t="s">
        <v>167</v>
      </c>
      <c r="I1306" t="s">
        <v>143</v>
      </c>
      <c r="J1306">
        <v>11.7</v>
      </c>
      <c r="K1306">
        <v>18.100000000000001</v>
      </c>
      <c r="L1306" t="s">
        <v>29</v>
      </c>
      <c r="M1306" t="s">
        <v>29</v>
      </c>
      <c r="N1306" t="s">
        <v>29</v>
      </c>
      <c r="O1306" t="s">
        <v>29</v>
      </c>
      <c r="P1306" t="s">
        <v>29</v>
      </c>
      <c r="Q1306" t="s">
        <v>29</v>
      </c>
      <c r="R1306">
        <v>739</v>
      </c>
      <c r="S1306">
        <v>36.6</v>
      </c>
      <c r="T1306">
        <v>4.2</v>
      </c>
      <c r="U1306">
        <v>4.2</v>
      </c>
      <c r="V1306" t="s">
        <v>38</v>
      </c>
    </row>
    <row r="1307" spans="1:22" x14ac:dyDescent="0.35">
      <c r="A1307" s="1">
        <v>45443</v>
      </c>
      <c r="B1307" t="s">
        <v>122</v>
      </c>
      <c r="C1307" s="2">
        <v>0.78527777777777774</v>
      </c>
      <c r="D1307" t="s">
        <v>2849</v>
      </c>
      <c r="E1307" t="s">
        <v>93</v>
      </c>
      <c r="F1307" t="s">
        <v>2850</v>
      </c>
      <c r="G1307" t="s">
        <v>67</v>
      </c>
      <c r="H1307" t="s">
        <v>77</v>
      </c>
      <c r="I1307" t="s">
        <v>51</v>
      </c>
      <c r="J1307">
        <v>11</v>
      </c>
      <c r="K1307" t="s">
        <v>29</v>
      </c>
      <c r="L1307" t="s">
        <v>29</v>
      </c>
      <c r="M1307" t="s">
        <v>29</v>
      </c>
      <c r="N1307">
        <v>1</v>
      </c>
      <c r="O1307" t="s">
        <v>115</v>
      </c>
      <c r="P1307" t="s">
        <v>29</v>
      </c>
      <c r="Q1307" t="s">
        <v>29</v>
      </c>
      <c r="R1307" t="s">
        <v>29</v>
      </c>
      <c r="S1307" t="s">
        <v>29</v>
      </c>
      <c r="T1307" t="s">
        <v>29</v>
      </c>
      <c r="U1307" t="s">
        <v>29</v>
      </c>
      <c r="V1307" t="s">
        <v>29</v>
      </c>
    </row>
    <row r="1308" spans="1:22" x14ac:dyDescent="0.35">
      <c r="A1308" s="1">
        <v>45560</v>
      </c>
      <c r="B1308" t="s">
        <v>53</v>
      </c>
      <c r="C1308" s="2">
        <v>0.83099537037037041</v>
      </c>
      <c r="D1308" t="s">
        <v>2851</v>
      </c>
      <c r="E1308" t="s">
        <v>32</v>
      </c>
      <c r="F1308" t="s">
        <v>2852</v>
      </c>
      <c r="G1308" t="s">
        <v>146</v>
      </c>
      <c r="H1308" t="s">
        <v>386</v>
      </c>
      <c r="I1308" t="s">
        <v>180</v>
      </c>
      <c r="J1308">
        <v>5.7</v>
      </c>
      <c r="K1308">
        <v>25</v>
      </c>
      <c r="L1308" t="s">
        <v>29</v>
      </c>
      <c r="M1308" t="s">
        <v>29</v>
      </c>
      <c r="N1308" t="s">
        <v>29</v>
      </c>
      <c r="O1308" t="s">
        <v>29</v>
      </c>
      <c r="P1308">
        <v>1</v>
      </c>
      <c r="Q1308" t="s">
        <v>83</v>
      </c>
      <c r="R1308">
        <v>106</v>
      </c>
      <c r="S1308">
        <v>13.97</v>
      </c>
      <c r="T1308" t="s">
        <v>29</v>
      </c>
      <c r="U1308" t="s">
        <v>29</v>
      </c>
      <c r="V1308" t="s">
        <v>38</v>
      </c>
    </row>
    <row r="1309" spans="1:22" x14ac:dyDescent="0.35">
      <c r="A1309" s="1">
        <v>45480</v>
      </c>
      <c r="B1309" t="s">
        <v>108</v>
      </c>
      <c r="C1309" s="2">
        <v>0.89774305555555556</v>
      </c>
      <c r="D1309" t="s">
        <v>2853</v>
      </c>
      <c r="E1309" t="s">
        <v>41</v>
      </c>
      <c r="F1309" t="s">
        <v>2854</v>
      </c>
      <c r="G1309" t="s">
        <v>34</v>
      </c>
      <c r="H1309" t="s">
        <v>486</v>
      </c>
      <c r="I1309" t="s">
        <v>299</v>
      </c>
      <c r="J1309">
        <v>10</v>
      </c>
      <c r="K1309">
        <v>23.8</v>
      </c>
      <c r="L1309" t="s">
        <v>29</v>
      </c>
      <c r="M1309" t="s">
        <v>29</v>
      </c>
      <c r="N1309" t="s">
        <v>29</v>
      </c>
      <c r="O1309" t="s">
        <v>29</v>
      </c>
      <c r="P1309" t="s">
        <v>29</v>
      </c>
      <c r="Q1309" t="s">
        <v>29</v>
      </c>
      <c r="R1309">
        <v>820</v>
      </c>
      <c r="S1309">
        <v>32.93</v>
      </c>
      <c r="T1309">
        <v>4.2</v>
      </c>
      <c r="U1309">
        <v>4.9000000000000004</v>
      </c>
      <c r="V1309" t="s">
        <v>107</v>
      </c>
    </row>
    <row r="1310" spans="1:22" x14ac:dyDescent="0.35">
      <c r="A1310" s="1">
        <v>45618</v>
      </c>
      <c r="B1310" t="s">
        <v>30</v>
      </c>
      <c r="C1310" s="2">
        <v>0.61170138888888892</v>
      </c>
      <c r="D1310" t="s">
        <v>2855</v>
      </c>
      <c r="E1310" t="s">
        <v>32</v>
      </c>
      <c r="F1310" t="s">
        <v>2856</v>
      </c>
      <c r="G1310" t="s">
        <v>56</v>
      </c>
      <c r="H1310" t="s">
        <v>193</v>
      </c>
      <c r="I1310" t="s">
        <v>76</v>
      </c>
      <c r="J1310">
        <v>7.9</v>
      </c>
      <c r="K1310">
        <v>12.2</v>
      </c>
      <c r="L1310" t="s">
        <v>29</v>
      </c>
      <c r="M1310" t="s">
        <v>29</v>
      </c>
      <c r="N1310" t="s">
        <v>29</v>
      </c>
      <c r="O1310" t="s">
        <v>29</v>
      </c>
      <c r="P1310">
        <v>1</v>
      </c>
      <c r="Q1310" t="s">
        <v>83</v>
      </c>
      <c r="R1310">
        <v>822</v>
      </c>
      <c r="S1310">
        <v>14.85</v>
      </c>
      <c r="T1310" t="s">
        <v>29</v>
      </c>
      <c r="U1310" t="s">
        <v>29</v>
      </c>
      <c r="V1310" t="s">
        <v>38</v>
      </c>
    </row>
    <row r="1311" spans="1:22" x14ac:dyDescent="0.35">
      <c r="A1311" s="1">
        <v>45542</v>
      </c>
      <c r="B1311" t="s">
        <v>53</v>
      </c>
      <c r="C1311" s="2">
        <v>0.47567129629629629</v>
      </c>
      <c r="D1311" t="s">
        <v>2857</v>
      </c>
      <c r="E1311" t="s">
        <v>41</v>
      </c>
      <c r="F1311" t="s">
        <v>2858</v>
      </c>
      <c r="G1311" t="s">
        <v>43</v>
      </c>
      <c r="H1311" t="s">
        <v>654</v>
      </c>
      <c r="I1311" t="s">
        <v>254</v>
      </c>
      <c r="J1311">
        <v>6.6</v>
      </c>
      <c r="K1311">
        <v>19.600000000000001</v>
      </c>
      <c r="L1311" t="s">
        <v>29</v>
      </c>
      <c r="M1311" t="s">
        <v>29</v>
      </c>
      <c r="N1311" t="s">
        <v>29</v>
      </c>
      <c r="O1311" t="s">
        <v>29</v>
      </c>
      <c r="P1311" t="s">
        <v>29</v>
      </c>
      <c r="Q1311" t="s">
        <v>29</v>
      </c>
      <c r="R1311">
        <v>2060</v>
      </c>
      <c r="S1311">
        <v>29.61</v>
      </c>
      <c r="T1311">
        <v>4.5999999999999996</v>
      </c>
      <c r="U1311">
        <v>4.3</v>
      </c>
      <c r="V1311" t="s">
        <v>107</v>
      </c>
    </row>
    <row r="1312" spans="1:22" x14ac:dyDescent="0.35">
      <c r="A1312" s="1">
        <v>45546</v>
      </c>
      <c r="B1312" t="s">
        <v>53</v>
      </c>
      <c r="C1312" s="2">
        <v>0.80532407407407403</v>
      </c>
      <c r="D1312" t="s">
        <v>2859</v>
      </c>
      <c r="E1312" t="s">
        <v>117</v>
      </c>
      <c r="F1312" t="s">
        <v>2860</v>
      </c>
      <c r="G1312" t="s">
        <v>56</v>
      </c>
      <c r="H1312" t="s">
        <v>72</v>
      </c>
      <c r="I1312" t="s">
        <v>332</v>
      </c>
      <c r="J1312">
        <v>14.3</v>
      </c>
      <c r="K1312" t="s">
        <v>29</v>
      </c>
      <c r="L1312">
        <v>1</v>
      </c>
      <c r="M1312" t="s">
        <v>490</v>
      </c>
      <c r="N1312" t="s">
        <v>29</v>
      </c>
      <c r="O1312" t="s">
        <v>29</v>
      </c>
      <c r="P1312" t="s">
        <v>29</v>
      </c>
      <c r="Q1312" t="s">
        <v>29</v>
      </c>
      <c r="R1312" t="s">
        <v>29</v>
      </c>
      <c r="S1312" t="s">
        <v>29</v>
      </c>
      <c r="T1312" t="s">
        <v>29</v>
      </c>
      <c r="U1312" t="s">
        <v>29</v>
      </c>
      <c r="V1312" t="s">
        <v>29</v>
      </c>
    </row>
    <row r="1313" spans="1:22" x14ac:dyDescent="0.35">
      <c r="A1313" s="1">
        <v>45381</v>
      </c>
      <c r="B1313" t="s">
        <v>22</v>
      </c>
      <c r="C1313" s="2">
        <v>0.89718750000000003</v>
      </c>
      <c r="D1313" t="s">
        <v>2861</v>
      </c>
      <c r="E1313" t="s">
        <v>41</v>
      </c>
      <c r="F1313" t="s">
        <v>2862</v>
      </c>
      <c r="G1313" t="s">
        <v>43</v>
      </c>
      <c r="H1313" t="s">
        <v>377</v>
      </c>
      <c r="I1313" t="s">
        <v>27</v>
      </c>
      <c r="J1313">
        <v>8.3000000000000007</v>
      </c>
      <c r="K1313">
        <v>16.8</v>
      </c>
      <c r="L1313" t="s">
        <v>29</v>
      </c>
      <c r="M1313" t="s">
        <v>29</v>
      </c>
      <c r="N1313" t="s">
        <v>29</v>
      </c>
      <c r="O1313" t="s">
        <v>29</v>
      </c>
      <c r="P1313" t="s">
        <v>29</v>
      </c>
      <c r="Q1313" t="s">
        <v>29</v>
      </c>
      <c r="R1313">
        <v>336</v>
      </c>
      <c r="S1313">
        <v>41.67</v>
      </c>
      <c r="T1313">
        <v>4.2</v>
      </c>
      <c r="U1313">
        <v>4.4000000000000004</v>
      </c>
      <c r="V1313" t="s">
        <v>38</v>
      </c>
    </row>
    <row r="1314" spans="1:22" x14ac:dyDescent="0.35">
      <c r="A1314" s="1">
        <v>45477</v>
      </c>
      <c r="B1314" t="s">
        <v>108</v>
      </c>
      <c r="C1314" s="2">
        <v>0.29146990740740741</v>
      </c>
      <c r="D1314" t="s">
        <v>2863</v>
      </c>
      <c r="E1314" t="s">
        <v>93</v>
      </c>
      <c r="F1314" t="s">
        <v>2864</v>
      </c>
      <c r="G1314" t="s">
        <v>43</v>
      </c>
      <c r="H1314" t="s">
        <v>167</v>
      </c>
      <c r="I1314" t="s">
        <v>158</v>
      </c>
      <c r="J1314">
        <v>11</v>
      </c>
      <c r="K1314" t="s">
        <v>29</v>
      </c>
      <c r="L1314" t="s">
        <v>29</v>
      </c>
      <c r="M1314" t="s">
        <v>29</v>
      </c>
      <c r="N1314">
        <v>1</v>
      </c>
      <c r="O1314" t="s">
        <v>337</v>
      </c>
      <c r="P1314" t="s">
        <v>29</v>
      </c>
      <c r="Q1314" t="s">
        <v>29</v>
      </c>
      <c r="R1314" t="s">
        <v>29</v>
      </c>
      <c r="S1314" t="s">
        <v>29</v>
      </c>
      <c r="T1314" t="s">
        <v>29</v>
      </c>
      <c r="U1314" t="s">
        <v>29</v>
      </c>
      <c r="V1314" t="s">
        <v>29</v>
      </c>
    </row>
    <row r="1315" spans="1:22" x14ac:dyDescent="0.35">
      <c r="A1315" s="1">
        <v>45505</v>
      </c>
      <c r="B1315" t="s">
        <v>39</v>
      </c>
      <c r="C1315" s="2">
        <v>0.45006944444444447</v>
      </c>
      <c r="D1315" t="s">
        <v>2865</v>
      </c>
      <c r="E1315" t="s">
        <v>32</v>
      </c>
      <c r="F1315" t="s">
        <v>2866</v>
      </c>
      <c r="G1315" t="s">
        <v>34</v>
      </c>
      <c r="H1315" t="s">
        <v>340</v>
      </c>
      <c r="I1315" t="s">
        <v>374</v>
      </c>
      <c r="J1315">
        <v>4.4000000000000004</v>
      </c>
      <c r="K1315">
        <v>27.4</v>
      </c>
      <c r="L1315" t="s">
        <v>29</v>
      </c>
      <c r="M1315" t="s">
        <v>29</v>
      </c>
      <c r="N1315" t="s">
        <v>29</v>
      </c>
      <c r="O1315" t="s">
        <v>29</v>
      </c>
      <c r="P1315">
        <v>1</v>
      </c>
      <c r="Q1315" t="s">
        <v>83</v>
      </c>
      <c r="R1315">
        <v>478</v>
      </c>
      <c r="S1315">
        <v>18.82</v>
      </c>
      <c r="T1315" t="s">
        <v>29</v>
      </c>
      <c r="U1315" t="s">
        <v>29</v>
      </c>
      <c r="V1315" t="s">
        <v>38</v>
      </c>
    </row>
    <row r="1316" spans="1:22" x14ac:dyDescent="0.35">
      <c r="A1316" s="1">
        <v>45556</v>
      </c>
      <c r="B1316" t="s">
        <v>53</v>
      </c>
      <c r="C1316" s="2">
        <v>0.30464120370370368</v>
      </c>
      <c r="D1316" t="s">
        <v>2867</v>
      </c>
      <c r="E1316" t="s">
        <v>41</v>
      </c>
      <c r="F1316" t="s">
        <v>2868</v>
      </c>
      <c r="G1316" t="s">
        <v>43</v>
      </c>
      <c r="H1316" t="s">
        <v>164</v>
      </c>
      <c r="I1316" t="s">
        <v>803</v>
      </c>
      <c r="J1316">
        <v>4</v>
      </c>
      <c r="K1316">
        <v>34.6</v>
      </c>
      <c r="L1316" t="s">
        <v>29</v>
      </c>
      <c r="M1316" t="s">
        <v>29</v>
      </c>
      <c r="N1316" t="s">
        <v>29</v>
      </c>
      <c r="O1316" t="s">
        <v>29</v>
      </c>
      <c r="P1316" t="s">
        <v>29</v>
      </c>
      <c r="Q1316" t="s">
        <v>29</v>
      </c>
      <c r="R1316">
        <v>413</v>
      </c>
      <c r="S1316">
        <v>4.08</v>
      </c>
      <c r="T1316">
        <v>4.9000000000000004</v>
      </c>
      <c r="U1316">
        <v>3.3</v>
      </c>
      <c r="V1316" t="s">
        <v>38</v>
      </c>
    </row>
    <row r="1317" spans="1:22" x14ac:dyDescent="0.35">
      <c r="A1317" s="1">
        <v>45450</v>
      </c>
      <c r="B1317" t="s">
        <v>64</v>
      </c>
      <c r="C1317" s="2">
        <v>0.92584490740740744</v>
      </c>
      <c r="D1317" t="s">
        <v>2869</v>
      </c>
      <c r="E1317" t="s">
        <v>93</v>
      </c>
      <c r="F1317" t="s">
        <v>2870</v>
      </c>
      <c r="G1317" t="s">
        <v>56</v>
      </c>
      <c r="H1317" t="s">
        <v>366</v>
      </c>
      <c r="I1317" t="s">
        <v>565</v>
      </c>
      <c r="J1317">
        <v>10.6</v>
      </c>
      <c r="K1317" t="s">
        <v>29</v>
      </c>
      <c r="L1317" t="s">
        <v>29</v>
      </c>
      <c r="M1317" t="s">
        <v>29</v>
      </c>
      <c r="N1317">
        <v>1</v>
      </c>
      <c r="O1317" t="s">
        <v>97</v>
      </c>
      <c r="P1317" t="s">
        <v>29</v>
      </c>
      <c r="Q1317" t="s">
        <v>29</v>
      </c>
      <c r="R1317" t="s">
        <v>29</v>
      </c>
      <c r="S1317" t="s">
        <v>29</v>
      </c>
      <c r="T1317" t="s">
        <v>29</v>
      </c>
      <c r="U1317" t="s">
        <v>29</v>
      </c>
      <c r="V1317" t="s">
        <v>29</v>
      </c>
    </row>
    <row r="1318" spans="1:22" x14ac:dyDescent="0.35">
      <c r="A1318" s="1">
        <v>45445</v>
      </c>
      <c r="B1318" t="s">
        <v>64</v>
      </c>
      <c r="C1318" s="2">
        <v>0.91731481481481481</v>
      </c>
      <c r="D1318" t="s">
        <v>2871</v>
      </c>
      <c r="E1318" t="s">
        <v>41</v>
      </c>
      <c r="F1318" t="s">
        <v>2872</v>
      </c>
      <c r="G1318" t="s">
        <v>67</v>
      </c>
      <c r="H1318" t="s">
        <v>386</v>
      </c>
      <c r="I1318" t="s">
        <v>383</v>
      </c>
      <c r="J1318">
        <v>4.5999999999999996</v>
      </c>
      <c r="K1318">
        <v>32.4</v>
      </c>
      <c r="L1318" t="s">
        <v>29</v>
      </c>
      <c r="M1318" t="s">
        <v>29</v>
      </c>
      <c r="N1318" t="s">
        <v>29</v>
      </c>
      <c r="O1318" t="s">
        <v>29</v>
      </c>
      <c r="P1318" t="s">
        <v>29</v>
      </c>
      <c r="Q1318" t="s">
        <v>29</v>
      </c>
      <c r="R1318">
        <v>273</v>
      </c>
      <c r="S1318">
        <v>10.92</v>
      </c>
      <c r="T1318">
        <v>3.8</v>
      </c>
      <c r="U1318">
        <v>4.3</v>
      </c>
      <c r="V1318" t="s">
        <v>38</v>
      </c>
    </row>
    <row r="1319" spans="1:22" x14ac:dyDescent="0.35">
      <c r="A1319" s="1">
        <v>45440</v>
      </c>
      <c r="B1319" t="s">
        <v>122</v>
      </c>
      <c r="C1319" s="2">
        <v>0.79987268518518517</v>
      </c>
      <c r="D1319" t="s">
        <v>2873</v>
      </c>
      <c r="E1319" t="s">
        <v>93</v>
      </c>
      <c r="F1319" t="s">
        <v>2874</v>
      </c>
      <c r="G1319" t="s">
        <v>67</v>
      </c>
      <c r="H1319" t="s">
        <v>616</v>
      </c>
      <c r="I1319" t="s">
        <v>417</v>
      </c>
      <c r="J1319">
        <v>8.5</v>
      </c>
      <c r="K1319" t="s">
        <v>29</v>
      </c>
      <c r="L1319" t="s">
        <v>29</v>
      </c>
      <c r="M1319" t="s">
        <v>29</v>
      </c>
      <c r="N1319">
        <v>1</v>
      </c>
      <c r="O1319" t="s">
        <v>97</v>
      </c>
      <c r="P1319" t="s">
        <v>29</v>
      </c>
      <c r="Q1319" t="s">
        <v>29</v>
      </c>
      <c r="R1319" t="s">
        <v>29</v>
      </c>
      <c r="S1319" t="s">
        <v>29</v>
      </c>
      <c r="T1319" t="s">
        <v>29</v>
      </c>
      <c r="U1319" t="s">
        <v>29</v>
      </c>
      <c r="V1319" t="s">
        <v>29</v>
      </c>
    </row>
    <row r="1320" spans="1:22" x14ac:dyDescent="0.35">
      <c r="A1320" s="1">
        <v>45503</v>
      </c>
      <c r="B1320" t="s">
        <v>108</v>
      </c>
      <c r="C1320" s="2">
        <v>0.48561342592592593</v>
      </c>
      <c r="D1320" t="s">
        <v>2875</v>
      </c>
      <c r="E1320" t="s">
        <v>32</v>
      </c>
      <c r="F1320" t="s">
        <v>2876</v>
      </c>
      <c r="G1320" t="s">
        <v>43</v>
      </c>
      <c r="H1320" t="s">
        <v>398</v>
      </c>
      <c r="I1320" t="s">
        <v>346</v>
      </c>
      <c r="J1320">
        <v>7.4</v>
      </c>
      <c r="K1320">
        <v>27.5</v>
      </c>
      <c r="L1320" t="s">
        <v>29</v>
      </c>
      <c r="M1320" t="s">
        <v>29</v>
      </c>
      <c r="N1320" t="s">
        <v>29</v>
      </c>
      <c r="O1320" t="s">
        <v>29</v>
      </c>
      <c r="P1320">
        <v>1</v>
      </c>
      <c r="Q1320" t="s">
        <v>37</v>
      </c>
      <c r="R1320">
        <v>839</v>
      </c>
      <c r="S1320">
        <v>9.9</v>
      </c>
      <c r="T1320" t="s">
        <v>29</v>
      </c>
      <c r="U1320" t="s">
        <v>29</v>
      </c>
      <c r="V1320" t="s">
        <v>38</v>
      </c>
    </row>
    <row r="1321" spans="1:22" x14ac:dyDescent="0.35">
      <c r="A1321" s="1">
        <v>45509</v>
      </c>
      <c r="B1321" t="s">
        <v>39</v>
      </c>
      <c r="C1321" s="2">
        <v>0.45026620370370368</v>
      </c>
      <c r="D1321" t="s">
        <v>2877</v>
      </c>
      <c r="E1321" t="s">
        <v>41</v>
      </c>
      <c r="F1321" t="s">
        <v>2878</v>
      </c>
      <c r="G1321" t="s">
        <v>67</v>
      </c>
      <c r="H1321" t="s">
        <v>293</v>
      </c>
      <c r="I1321" t="s">
        <v>739</v>
      </c>
      <c r="J1321">
        <v>10.9</v>
      </c>
      <c r="K1321">
        <v>32.9</v>
      </c>
      <c r="L1321" t="s">
        <v>29</v>
      </c>
      <c r="M1321" t="s">
        <v>29</v>
      </c>
      <c r="N1321" t="s">
        <v>29</v>
      </c>
      <c r="O1321" t="s">
        <v>29</v>
      </c>
      <c r="P1321" t="s">
        <v>29</v>
      </c>
      <c r="Q1321" t="s">
        <v>29</v>
      </c>
      <c r="R1321">
        <v>947</v>
      </c>
      <c r="S1321">
        <v>16.52</v>
      </c>
      <c r="T1321">
        <v>3.9</v>
      </c>
      <c r="U1321">
        <v>4.2</v>
      </c>
      <c r="V1321" t="s">
        <v>84</v>
      </c>
    </row>
    <row r="1322" spans="1:22" x14ac:dyDescent="0.35">
      <c r="A1322" s="1">
        <v>45484</v>
      </c>
      <c r="B1322" t="s">
        <v>108</v>
      </c>
      <c r="C1322" s="2">
        <v>0.24033564814814815</v>
      </c>
      <c r="D1322" t="s">
        <v>2879</v>
      </c>
      <c r="E1322" t="s">
        <v>41</v>
      </c>
      <c r="F1322" t="s">
        <v>2880</v>
      </c>
      <c r="G1322" t="s">
        <v>43</v>
      </c>
      <c r="H1322" t="s">
        <v>315</v>
      </c>
      <c r="I1322" t="s">
        <v>366</v>
      </c>
      <c r="J1322">
        <v>3.8</v>
      </c>
      <c r="K1322">
        <v>23.5</v>
      </c>
      <c r="L1322" t="s">
        <v>29</v>
      </c>
      <c r="M1322" t="s">
        <v>29</v>
      </c>
      <c r="N1322" t="s">
        <v>29</v>
      </c>
      <c r="O1322" t="s">
        <v>29</v>
      </c>
      <c r="P1322" t="s">
        <v>29</v>
      </c>
      <c r="Q1322" t="s">
        <v>29</v>
      </c>
      <c r="R1322">
        <v>135</v>
      </c>
      <c r="S1322">
        <v>18.260000000000002</v>
      </c>
      <c r="T1322">
        <v>4.3</v>
      </c>
      <c r="U1322">
        <v>4.5999999999999996</v>
      </c>
      <c r="V1322" t="s">
        <v>46</v>
      </c>
    </row>
    <row r="1323" spans="1:22" x14ac:dyDescent="0.35">
      <c r="A1323" s="1">
        <v>45484</v>
      </c>
      <c r="B1323" t="s">
        <v>108</v>
      </c>
      <c r="C1323" s="2">
        <v>0.3379861111111111</v>
      </c>
      <c r="D1323" t="s">
        <v>2881</v>
      </c>
      <c r="E1323" t="s">
        <v>24</v>
      </c>
      <c r="F1323" t="s">
        <v>2882</v>
      </c>
      <c r="G1323" t="s">
        <v>67</v>
      </c>
      <c r="H1323" t="s">
        <v>176</v>
      </c>
      <c r="I1323" t="s">
        <v>137</v>
      </c>
      <c r="J1323" t="s">
        <v>29</v>
      </c>
      <c r="K1323" t="s">
        <v>29</v>
      </c>
      <c r="L1323" t="s">
        <v>29</v>
      </c>
      <c r="M1323" t="s">
        <v>29</v>
      </c>
      <c r="N1323" t="s">
        <v>29</v>
      </c>
      <c r="O1323" t="s">
        <v>29</v>
      </c>
      <c r="P1323" t="s">
        <v>29</v>
      </c>
      <c r="Q1323" t="s">
        <v>29</v>
      </c>
      <c r="R1323" t="s">
        <v>29</v>
      </c>
      <c r="S1323" t="s">
        <v>29</v>
      </c>
      <c r="T1323" t="s">
        <v>29</v>
      </c>
      <c r="U1323" t="s">
        <v>29</v>
      </c>
      <c r="V1323" t="s">
        <v>29</v>
      </c>
    </row>
    <row r="1324" spans="1:22" x14ac:dyDescent="0.35">
      <c r="A1324" s="1">
        <v>45595</v>
      </c>
      <c r="B1324" t="s">
        <v>47</v>
      </c>
      <c r="C1324" s="2">
        <v>0.84673611111111113</v>
      </c>
      <c r="D1324" t="s">
        <v>2883</v>
      </c>
      <c r="E1324" t="s">
        <v>41</v>
      </c>
      <c r="F1324" t="s">
        <v>2884</v>
      </c>
      <c r="G1324" t="s">
        <v>43</v>
      </c>
      <c r="H1324" t="s">
        <v>201</v>
      </c>
      <c r="I1324" t="s">
        <v>531</v>
      </c>
      <c r="J1324">
        <v>9.6</v>
      </c>
      <c r="K1324">
        <v>39.799999999999997</v>
      </c>
      <c r="L1324" t="s">
        <v>29</v>
      </c>
      <c r="M1324" t="s">
        <v>29</v>
      </c>
      <c r="N1324" t="s">
        <v>29</v>
      </c>
      <c r="O1324" t="s">
        <v>29</v>
      </c>
      <c r="P1324" t="s">
        <v>29</v>
      </c>
      <c r="Q1324" t="s">
        <v>29</v>
      </c>
      <c r="R1324">
        <v>626</v>
      </c>
      <c r="S1324">
        <v>20.309999999999999</v>
      </c>
      <c r="T1324">
        <v>4.3</v>
      </c>
      <c r="U1324">
        <v>4.2</v>
      </c>
      <c r="V1324" t="s">
        <v>38</v>
      </c>
    </row>
    <row r="1325" spans="1:22" x14ac:dyDescent="0.35">
      <c r="A1325" s="1">
        <v>45561</v>
      </c>
      <c r="B1325" t="s">
        <v>53</v>
      </c>
      <c r="C1325" s="2">
        <v>0.65718750000000004</v>
      </c>
      <c r="D1325" t="s">
        <v>2885</v>
      </c>
      <c r="E1325" t="s">
        <v>41</v>
      </c>
      <c r="F1325" t="s">
        <v>2886</v>
      </c>
      <c r="G1325" t="s">
        <v>67</v>
      </c>
      <c r="H1325" t="s">
        <v>281</v>
      </c>
      <c r="I1325" t="s">
        <v>531</v>
      </c>
      <c r="J1325">
        <v>7.3</v>
      </c>
      <c r="K1325">
        <v>39.5</v>
      </c>
      <c r="L1325" t="s">
        <v>29</v>
      </c>
      <c r="M1325" t="s">
        <v>29</v>
      </c>
      <c r="N1325" t="s">
        <v>29</v>
      </c>
      <c r="O1325" t="s">
        <v>29</v>
      </c>
      <c r="P1325" t="s">
        <v>29</v>
      </c>
      <c r="Q1325" t="s">
        <v>29</v>
      </c>
      <c r="R1325">
        <v>582</v>
      </c>
      <c r="S1325">
        <v>34.08</v>
      </c>
      <c r="T1325">
        <v>4.5999999999999996</v>
      </c>
      <c r="U1325">
        <v>4.9000000000000004</v>
      </c>
      <c r="V1325" t="s">
        <v>84</v>
      </c>
    </row>
    <row r="1326" spans="1:22" x14ac:dyDescent="0.35">
      <c r="A1326" s="1">
        <v>45492</v>
      </c>
      <c r="B1326" t="s">
        <v>108</v>
      </c>
      <c r="C1326" s="2">
        <v>0.81443287037037038</v>
      </c>
      <c r="D1326" t="s">
        <v>2887</v>
      </c>
      <c r="E1326" t="s">
        <v>41</v>
      </c>
      <c r="F1326" t="s">
        <v>2888</v>
      </c>
      <c r="G1326" t="s">
        <v>43</v>
      </c>
      <c r="H1326" t="s">
        <v>349</v>
      </c>
      <c r="I1326" t="s">
        <v>803</v>
      </c>
      <c r="J1326">
        <v>14.3</v>
      </c>
      <c r="K1326">
        <v>17.899999999999999</v>
      </c>
      <c r="L1326" t="s">
        <v>29</v>
      </c>
      <c r="M1326" t="s">
        <v>29</v>
      </c>
      <c r="N1326" t="s">
        <v>29</v>
      </c>
      <c r="O1326" t="s">
        <v>29</v>
      </c>
      <c r="P1326" t="s">
        <v>29</v>
      </c>
      <c r="Q1326" t="s">
        <v>29</v>
      </c>
      <c r="R1326">
        <v>332</v>
      </c>
      <c r="S1326">
        <v>49.36</v>
      </c>
      <c r="T1326">
        <v>4.5999999999999996</v>
      </c>
      <c r="U1326">
        <v>3.1</v>
      </c>
      <c r="V1326" t="s">
        <v>84</v>
      </c>
    </row>
    <row r="1327" spans="1:22" x14ac:dyDescent="0.35">
      <c r="A1327" s="1">
        <v>45571</v>
      </c>
      <c r="B1327" t="s">
        <v>47</v>
      </c>
      <c r="C1327" s="2">
        <v>0.65503472222222225</v>
      </c>
      <c r="D1327" t="s">
        <v>2889</v>
      </c>
      <c r="E1327" t="s">
        <v>41</v>
      </c>
      <c r="F1327" t="s">
        <v>2890</v>
      </c>
      <c r="G1327" t="s">
        <v>43</v>
      </c>
      <c r="H1327" t="s">
        <v>186</v>
      </c>
      <c r="I1327" t="s">
        <v>96</v>
      </c>
      <c r="J1327">
        <v>14.2</v>
      </c>
      <c r="K1327">
        <v>44.8</v>
      </c>
      <c r="L1327" t="s">
        <v>29</v>
      </c>
      <c r="M1327" t="s">
        <v>29</v>
      </c>
      <c r="N1327" t="s">
        <v>29</v>
      </c>
      <c r="O1327" t="s">
        <v>29</v>
      </c>
      <c r="P1327" t="s">
        <v>29</v>
      </c>
      <c r="Q1327" t="s">
        <v>29</v>
      </c>
      <c r="R1327">
        <v>741</v>
      </c>
      <c r="S1327">
        <v>21.11</v>
      </c>
      <c r="T1327">
        <v>4.5</v>
      </c>
      <c r="U1327">
        <v>4.8</v>
      </c>
      <c r="V1327" t="s">
        <v>84</v>
      </c>
    </row>
    <row r="1328" spans="1:22" x14ac:dyDescent="0.35">
      <c r="A1328" s="1">
        <v>45417</v>
      </c>
      <c r="B1328" t="s">
        <v>122</v>
      </c>
      <c r="C1328" s="2">
        <v>0.41890046296296296</v>
      </c>
      <c r="D1328" t="s">
        <v>2891</v>
      </c>
      <c r="E1328" t="s">
        <v>41</v>
      </c>
      <c r="F1328" t="s">
        <v>2892</v>
      </c>
      <c r="G1328" t="s">
        <v>34</v>
      </c>
      <c r="H1328" t="s">
        <v>143</v>
      </c>
      <c r="I1328" t="s">
        <v>739</v>
      </c>
      <c r="J1328">
        <v>2.9</v>
      </c>
      <c r="K1328">
        <v>22.8</v>
      </c>
      <c r="L1328" t="s">
        <v>29</v>
      </c>
      <c r="M1328" t="s">
        <v>29</v>
      </c>
      <c r="N1328" t="s">
        <v>29</v>
      </c>
      <c r="O1328" t="s">
        <v>29</v>
      </c>
      <c r="P1328" t="s">
        <v>29</v>
      </c>
      <c r="Q1328" t="s">
        <v>29</v>
      </c>
      <c r="R1328">
        <v>148</v>
      </c>
      <c r="S1328">
        <v>25.88</v>
      </c>
      <c r="T1328">
        <v>4.2</v>
      </c>
      <c r="U1328">
        <v>4.4000000000000004</v>
      </c>
      <c r="V1328" t="s">
        <v>38</v>
      </c>
    </row>
    <row r="1329" spans="1:22" x14ac:dyDescent="0.35">
      <c r="A1329" s="1">
        <v>45643</v>
      </c>
      <c r="B1329" t="s">
        <v>78</v>
      </c>
      <c r="C1329" s="2">
        <v>0.58862268518518523</v>
      </c>
      <c r="D1329" t="s">
        <v>2893</v>
      </c>
      <c r="E1329" t="s">
        <v>41</v>
      </c>
      <c r="F1329" t="s">
        <v>2894</v>
      </c>
      <c r="G1329" t="s">
        <v>67</v>
      </c>
      <c r="H1329" t="s">
        <v>346</v>
      </c>
      <c r="I1329" t="s">
        <v>129</v>
      </c>
      <c r="J1329">
        <v>11.5</v>
      </c>
      <c r="K1329">
        <v>26.9</v>
      </c>
      <c r="L1329" t="s">
        <v>29</v>
      </c>
      <c r="M1329" t="s">
        <v>29</v>
      </c>
      <c r="N1329" t="s">
        <v>29</v>
      </c>
      <c r="O1329" t="s">
        <v>29</v>
      </c>
      <c r="P1329" t="s">
        <v>29</v>
      </c>
      <c r="Q1329" t="s">
        <v>29</v>
      </c>
      <c r="R1329">
        <v>106</v>
      </c>
      <c r="S1329">
        <v>43.23</v>
      </c>
      <c r="T1329">
        <v>4.7</v>
      </c>
      <c r="U1329">
        <v>4.3</v>
      </c>
      <c r="V1329" t="s">
        <v>46</v>
      </c>
    </row>
    <row r="1330" spans="1:22" x14ac:dyDescent="0.35">
      <c r="A1330" s="1">
        <v>45491</v>
      </c>
      <c r="B1330" t="s">
        <v>108</v>
      </c>
      <c r="C1330" s="2">
        <v>0.24454861111111112</v>
      </c>
      <c r="D1330" t="s">
        <v>2895</v>
      </c>
      <c r="E1330" t="s">
        <v>117</v>
      </c>
      <c r="F1330" t="s">
        <v>2896</v>
      </c>
      <c r="G1330" t="s">
        <v>67</v>
      </c>
      <c r="H1330" t="s">
        <v>808</v>
      </c>
      <c r="I1330" t="s">
        <v>111</v>
      </c>
      <c r="J1330">
        <v>13</v>
      </c>
      <c r="K1330" t="s">
        <v>29</v>
      </c>
      <c r="L1330">
        <v>1</v>
      </c>
      <c r="M1330" t="s">
        <v>224</v>
      </c>
      <c r="N1330" t="s">
        <v>29</v>
      </c>
      <c r="O1330" t="s">
        <v>29</v>
      </c>
      <c r="P1330" t="s">
        <v>29</v>
      </c>
      <c r="Q1330" t="s">
        <v>29</v>
      </c>
      <c r="R1330" t="s">
        <v>29</v>
      </c>
      <c r="S1330" t="s">
        <v>29</v>
      </c>
      <c r="T1330" t="s">
        <v>29</v>
      </c>
      <c r="U1330" t="s">
        <v>29</v>
      </c>
      <c r="V1330" t="s">
        <v>29</v>
      </c>
    </row>
    <row r="1331" spans="1:22" x14ac:dyDescent="0.35">
      <c r="A1331" s="1">
        <v>45410</v>
      </c>
      <c r="B1331" t="s">
        <v>154</v>
      </c>
      <c r="C1331" s="2">
        <v>0.61045138888888884</v>
      </c>
      <c r="D1331" t="s">
        <v>2897</v>
      </c>
      <c r="E1331" t="s">
        <v>41</v>
      </c>
      <c r="F1331" t="s">
        <v>2898</v>
      </c>
      <c r="G1331" t="s">
        <v>50</v>
      </c>
      <c r="H1331" t="s">
        <v>290</v>
      </c>
      <c r="I1331" t="s">
        <v>498</v>
      </c>
      <c r="J1331">
        <v>6</v>
      </c>
      <c r="K1331">
        <v>26</v>
      </c>
      <c r="L1331" t="s">
        <v>29</v>
      </c>
      <c r="M1331" t="s">
        <v>29</v>
      </c>
      <c r="N1331" t="s">
        <v>29</v>
      </c>
      <c r="O1331" t="s">
        <v>29</v>
      </c>
      <c r="P1331" t="s">
        <v>29</v>
      </c>
      <c r="Q1331" t="s">
        <v>29</v>
      </c>
      <c r="R1331">
        <v>1072</v>
      </c>
      <c r="S1331">
        <v>43.56</v>
      </c>
      <c r="T1331">
        <v>4.0999999999999996</v>
      </c>
      <c r="U1331">
        <v>4.9000000000000004</v>
      </c>
      <c r="V1331" t="s">
        <v>84</v>
      </c>
    </row>
    <row r="1332" spans="1:22" x14ac:dyDescent="0.35">
      <c r="A1332" s="1">
        <v>45616</v>
      </c>
      <c r="B1332" t="s">
        <v>30</v>
      </c>
      <c r="C1332" s="2">
        <v>0.74674768518518519</v>
      </c>
      <c r="D1332" t="s">
        <v>2899</v>
      </c>
      <c r="E1332" t="s">
        <v>24</v>
      </c>
      <c r="F1332" t="s">
        <v>2900</v>
      </c>
      <c r="G1332" t="s">
        <v>56</v>
      </c>
      <c r="H1332" t="s">
        <v>714</v>
      </c>
      <c r="I1332" t="s">
        <v>190</v>
      </c>
      <c r="J1332" t="s">
        <v>29</v>
      </c>
      <c r="K1332" t="s">
        <v>29</v>
      </c>
      <c r="L1332" t="s">
        <v>29</v>
      </c>
      <c r="M1332" t="s">
        <v>29</v>
      </c>
      <c r="N1332" t="s">
        <v>29</v>
      </c>
      <c r="O1332" t="s">
        <v>29</v>
      </c>
      <c r="P1332" t="s">
        <v>29</v>
      </c>
      <c r="Q1332" t="s">
        <v>29</v>
      </c>
      <c r="R1332" t="s">
        <v>29</v>
      </c>
      <c r="S1332" t="s">
        <v>29</v>
      </c>
      <c r="T1332" t="s">
        <v>29</v>
      </c>
      <c r="U1332" t="s">
        <v>29</v>
      </c>
      <c r="V1332" t="s">
        <v>29</v>
      </c>
    </row>
    <row r="1333" spans="1:22" x14ac:dyDescent="0.35">
      <c r="A1333" s="1">
        <v>45543</v>
      </c>
      <c r="B1333" t="s">
        <v>53</v>
      </c>
      <c r="C1333" s="2">
        <v>0.85755787037037035</v>
      </c>
      <c r="D1333" t="s">
        <v>2901</v>
      </c>
      <c r="E1333" t="s">
        <v>41</v>
      </c>
      <c r="F1333" t="s">
        <v>2902</v>
      </c>
      <c r="G1333" t="s">
        <v>67</v>
      </c>
      <c r="H1333" t="s">
        <v>636</v>
      </c>
      <c r="I1333" t="s">
        <v>72</v>
      </c>
      <c r="J1333">
        <v>6.9</v>
      </c>
      <c r="K1333">
        <v>15.9</v>
      </c>
      <c r="L1333" t="s">
        <v>29</v>
      </c>
      <c r="M1333" t="s">
        <v>29</v>
      </c>
      <c r="N1333" t="s">
        <v>29</v>
      </c>
      <c r="O1333" t="s">
        <v>29</v>
      </c>
      <c r="P1333" t="s">
        <v>29</v>
      </c>
      <c r="Q1333" t="s">
        <v>29</v>
      </c>
      <c r="R1333">
        <v>3453</v>
      </c>
      <c r="S1333">
        <v>18.13</v>
      </c>
      <c r="T1333">
        <v>4.0999999999999996</v>
      </c>
      <c r="U1333">
        <v>4.0999999999999996</v>
      </c>
      <c r="V1333" t="s">
        <v>84</v>
      </c>
    </row>
    <row r="1334" spans="1:22" x14ac:dyDescent="0.35">
      <c r="A1334" s="1">
        <v>45335</v>
      </c>
      <c r="B1334" t="s">
        <v>59</v>
      </c>
      <c r="C1334" s="2">
        <v>0.8659606481481481</v>
      </c>
      <c r="D1334" t="s">
        <v>2903</v>
      </c>
      <c r="E1334" t="s">
        <v>24</v>
      </c>
      <c r="F1334" t="s">
        <v>2904</v>
      </c>
      <c r="G1334" t="s">
        <v>146</v>
      </c>
      <c r="H1334" t="s">
        <v>239</v>
      </c>
      <c r="I1334" t="s">
        <v>96</v>
      </c>
      <c r="J1334" t="s">
        <v>29</v>
      </c>
      <c r="K1334" t="s">
        <v>29</v>
      </c>
      <c r="L1334" t="s">
        <v>29</v>
      </c>
      <c r="M1334" t="s">
        <v>29</v>
      </c>
      <c r="N1334" t="s">
        <v>29</v>
      </c>
      <c r="O1334" t="s">
        <v>29</v>
      </c>
      <c r="P1334" t="s">
        <v>29</v>
      </c>
      <c r="Q1334" t="s">
        <v>29</v>
      </c>
      <c r="R1334" t="s">
        <v>29</v>
      </c>
      <c r="S1334" t="s">
        <v>29</v>
      </c>
      <c r="T1334" t="s">
        <v>29</v>
      </c>
      <c r="U1334" t="s">
        <v>29</v>
      </c>
      <c r="V1334" t="s">
        <v>29</v>
      </c>
    </row>
    <row r="1335" spans="1:22" x14ac:dyDescent="0.35">
      <c r="A1335" s="1">
        <v>45322</v>
      </c>
      <c r="B1335" t="s">
        <v>150</v>
      </c>
      <c r="C1335" s="2">
        <v>0.84277777777777774</v>
      </c>
      <c r="D1335" t="s">
        <v>2905</v>
      </c>
      <c r="E1335" t="s">
        <v>93</v>
      </c>
      <c r="F1335" t="s">
        <v>2906</v>
      </c>
      <c r="G1335" t="s">
        <v>67</v>
      </c>
      <c r="H1335" t="s">
        <v>183</v>
      </c>
      <c r="I1335" t="s">
        <v>88</v>
      </c>
      <c r="J1335">
        <v>7.3</v>
      </c>
      <c r="K1335" t="s">
        <v>29</v>
      </c>
      <c r="L1335" t="s">
        <v>29</v>
      </c>
      <c r="M1335" t="s">
        <v>29</v>
      </c>
      <c r="N1335">
        <v>1</v>
      </c>
      <c r="O1335" t="s">
        <v>337</v>
      </c>
      <c r="P1335" t="s">
        <v>29</v>
      </c>
      <c r="Q1335" t="s">
        <v>29</v>
      </c>
      <c r="R1335" t="s">
        <v>29</v>
      </c>
      <c r="S1335" t="s">
        <v>29</v>
      </c>
      <c r="T1335" t="s">
        <v>29</v>
      </c>
      <c r="U1335" t="s">
        <v>29</v>
      </c>
      <c r="V1335" t="s">
        <v>29</v>
      </c>
    </row>
    <row r="1336" spans="1:22" x14ac:dyDescent="0.35">
      <c r="A1336" s="1">
        <v>45638</v>
      </c>
      <c r="B1336" t="s">
        <v>78</v>
      </c>
      <c r="C1336" s="2">
        <v>0.40320601851851851</v>
      </c>
      <c r="D1336" t="s">
        <v>2907</v>
      </c>
      <c r="E1336" t="s">
        <v>41</v>
      </c>
      <c r="F1336" t="s">
        <v>2908</v>
      </c>
      <c r="G1336" t="s">
        <v>34</v>
      </c>
      <c r="H1336" t="s">
        <v>800</v>
      </c>
      <c r="I1336" t="s">
        <v>267</v>
      </c>
      <c r="J1336">
        <v>3.8</v>
      </c>
      <c r="K1336">
        <v>39.1</v>
      </c>
      <c r="L1336" t="s">
        <v>29</v>
      </c>
      <c r="M1336" t="s">
        <v>29</v>
      </c>
      <c r="N1336" t="s">
        <v>29</v>
      </c>
      <c r="O1336" t="s">
        <v>29</v>
      </c>
      <c r="P1336" t="s">
        <v>29</v>
      </c>
      <c r="Q1336" t="s">
        <v>29</v>
      </c>
      <c r="R1336">
        <v>164</v>
      </c>
      <c r="S1336">
        <v>26.19</v>
      </c>
      <c r="T1336">
        <v>4.0999999999999996</v>
      </c>
      <c r="U1336">
        <v>4.4000000000000004</v>
      </c>
      <c r="V1336" t="s">
        <v>149</v>
      </c>
    </row>
    <row r="1337" spans="1:22" x14ac:dyDescent="0.35">
      <c r="A1337" s="1">
        <v>45310</v>
      </c>
      <c r="B1337" t="s">
        <v>150</v>
      </c>
      <c r="C1337" s="2">
        <v>0.65243055555555551</v>
      </c>
      <c r="D1337" t="s">
        <v>2909</v>
      </c>
      <c r="E1337" t="s">
        <v>41</v>
      </c>
      <c r="F1337" t="s">
        <v>2910</v>
      </c>
      <c r="G1337" t="s">
        <v>34</v>
      </c>
      <c r="H1337" t="s">
        <v>132</v>
      </c>
      <c r="I1337" t="s">
        <v>498</v>
      </c>
      <c r="J1337">
        <v>7.6</v>
      </c>
      <c r="K1337">
        <v>35.1</v>
      </c>
      <c r="L1337" t="s">
        <v>29</v>
      </c>
      <c r="M1337" t="s">
        <v>29</v>
      </c>
      <c r="N1337" t="s">
        <v>29</v>
      </c>
      <c r="O1337" t="s">
        <v>29</v>
      </c>
      <c r="P1337" t="s">
        <v>29</v>
      </c>
      <c r="Q1337" t="s">
        <v>29</v>
      </c>
      <c r="R1337">
        <v>819</v>
      </c>
      <c r="S1337">
        <v>14.9</v>
      </c>
      <c r="T1337">
        <v>4.7</v>
      </c>
      <c r="U1337">
        <v>4.2</v>
      </c>
      <c r="V1337" t="s">
        <v>46</v>
      </c>
    </row>
    <row r="1338" spans="1:22" x14ac:dyDescent="0.35">
      <c r="A1338" s="1">
        <v>45642</v>
      </c>
      <c r="B1338" t="s">
        <v>78</v>
      </c>
      <c r="C1338" s="2">
        <v>0.50053240740740745</v>
      </c>
      <c r="D1338" t="s">
        <v>2911</v>
      </c>
      <c r="E1338" t="s">
        <v>41</v>
      </c>
      <c r="F1338" t="s">
        <v>2912</v>
      </c>
      <c r="G1338" t="s">
        <v>56</v>
      </c>
      <c r="H1338" t="s">
        <v>1704</v>
      </c>
      <c r="I1338" t="s">
        <v>565</v>
      </c>
      <c r="J1338">
        <v>12</v>
      </c>
      <c r="K1338">
        <v>28.8</v>
      </c>
      <c r="L1338" t="s">
        <v>29</v>
      </c>
      <c r="M1338" t="s">
        <v>29</v>
      </c>
      <c r="N1338" t="s">
        <v>29</v>
      </c>
      <c r="O1338" t="s">
        <v>29</v>
      </c>
      <c r="P1338" t="s">
        <v>29</v>
      </c>
      <c r="Q1338" t="s">
        <v>29</v>
      </c>
      <c r="R1338">
        <v>853</v>
      </c>
      <c r="S1338">
        <v>25.15</v>
      </c>
      <c r="T1338">
        <v>4.2</v>
      </c>
      <c r="U1338">
        <v>3.7</v>
      </c>
      <c r="V1338" t="s">
        <v>38</v>
      </c>
    </row>
    <row r="1339" spans="1:22" x14ac:dyDescent="0.35">
      <c r="A1339" s="1">
        <v>45304</v>
      </c>
      <c r="B1339" t="s">
        <v>150</v>
      </c>
      <c r="C1339" s="2">
        <v>0.47057870370370369</v>
      </c>
      <c r="D1339" t="s">
        <v>2913</v>
      </c>
      <c r="E1339" t="s">
        <v>41</v>
      </c>
      <c r="F1339" t="s">
        <v>2914</v>
      </c>
      <c r="G1339" t="s">
        <v>34</v>
      </c>
      <c r="H1339" t="s">
        <v>808</v>
      </c>
      <c r="I1339" t="s">
        <v>198</v>
      </c>
      <c r="J1339">
        <v>3.2</v>
      </c>
      <c r="K1339">
        <v>35.700000000000003</v>
      </c>
      <c r="L1339" t="s">
        <v>29</v>
      </c>
      <c r="M1339" t="s">
        <v>29</v>
      </c>
      <c r="N1339" t="s">
        <v>29</v>
      </c>
      <c r="O1339" t="s">
        <v>29</v>
      </c>
      <c r="P1339" t="s">
        <v>29</v>
      </c>
      <c r="Q1339" t="s">
        <v>29</v>
      </c>
      <c r="R1339">
        <v>1384</v>
      </c>
      <c r="S1339">
        <v>24.35</v>
      </c>
      <c r="T1339">
        <v>4.5999999999999996</v>
      </c>
      <c r="U1339">
        <v>4.8</v>
      </c>
      <c r="V1339" t="s">
        <v>149</v>
      </c>
    </row>
    <row r="1340" spans="1:22" x14ac:dyDescent="0.35">
      <c r="A1340" s="1">
        <v>45316</v>
      </c>
      <c r="B1340" t="s">
        <v>150</v>
      </c>
      <c r="C1340" s="2">
        <v>0.32222222222222224</v>
      </c>
      <c r="D1340" t="s">
        <v>2915</v>
      </c>
      <c r="E1340" t="s">
        <v>41</v>
      </c>
      <c r="F1340" t="s">
        <v>2916</v>
      </c>
      <c r="G1340" t="s">
        <v>43</v>
      </c>
      <c r="H1340" t="s">
        <v>336</v>
      </c>
      <c r="I1340" t="s">
        <v>168</v>
      </c>
      <c r="J1340">
        <v>11.6</v>
      </c>
      <c r="K1340">
        <v>15.8</v>
      </c>
      <c r="L1340" t="s">
        <v>29</v>
      </c>
      <c r="M1340" t="s">
        <v>29</v>
      </c>
      <c r="N1340" t="s">
        <v>29</v>
      </c>
      <c r="O1340" t="s">
        <v>29</v>
      </c>
      <c r="P1340" t="s">
        <v>29</v>
      </c>
      <c r="Q1340" t="s">
        <v>29</v>
      </c>
      <c r="R1340">
        <v>794</v>
      </c>
      <c r="S1340">
        <v>23.09</v>
      </c>
      <c r="T1340">
        <v>3.8</v>
      </c>
      <c r="U1340">
        <v>4.2</v>
      </c>
      <c r="V1340" t="s">
        <v>107</v>
      </c>
    </row>
    <row r="1341" spans="1:22" x14ac:dyDescent="0.35">
      <c r="A1341" s="1">
        <v>45396</v>
      </c>
      <c r="B1341" t="s">
        <v>154</v>
      </c>
      <c r="C1341" s="2">
        <v>0.41468749999999999</v>
      </c>
      <c r="D1341" t="s">
        <v>2917</v>
      </c>
      <c r="E1341" t="s">
        <v>41</v>
      </c>
      <c r="F1341" t="s">
        <v>2918</v>
      </c>
      <c r="G1341" t="s">
        <v>34</v>
      </c>
      <c r="H1341" t="s">
        <v>263</v>
      </c>
      <c r="I1341" t="s">
        <v>489</v>
      </c>
      <c r="J1341">
        <v>14.7</v>
      </c>
      <c r="K1341">
        <v>17</v>
      </c>
      <c r="L1341" t="s">
        <v>29</v>
      </c>
      <c r="M1341" t="s">
        <v>29</v>
      </c>
      <c r="N1341" t="s">
        <v>29</v>
      </c>
      <c r="O1341" t="s">
        <v>29</v>
      </c>
      <c r="P1341" t="s">
        <v>29</v>
      </c>
      <c r="Q1341" t="s">
        <v>29</v>
      </c>
      <c r="R1341">
        <v>92</v>
      </c>
      <c r="S1341">
        <v>46.1</v>
      </c>
      <c r="T1341">
        <v>4.4000000000000004</v>
      </c>
      <c r="U1341">
        <v>3.2</v>
      </c>
      <c r="V1341" t="s">
        <v>84</v>
      </c>
    </row>
    <row r="1342" spans="1:22" x14ac:dyDescent="0.35">
      <c r="A1342" s="1">
        <v>45506</v>
      </c>
      <c r="B1342" t="s">
        <v>39</v>
      </c>
      <c r="C1342" s="2">
        <v>0.63607638888888884</v>
      </c>
      <c r="D1342" t="s">
        <v>2919</v>
      </c>
      <c r="E1342" t="s">
        <v>41</v>
      </c>
      <c r="F1342" t="s">
        <v>2920</v>
      </c>
      <c r="G1342" t="s">
        <v>50</v>
      </c>
      <c r="H1342" t="s">
        <v>383</v>
      </c>
      <c r="I1342" t="s">
        <v>892</v>
      </c>
      <c r="J1342">
        <v>13.8</v>
      </c>
      <c r="K1342">
        <v>43.6</v>
      </c>
      <c r="L1342" t="s">
        <v>29</v>
      </c>
      <c r="M1342" t="s">
        <v>29</v>
      </c>
      <c r="N1342" t="s">
        <v>29</v>
      </c>
      <c r="O1342" t="s">
        <v>29</v>
      </c>
      <c r="P1342" t="s">
        <v>29</v>
      </c>
      <c r="Q1342" t="s">
        <v>29</v>
      </c>
      <c r="R1342">
        <v>413</v>
      </c>
      <c r="S1342">
        <v>18.16</v>
      </c>
      <c r="T1342">
        <v>4.4000000000000004</v>
      </c>
      <c r="U1342">
        <v>4.5</v>
      </c>
      <c r="V1342" t="s">
        <v>38</v>
      </c>
    </row>
    <row r="1343" spans="1:22" x14ac:dyDescent="0.35">
      <c r="A1343" s="1">
        <v>45649</v>
      </c>
      <c r="B1343" t="s">
        <v>78</v>
      </c>
      <c r="C1343" s="2">
        <v>0.67569444444444449</v>
      </c>
      <c r="D1343" t="s">
        <v>2921</v>
      </c>
      <c r="E1343" t="s">
        <v>41</v>
      </c>
      <c r="F1343" t="s">
        <v>2922</v>
      </c>
      <c r="G1343" t="s">
        <v>67</v>
      </c>
      <c r="H1343" t="s">
        <v>137</v>
      </c>
      <c r="I1343" t="s">
        <v>132</v>
      </c>
      <c r="J1343">
        <v>13.6</v>
      </c>
      <c r="K1343">
        <v>25.8</v>
      </c>
      <c r="L1343" t="s">
        <v>29</v>
      </c>
      <c r="M1343" t="s">
        <v>29</v>
      </c>
      <c r="N1343" t="s">
        <v>29</v>
      </c>
      <c r="O1343" t="s">
        <v>29</v>
      </c>
      <c r="P1343" t="s">
        <v>29</v>
      </c>
      <c r="Q1343" t="s">
        <v>29</v>
      </c>
      <c r="R1343">
        <v>297</v>
      </c>
      <c r="S1343">
        <v>21.13</v>
      </c>
      <c r="T1343">
        <v>4.3</v>
      </c>
      <c r="U1343">
        <v>4.5999999999999996</v>
      </c>
      <c r="V1343" t="s">
        <v>84</v>
      </c>
    </row>
    <row r="1344" spans="1:22" x14ac:dyDescent="0.35">
      <c r="A1344" s="1">
        <v>45358</v>
      </c>
      <c r="B1344" t="s">
        <v>22</v>
      </c>
      <c r="C1344" s="2">
        <v>0.33476851851851852</v>
      </c>
      <c r="D1344" t="s">
        <v>2923</v>
      </c>
      <c r="E1344" t="s">
        <v>117</v>
      </c>
      <c r="F1344" t="s">
        <v>2924</v>
      </c>
      <c r="G1344" t="s">
        <v>34</v>
      </c>
      <c r="H1344" t="s">
        <v>290</v>
      </c>
      <c r="I1344" t="s">
        <v>88</v>
      </c>
      <c r="J1344">
        <v>5.9</v>
      </c>
      <c r="K1344" t="s">
        <v>29</v>
      </c>
      <c r="L1344">
        <v>1</v>
      </c>
      <c r="M1344" t="s">
        <v>490</v>
      </c>
      <c r="N1344" t="s">
        <v>29</v>
      </c>
      <c r="O1344" t="s">
        <v>29</v>
      </c>
      <c r="P1344" t="s">
        <v>29</v>
      </c>
      <c r="Q1344" t="s">
        <v>29</v>
      </c>
      <c r="R1344" t="s">
        <v>29</v>
      </c>
      <c r="S1344" t="s">
        <v>29</v>
      </c>
      <c r="T1344" t="s">
        <v>29</v>
      </c>
      <c r="U1344" t="s">
        <v>29</v>
      </c>
      <c r="V1344" t="s">
        <v>29</v>
      </c>
    </row>
    <row r="1345" spans="1:22" x14ac:dyDescent="0.35">
      <c r="A1345" s="1">
        <v>45400</v>
      </c>
      <c r="B1345" t="s">
        <v>154</v>
      </c>
      <c r="C1345" s="2">
        <v>0.40023148148148147</v>
      </c>
      <c r="D1345" t="s">
        <v>2925</v>
      </c>
      <c r="E1345" t="s">
        <v>117</v>
      </c>
      <c r="F1345" t="s">
        <v>2926</v>
      </c>
      <c r="G1345" t="s">
        <v>67</v>
      </c>
      <c r="H1345" t="s">
        <v>133</v>
      </c>
      <c r="I1345" t="s">
        <v>254</v>
      </c>
      <c r="J1345">
        <v>14.5</v>
      </c>
      <c r="K1345" t="s">
        <v>29</v>
      </c>
      <c r="L1345">
        <v>1</v>
      </c>
      <c r="M1345" t="s">
        <v>121</v>
      </c>
      <c r="N1345" t="s">
        <v>29</v>
      </c>
      <c r="O1345" t="s">
        <v>29</v>
      </c>
      <c r="P1345" t="s">
        <v>29</v>
      </c>
      <c r="Q1345" t="s">
        <v>29</v>
      </c>
      <c r="R1345" t="s">
        <v>29</v>
      </c>
      <c r="S1345" t="s">
        <v>29</v>
      </c>
      <c r="T1345" t="s">
        <v>29</v>
      </c>
      <c r="U1345" t="s">
        <v>29</v>
      </c>
      <c r="V1345" t="s">
        <v>29</v>
      </c>
    </row>
    <row r="1346" spans="1:22" x14ac:dyDescent="0.35">
      <c r="A1346" s="1">
        <v>45306</v>
      </c>
      <c r="B1346" t="s">
        <v>150</v>
      </c>
      <c r="C1346" s="2">
        <v>0.37646990740740743</v>
      </c>
      <c r="D1346" t="s">
        <v>2927</v>
      </c>
      <c r="E1346" t="s">
        <v>41</v>
      </c>
      <c r="F1346" t="s">
        <v>2928</v>
      </c>
      <c r="G1346" t="s">
        <v>43</v>
      </c>
      <c r="H1346" t="s">
        <v>438</v>
      </c>
      <c r="I1346" t="s">
        <v>654</v>
      </c>
      <c r="J1346">
        <v>14.3</v>
      </c>
      <c r="K1346">
        <v>17.600000000000001</v>
      </c>
      <c r="L1346" t="s">
        <v>29</v>
      </c>
      <c r="M1346" t="s">
        <v>29</v>
      </c>
      <c r="N1346" t="s">
        <v>29</v>
      </c>
      <c r="O1346" t="s">
        <v>29</v>
      </c>
      <c r="P1346" t="s">
        <v>29</v>
      </c>
      <c r="Q1346" t="s">
        <v>29</v>
      </c>
      <c r="R1346">
        <v>1150</v>
      </c>
      <c r="S1346">
        <v>46.37</v>
      </c>
      <c r="T1346">
        <v>4.5</v>
      </c>
      <c r="U1346">
        <v>4.7</v>
      </c>
      <c r="V1346" t="s">
        <v>46</v>
      </c>
    </row>
    <row r="1347" spans="1:22" x14ac:dyDescent="0.35">
      <c r="A1347" s="1">
        <v>45602</v>
      </c>
      <c r="B1347" t="s">
        <v>30</v>
      </c>
      <c r="C1347" s="2">
        <v>0.45361111111111113</v>
      </c>
      <c r="D1347" t="s">
        <v>2929</v>
      </c>
      <c r="E1347" t="s">
        <v>41</v>
      </c>
      <c r="F1347" t="s">
        <v>2930</v>
      </c>
      <c r="G1347" t="s">
        <v>26</v>
      </c>
      <c r="H1347" t="s">
        <v>693</v>
      </c>
      <c r="I1347" t="s">
        <v>549</v>
      </c>
      <c r="J1347">
        <v>14.4</v>
      </c>
      <c r="K1347">
        <v>27.4</v>
      </c>
      <c r="L1347" t="s">
        <v>29</v>
      </c>
      <c r="M1347" t="s">
        <v>29</v>
      </c>
      <c r="N1347" t="s">
        <v>29</v>
      </c>
      <c r="O1347" t="s">
        <v>29</v>
      </c>
      <c r="P1347" t="s">
        <v>29</v>
      </c>
      <c r="Q1347" t="s">
        <v>29</v>
      </c>
      <c r="R1347">
        <v>701</v>
      </c>
      <c r="S1347">
        <v>32.57</v>
      </c>
      <c r="T1347">
        <v>4.4000000000000004</v>
      </c>
      <c r="U1347">
        <v>4.2</v>
      </c>
      <c r="V1347" t="s">
        <v>107</v>
      </c>
    </row>
    <row r="1348" spans="1:22" x14ac:dyDescent="0.35">
      <c r="A1348" s="1">
        <v>45455</v>
      </c>
      <c r="B1348" t="s">
        <v>64</v>
      </c>
      <c r="C1348" s="2">
        <v>0.70425925925925925</v>
      </c>
      <c r="D1348" t="s">
        <v>2931</v>
      </c>
      <c r="E1348" t="s">
        <v>24</v>
      </c>
      <c r="F1348" t="s">
        <v>2932</v>
      </c>
      <c r="G1348" t="s">
        <v>43</v>
      </c>
      <c r="H1348" t="s">
        <v>210</v>
      </c>
      <c r="I1348" t="s">
        <v>248</v>
      </c>
      <c r="J1348" t="s">
        <v>29</v>
      </c>
      <c r="K1348" t="s">
        <v>29</v>
      </c>
      <c r="L1348" t="s">
        <v>29</v>
      </c>
      <c r="M1348" t="s">
        <v>29</v>
      </c>
      <c r="N1348" t="s">
        <v>29</v>
      </c>
      <c r="O1348" t="s">
        <v>29</v>
      </c>
      <c r="P1348" t="s">
        <v>29</v>
      </c>
      <c r="Q1348" t="s">
        <v>29</v>
      </c>
      <c r="R1348" t="s">
        <v>29</v>
      </c>
      <c r="S1348" t="s">
        <v>29</v>
      </c>
      <c r="T1348" t="s">
        <v>29</v>
      </c>
      <c r="U1348" t="s">
        <v>29</v>
      </c>
      <c r="V1348" t="s">
        <v>29</v>
      </c>
    </row>
    <row r="1349" spans="1:22" x14ac:dyDescent="0.35">
      <c r="A1349" s="1">
        <v>45293</v>
      </c>
      <c r="B1349" t="s">
        <v>150</v>
      </c>
      <c r="C1349" s="2">
        <v>0.51922453703703708</v>
      </c>
      <c r="D1349" t="s">
        <v>2933</v>
      </c>
      <c r="E1349" t="s">
        <v>41</v>
      </c>
      <c r="F1349" t="s">
        <v>2934</v>
      </c>
      <c r="G1349" t="s">
        <v>56</v>
      </c>
      <c r="H1349" t="s">
        <v>111</v>
      </c>
      <c r="I1349" t="s">
        <v>585</v>
      </c>
      <c r="J1349">
        <v>10.1</v>
      </c>
      <c r="K1349">
        <v>38.6</v>
      </c>
      <c r="L1349" t="s">
        <v>29</v>
      </c>
      <c r="M1349" t="s">
        <v>29</v>
      </c>
      <c r="N1349" t="s">
        <v>29</v>
      </c>
      <c r="O1349" t="s">
        <v>29</v>
      </c>
      <c r="P1349" t="s">
        <v>29</v>
      </c>
      <c r="Q1349" t="s">
        <v>29</v>
      </c>
      <c r="R1349">
        <v>92</v>
      </c>
      <c r="S1349">
        <v>46.98</v>
      </c>
      <c r="T1349">
        <v>3.8</v>
      </c>
      <c r="U1349">
        <v>3.8</v>
      </c>
      <c r="V1349" t="s">
        <v>38</v>
      </c>
    </row>
    <row r="1350" spans="1:22" x14ac:dyDescent="0.35">
      <c r="A1350" s="1">
        <v>45370</v>
      </c>
      <c r="B1350" t="s">
        <v>22</v>
      </c>
      <c r="C1350" s="2">
        <v>0.28744212962962962</v>
      </c>
      <c r="D1350" t="s">
        <v>2935</v>
      </c>
      <c r="E1350" t="s">
        <v>41</v>
      </c>
      <c r="F1350" t="s">
        <v>2936</v>
      </c>
      <c r="G1350" t="s">
        <v>34</v>
      </c>
      <c r="H1350" t="s">
        <v>383</v>
      </c>
      <c r="I1350" t="s">
        <v>739</v>
      </c>
      <c r="J1350">
        <v>12.2</v>
      </c>
      <c r="K1350">
        <v>31.4</v>
      </c>
      <c r="L1350" t="s">
        <v>29</v>
      </c>
      <c r="M1350" t="s">
        <v>29</v>
      </c>
      <c r="N1350" t="s">
        <v>29</v>
      </c>
      <c r="O1350" t="s">
        <v>29</v>
      </c>
      <c r="P1350" t="s">
        <v>29</v>
      </c>
      <c r="Q1350" t="s">
        <v>29</v>
      </c>
      <c r="R1350">
        <v>52</v>
      </c>
      <c r="S1350">
        <v>46.04</v>
      </c>
      <c r="T1350">
        <v>4.7</v>
      </c>
      <c r="U1350">
        <v>5</v>
      </c>
      <c r="V1350" t="s">
        <v>46</v>
      </c>
    </row>
    <row r="1351" spans="1:22" x14ac:dyDescent="0.35">
      <c r="A1351" s="1">
        <v>45583</v>
      </c>
      <c r="B1351" t="s">
        <v>47</v>
      </c>
      <c r="C1351" s="2">
        <v>0.82383101851851848</v>
      </c>
      <c r="D1351" t="s">
        <v>2937</v>
      </c>
      <c r="E1351" t="s">
        <v>41</v>
      </c>
      <c r="F1351" t="s">
        <v>2938</v>
      </c>
      <c r="G1351" t="s">
        <v>43</v>
      </c>
      <c r="H1351" t="s">
        <v>355</v>
      </c>
      <c r="I1351" t="s">
        <v>442</v>
      </c>
      <c r="J1351">
        <v>7.2</v>
      </c>
      <c r="K1351">
        <v>23.6</v>
      </c>
      <c r="L1351" t="s">
        <v>29</v>
      </c>
      <c r="M1351" t="s">
        <v>29</v>
      </c>
      <c r="N1351" t="s">
        <v>29</v>
      </c>
      <c r="O1351" t="s">
        <v>29</v>
      </c>
      <c r="P1351" t="s">
        <v>29</v>
      </c>
      <c r="Q1351" t="s">
        <v>29</v>
      </c>
      <c r="R1351">
        <v>317</v>
      </c>
      <c r="S1351">
        <v>40.549999999999997</v>
      </c>
      <c r="T1351">
        <v>4.3</v>
      </c>
      <c r="U1351">
        <v>4.2</v>
      </c>
      <c r="V1351" t="s">
        <v>84</v>
      </c>
    </row>
    <row r="1352" spans="1:22" x14ac:dyDescent="0.35">
      <c r="A1352" s="1">
        <v>45559</v>
      </c>
      <c r="B1352" t="s">
        <v>53</v>
      </c>
      <c r="C1352" s="2">
        <v>0.39402777777777775</v>
      </c>
      <c r="D1352" t="s">
        <v>2939</v>
      </c>
      <c r="E1352" t="s">
        <v>93</v>
      </c>
      <c r="F1352" t="s">
        <v>2940</v>
      </c>
      <c r="G1352" t="s">
        <v>43</v>
      </c>
      <c r="H1352" t="s">
        <v>201</v>
      </c>
      <c r="I1352" t="s">
        <v>114</v>
      </c>
      <c r="J1352">
        <v>8.5</v>
      </c>
      <c r="K1352" t="s">
        <v>29</v>
      </c>
      <c r="L1352" t="s">
        <v>29</v>
      </c>
      <c r="M1352" t="s">
        <v>29</v>
      </c>
      <c r="N1352">
        <v>1</v>
      </c>
      <c r="O1352" t="s">
        <v>337</v>
      </c>
      <c r="P1352" t="s">
        <v>29</v>
      </c>
      <c r="Q1352" t="s">
        <v>29</v>
      </c>
      <c r="R1352" t="s">
        <v>29</v>
      </c>
      <c r="S1352" t="s">
        <v>29</v>
      </c>
      <c r="T1352" t="s">
        <v>29</v>
      </c>
      <c r="U1352" t="s">
        <v>29</v>
      </c>
      <c r="V1352" t="s">
        <v>29</v>
      </c>
    </row>
    <row r="1353" spans="1:22" x14ac:dyDescent="0.35">
      <c r="A1353" s="1">
        <v>45382</v>
      </c>
      <c r="B1353" t="s">
        <v>22</v>
      </c>
      <c r="C1353" s="2">
        <v>0.87361111111111112</v>
      </c>
      <c r="D1353" t="s">
        <v>2941</v>
      </c>
      <c r="E1353" t="s">
        <v>41</v>
      </c>
      <c r="F1353" t="s">
        <v>2942</v>
      </c>
      <c r="G1353" t="s">
        <v>43</v>
      </c>
      <c r="H1353" t="s">
        <v>114</v>
      </c>
      <c r="I1353" t="s">
        <v>293</v>
      </c>
      <c r="J1353">
        <v>14.8</v>
      </c>
      <c r="K1353">
        <v>16</v>
      </c>
      <c r="L1353" t="s">
        <v>29</v>
      </c>
      <c r="M1353" t="s">
        <v>29</v>
      </c>
      <c r="N1353" t="s">
        <v>29</v>
      </c>
      <c r="O1353" t="s">
        <v>29</v>
      </c>
      <c r="P1353" t="s">
        <v>29</v>
      </c>
      <c r="Q1353" t="s">
        <v>29</v>
      </c>
      <c r="R1353">
        <v>388</v>
      </c>
      <c r="S1353">
        <v>48.17</v>
      </c>
      <c r="T1353">
        <v>4.3</v>
      </c>
      <c r="U1353">
        <v>4.5999999999999996</v>
      </c>
      <c r="V1353" t="s">
        <v>38</v>
      </c>
    </row>
    <row r="1354" spans="1:22" x14ac:dyDescent="0.35">
      <c r="A1354" s="1">
        <v>45468</v>
      </c>
      <c r="B1354" t="s">
        <v>64</v>
      </c>
      <c r="C1354" s="2">
        <v>8.9467592592592585E-3</v>
      </c>
      <c r="D1354" t="s">
        <v>2943</v>
      </c>
      <c r="E1354" t="s">
        <v>41</v>
      </c>
      <c r="F1354" t="s">
        <v>2944</v>
      </c>
      <c r="G1354" t="s">
        <v>56</v>
      </c>
      <c r="H1354" t="s">
        <v>249</v>
      </c>
      <c r="I1354" t="s">
        <v>168</v>
      </c>
      <c r="J1354">
        <v>5.2</v>
      </c>
      <c r="K1354">
        <v>21.6</v>
      </c>
      <c r="L1354" t="s">
        <v>29</v>
      </c>
      <c r="M1354" t="s">
        <v>29</v>
      </c>
      <c r="N1354" t="s">
        <v>29</v>
      </c>
      <c r="O1354" t="s">
        <v>29</v>
      </c>
      <c r="P1354" t="s">
        <v>29</v>
      </c>
      <c r="Q1354" t="s">
        <v>29</v>
      </c>
      <c r="R1354">
        <v>381</v>
      </c>
      <c r="S1354">
        <v>2.5</v>
      </c>
      <c r="T1354">
        <v>4.4000000000000004</v>
      </c>
      <c r="U1354">
        <v>4.9000000000000004</v>
      </c>
      <c r="V1354" t="s">
        <v>149</v>
      </c>
    </row>
    <row r="1355" spans="1:22" x14ac:dyDescent="0.35">
      <c r="A1355" s="1">
        <v>45310</v>
      </c>
      <c r="B1355" t="s">
        <v>150</v>
      </c>
      <c r="C1355" s="2">
        <v>0.70899305555555558</v>
      </c>
      <c r="D1355" t="s">
        <v>2945</v>
      </c>
      <c r="E1355" t="s">
        <v>32</v>
      </c>
      <c r="F1355" t="s">
        <v>2946</v>
      </c>
      <c r="G1355" t="s">
        <v>56</v>
      </c>
      <c r="H1355" t="s">
        <v>28</v>
      </c>
      <c r="I1355" t="s">
        <v>63</v>
      </c>
      <c r="J1355">
        <v>4.7</v>
      </c>
      <c r="K1355">
        <v>26.7</v>
      </c>
      <c r="L1355" t="s">
        <v>29</v>
      </c>
      <c r="M1355" t="s">
        <v>29</v>
      </c>
      <c r="N1355" t="s">
        <v>29</v>
      </c>
      <c r="O1355" t="s">
        <v>29</v>
      </c>
      <c r="P1355">
        <v>1</v>
      </c>
      <c r="Q1355" t="s">
        <v>302</v>
      </c>
      <c r="R1355">
        <v>429</v>
      </c>
      <c r="S1355">
        <v>16.16</v>
      </c>
      <c r="T1355" t="s">
        <v>29</v>
      </c>
      <c r="U1355" t="s">
        <v>29</v>
      </c>
      <c r="V1355" t="s">
        <v>38</v>
      </c>
    </row>
    <row r="1356" spans="1:22" x14ac:dyDescent="0.35">
      <c r="A1356" s="1">
        <v>45518</v>
      </c>
      <c r="B1356" t="s">
        <v>39</v>
      </c>
      <c r="C1356" s="2">
        <v>0.60386574074074073</v>
      </c>
      <c r="D1356" t="s">
        <v>2947</v>
      </c>
      <c r="E1356" t="s">
        <v>41</v>
      </c>
      <c r="F1356" t="s">
        <v>2948</v>
      </c>
      <c r="G1356" t="s">
        <v>67</v>
      </c>
      <c r="H1356" t="s">
        <v>220</v>
      </c>
      <c r="I1356" t="s">
        <v>463</v>
      </c>
      <c r="J1356">
        <v>14.2</v>
      </c>
      <c r="K1356">
        <v>24.3</v>
      </c>
      <c r="L1356" t="s">
        <v>29</v>
      </c>
      <c r="M1356" t="s">
        <v>29</v>
      </c>
      <c r="N1356" t="s">
        <v>29</v>
      </c>
      <c r="O1356" t="s">
        <v>29</v>
      </c>
      <c r="P1356" t="s">
        <v>29</v>
      </c>
      <c r="Q1356" t="s">
        <v>29</v>
      </c>
      <c r="R1356">
        <v>459</v>
      </c>
      <c r="S1356">
        <v>20.39</v>
      </c>
      <c r="T1356">
        <v>4.3</v>
      </c>
      <c r="U1356">
        <v>4.3</v>
      </c>
      <c r="V1356" t="s">
        <v>38</v>
      </c>
    </row>
    <row r="1357" spans="1:22" x14ac:dyDescent="0.35">
      <c r="A1357" s="1">
        <v>45445</v>
      </c>
      <c r="B1357" t="s">
        <v>64</v>
      </c>
      <c r="C1357" s="2">
        <v>0.66164351851851855</v>
      </c>
      <c r="D1357" t="s">
        <v>2949</v>
      </c>
      <c r="E1357" t="s">
        <v>41</v>
      </c>
      <c r="F1357" t="s">
        <v>2950</v>
      </c>
      <c r="G1357" t="s">
        <v>26</v>
      </c>
      <c r="H1357" t="s">
        <v>498</v>
      </c>
      <c r="I1357" t="s">
        <v>324</v>
      </c>
      <c r="J1357">
        <v>13.3</v>
      </c>
      <c r="K1357">
        <v>40.200000000000003</v>
      </c>
      <c r="L1357" t="s">
        <v>29</v>
      </c>
      <c r="M1357" t="s">
        <v>29</v>
      </c>
      <c r="N1357" t="s">
        <v>29</v>
      </c>
      <c r="O1357" t="s">
        <v>29</v>
      </c>
      <c r="P1357" t="s">
        <v>29</v>
      </c>
      <c r="Q1357" t="s">
        <v>29</v>
      </c>
      <c r="R1357">
        <v>195</v>
      </c>
      <c r="S1357">
        <v>16.55</v>
      </c>
      <c r="T1357">
        <v>3.9</v>
      </c>
      <c r="U1357">
        <v>4.5</v>
      </c>
      <c r="V1357" t="s">
        <v>38</v>
      </c>
    </row>
    <row r="1358" spans="1:22" x14ac:dyDescent="0.35">
      <c r="A1358" s="1">
        <v>45423</v>
      </c>
      <c r="B1358" t="s">
        <v>122</v>
      </c>
      <c r="C1358" s="2">
        <v>0.4481134259259259</v>
      </c>
      <c r="D1358" t="s">
        <v>2951</v>
      </c>
      <c r="E1358" t="s">
        <v>24</v>
      </c>
      <c r="F1358" t="s">
        <v>2952</v>
      </c>
      <c r="G1358" t="s">
        <v>43</v>
      </c>
      <c r="H1358" t="s">
        <v>803</v>
      </c>
      <c r="I1358" t="s">
        <v>73</v>
      </c>
      <c r="J1358" t="s">
        <v>29</v>
      </c>
      <c r="K1358" t="s">
        <v>29</v>
      </c>
      <c r="L1358" t="s">
        <v>29</v>
      </c>
      <c r="M1358" t="s">
        <v>29</v>
      </c>
      <c r="N1358" t="s">
        <v>29</v>
      </c>
      <c r="O1358" t="s">
        <v>29</v>
      </c>
      <c r="P1358" t="s">
        <v>29</v>
      </c>
      <c r="Q1358" t="s">
        <v>29</v>
      </c>
      <c r="R1358" t="s">
        <v>29</v>
      </c>
      <c r="S1358" t="s">
        <v>29</v>
      </c>
      <c r="T1358" t="s">
        <v>29</v>
      </c>
      <c r="U1358" t="s">
        <v>29</v>
      </c>
      <c r="V1358" t="s">
        <v>29</v>
      </c>
    </row>
    <row r="1359" spans="1:22" x14ac:dyDescent="0.35">
      <c r="A1359" s="1">
        <v>45505</v>
      </c>
      <c r="B1359" t="s">
        <v>39</v>
      </c>
      <c r="C1359" s="2">
        <v>0.45123842592592595</v>
      </c>
      <c r="D1359" t="s">
        <v>2953</v>
      </c>
      <c r="E1359" t="s">
        <v>41</v>
      </c>
      <c r="F1359" t="s">
        <v>2954</v>
      </c>
      <c r="G1359" t="s">
        <v>26</v>
      </c>
      <c r="H1359" t="s">
        <v>129</v>
      </c>
      <c r="I1359" t="s">
        <v>555</v>
      </c>
      <c r="J1359">
        <v>14.5</v>
      </c>
      <c r="K1359">
        <v>17.5</v>
      </c>
      <c r="L1359" t="s">
        <v>29</v>
      </c>
      <c r="M1359" t="s">
        <v>29</v>
      </c>
      <c r="N1359" t="s">
        <v>29</v>
      </c>
      <c r="O1359" t="s">
        <v>29</v>
      </c>
      <c r="P1359" t="s">
        <v>29</v>
      </c>
      <c r="Q1359" t="s">
        <v>29</v>
      </c>
      <c r="R1359">
        <v>354</v>
      </c>
      <c r="S1359">
        <v>33.35</v>
      </c>
      <c r="T1359">
        <v>4.3</v>
      </c>
      <c r="U1359">
        <v>4.2</v>
      </c>
      <c r="V1359" t="s">
        <v>84</v>
      </c>
    </row>
    <row r="1360" spans="1:22" x14ac:dyDescent="0.35">
      <c r="A1360" s="1">
        <v>45649</v>
      </c>
      <c r="B1360" t="s">
        <v>78</v>
      </c>
      <c r="C1360" s="2">
        <v>0.61056712962962967</v>
      </c>
      <c r="D1360" t="s">
        <v>2955</v>
      </c>
      <c r="E1360" t="s">
        <v>41</v>
      </c>
      <c r="F1360" t="s">
        <v>2956</v>
      </c>
      <c r="G1360" t="s">
        <v>56</v>
      </c>
      <c r="H1360" t="s">
        <v>590</v>
      </c>
      <c r="I1360" t="s">
        <v>207</v>
      </c>
      <c r="J1360">
        <v>3.7</v>
      </c>
      <c r="K1360">
        <v>24.2</v>
      </c>
      <c r="L1360" t="s">
        <v>29</v>
      </c>
      <c r="M1360" t="s">
        <v>29</v>
      </c>
      <c r="N1360" t="s">
        <v>29</v>
      </c>
      <c r="O1360" t="s">
        <v>29</v>
      </c>
      <c r="P1360" t="s">
        <v>29</v>
      </c>
      <c r="Q1360" t="s">
        <v>29</v>
      </c>
      <c r="R1360">
        <v>145</v>
      </c>
      <c r="S1360">
        <v>9.09</v>
      </c>
      <c r="T1360">
        <v>4.4000000000000004</v>
      </c>
      <c r="U1360">
        <v>4.3</v>
      </c>
      <c r="V1360" t="s">
        <v>38</v>
      </c>
    </row>
    <row r="1361" spans="1:22" x14ac:dyDescent="0.35">
      <c r="A1361" s="1">
        <v>45393</v>
      </c>
      <c r="B1361" t="s">
        <v>154</v>
      </c>
      <c r="C1361" s="2">
        <v>0.62988425925925928</v>
      </c>
      <c r="D1361" t="s">
        <v>2957</v>
      </c>
      <c r="E1361" t="s">
        <v>41</v>
      </c>
      <c r="F1361" t="s">
        <v>2958</v>
      </c>
      <c r="G1361" t="s">
        <v>67</v>
      </c>
      <c r="H1361" t="s">
        <v>616</v>
      </c>
      <c r="I1361" t="s">
        <v>172</v>
      </c>
      <c r="J1361">
        <v>6.7</v>
      </c>
      <c r="K1361">
        <v>28.6</v>
      </c>
      <c r="L1361" t="s">
        <v>29</v>
      </c>
      <c r="M1361" t="s">
        <v>29</v>
      </c>
      <c r="N1361" t="s">
        <v>29</v>
      </c>
      <c r="O1361" t="s">
        <v>29</v>
      </c>
      <c r="P1361" t="s">
        <v>29</v>
      </c>
      <c r="Q1361" t="s">
        <v>29</v>
      </c>
      <c r="R1361">
        <v>386</v>
      </c>
      <c r="S1361">
        <v>19.309999999999999</v>
      </c>
      <c r="T1361">
        <v>3.8</v>
      </c>
      <c r="U1361">
        <v>4.0999999999999996</v>
      </c>
      <c r="V1361" t="s">
        <v>84</v>
      </c>
    </row>
    <row r="1362" spans="1:22" x14ac:dyDescent="0.35">
      <c r="A1362" s="1">
        <v>45608</v>
      </c>
      <c r="B1362" t="s">
        <v>30</v>
      </c>
      <c r="C1362" s="2">
        <v>0.96253472222222225</v>
      </c>
      <c r="D1362" t="s">
        <v>2959</v>
      </c>
      <c r="E1362" t="s">
        <v>41</v>
      </c>
      <c r="F1362" t="s">
        <v>2960</v>
      </c>
      <c r="G1362" t="s">
        <v>56</v>
      </c>
      <c r="H1362" t="s">
        <v>323</v>
      </c>
      <c r="I1362" t="s">
        <v>210</v>
      </c>
      <c r="J1362">
        <v>10.6</v>
      </c>
      <c r="K1362">
        <v>33</v>
      </c>
      <c r="L1362" t="s">
        <v>29</v>
      </c>
      <c r="M1362" t="s">
        <v>29</v>
      </c>
      <c r="N1362" t="s">
        <v>29</v>
      </c>
      <c r="O1362" t="s">
        <v>29</v>
      </c>
      <c r="P1362" t="s">
        <v>29</v>
      </c>
      <c r="Q1362" t="s">
        <v>29</v>
      </c>
      <c r="R1362">
        <v>198</v>
      </c>
      <c r="S1362">
        <v>18.04</v>
      </c>
      <c r="T1362">
        <v>3.8</v>
      </c>
      <c r="U1362">
        <v>4.3</v>
      </c>
      <c r="V1362" t="s">
        <v>38</v>
      </c>
    </row>
    <row r="1363" spans="1:22" x14ac:dyDescent="0.35">
      <c r="A1363" s="1">
        <v>45523</v>
      </c>
      <c r="B1363" t="s">
        <v>39</v>
      </c>
      <c r="C1363" s="2">
        <v>0.85273148148148148</v>
      </c>
      <c r="D1363" t="s">
        <v>2961</v>
      </c>
      <c r="E1363" t="s">
        <v>41</v>
      </c>
      <c r="F1363" t="s">
        <v>2962</v>
      </c>
      <c r="G1363" t="s">
        <v>43</v>
      </c>
      <c r="H1363" t="s">
        <v>280</v>
      </c>
      <c r="I1363" t="s">
        <v>693</v>
      </c>
      <c r="J1363">
        <v>9.3000000000000007</v>
      </c>
      <c r="K1363">
        <v>15.1</v>
      </c>
      <c r="L1363" t="s">
        <v>29</v>
      </c>
      <c r="M1363" t="s">
        <v>29</v>
      </c>
      <c r="N1363" t="s">
        <v>29</v>
      </c>
      <c r="O1363" t="s">
        <v>29</v>
      </c>
      <c r="P1363" t="s">
        <v>29</v>
      </c>
      <c r="Q1363" t="s">
        <v>29</v>
      </c>
      <c r="R1363">
        <v>620</v>
      </c>
      <c r="S1363">
        <v>43.51</v>
      </c>
      <c r="T1363">
        <v>4.4000000000000004</v>
      </c>
      <c r="U1363">
        <v>4.3</v>
      </c>
      <c r="V1363" t="s">
        <v>38</v>
      </c>
    </row>
    <row r="1364" spans="1:22" x14ac:dyDescent="0.35">
      <c r="A1364" s="1">
        <v>45365</v>
      </c>
      <c r="B1364" t="s">
        <v>22</v>
      </c>
      <c r="C1364" s="2">
        <v>0.40369212962962964</v>
      </c>
      <c r="D1364" t="s">
        <v>2963</v>
      </c>
      <c r="E1364" t="s">
        <v>41</v>
      </c>
      <c r="F1364" t="s">
        <v>2964</v>
      </c>
      <c r="G1364" t="s">
        <v>67</v>
      </c>
      <c r="H1364" t="s">
        <v>398</v>
      </c>
      <c r="I1364" t="s">
        <v>377</v>
      </c>
      <c r="J1364">
        <v>12.1</v>
      </c>
      <c r="K1364">
        <v>32.1</v>
      </c>
      <c r="L1364" t="s">
        <v>29</v>
      </c>
      <c r="M1364" t="s">
        <v>29</v>
      </c>
      <c r="N1364" t="s">
        <v>29</v>
      </c>
      <c r="O1364" t="s">
        <v>29</v>
      </c>
      <c r="P1364" t="s">
        <v>29</v>
      </c>
      <c r="Q1364" t="s">
        <v>29</v>
      </c>
      <c r="R1364">
        <v>661</v>
      </c>
      <c r="S1364">
        <v>33.49</v>
      </c>
      <c r="T1364">
        <v>4.2</v>
      </c>
      <c r="U1364">
        <v>5</v>
      </c>
      <c r="V1364" t="s">
        <v>84</v>
      </c>
    </row>
    <row r="1365" spans="1:22" x14ac:dyDescent="0.35">
      <c r="A1365" s="1">
        <v>45470</v>
      </c>
      <c r="B1365" t="s">
        <v>64</v>
      </c>
      <c r="C1365" s="2">
        <v>0.71421296296296299</v>
      </c>
      <c r="D1365" t="s">
        <v>2965</v>
      </c>
      <c r="E1365" t="s">
        <v>41</v>
      </c>
      <c r="F1365" t="s">
        <v>2966</v>
      </c>
      <c r="G1365" t="s">
        <v>26</v>
      </c>
      <c r="H1365" t="s">
        <v>198</v>
      </c>
      <c r="I1365" t="s">
        <v>111</v>
      </c>
      <c r="J1365">
        <v>6.9</v>
      </c>
      <c r="K1365">
        <v>44.7</v>
      </c>
      <c r="L1365" t="s">
        <v>29</v>
      </c>
      <c r="M1365" t="s">
        <v>29</v>
      </c>
      <c r="N1365" t="s">
        <v>29</v>
      </c>
      <c r="O1365" t="s">
        <v>29</v>
      </c>
      <c r="P1365" t="s">
        <v>29</v>
      </c>
      <c r="Q1365" t="s">
        <v>29</v>
      </c>
      <c r="R1365">
        <v>354</v>
      </c>
      <c r="S1365">
        <v>49.59</v>
      </c>
      <c r="T1365">
        <v>4.3</v>
      </c>
      <c r="U1365">
        <v>5</v>
      </c>
      <c r="V1365" t="s">
        <v>84</v>
      </c>
    </row>
    <row r="1366" spans="1:22" x14ac:dyDescent="0.35">
      <c r="A1366" s="1">
        <v>45532</v>
      </c>
      <c r="B1366" t="s">
        <v>39</v>
      </c>
      <c r="C1366" s="2">
        <v>0.64901620370370372</v>
      </c>
      <c r="D1366" t="s">
        <v>2967</v>
      </c>
      <c r="E1366" t="s">
        <v>117</v>
      </c>
      <c r="F1366" t="s">
        <v>2968</v>
      </c>
      <c r="G1366" t="s">
        <v>43</v>
      </c>
      <c r="H1366" t="s">
        <v>129</v>
      </c>
      <c r="I1366" t="s">
        <v>52</v>
      </c>
      <c r="J1366">
        <v>14.7</v>
      </c>
      <c r="K1366" t="s">
        <v>29</v>
      </c>
      <c r="L1366">
        <v>1</v>
      </c>
      <c r="M1366" t="s">
        <v>420</v>
      </c>
      <c r="N1366" t="s">
        <v>29</v>
      </c>
      <c r="O1366" t="s">
        <v>29</v>
      </c>
      <c r="P1366" t="s">
        <v>29</v>
      </c>
      <c r="Q1366" t="s">
        <v>29</v>
      </c>
      <c r="R1366" t="s">
        <v>29</v>
      </c>
      <c r="S1366" t="s">
        <v>29</v>
      </c>
      <c r="T1366" t="s">
        <v>29</v>
      </c>
      <c r="U1366" t="s">
        <v>29</v>
      </c>
      <c r="V1366" t="s">
        <v>29</v>
      </c>
    </row>
    <row r="1367" spans="1:22" x14ac:dyDescent="0.35">
      <c r="A1367" s="1">
        <v>45390</v>
      </c>
      <c r="B1367" t="s">
        <v>154</v>
      </c>
      <c r="C1367" s="2">
        <v>0.16047453703703704</v>
      </c>
      <c r="D1367" t="s">
        <v>2969</v>
      </c>
      <c r="E1367" t="s">
        <v>41</v>
      </c>
      <c r="F1367" t="s">
        <v>2970</v>
      </c>
      <c r="G1367" t="s">
        <v>34</v>
      </c>
      <c r="H1367" t="s">
        <v>336</v>
      </c>
      <c r="I1367" t="s">
        <v>435</v>
      </c>
      <c r="J1367">
        <v>7.5</v>
      </c>
      <c r="K1367">
        <v>37.9</v>
      </c>
      <c r="L1367" t="s">
        <v>29</v>
      </c>
      <c r="M1367" t="s">
        <v>29</v>
      </c>
      <c r="N1367" t="s">
        <v>29</v>
      </c>
      <c r="O1367" t="s">
        <v>29</v>
      </c>
      <c r="P1367" t="s">
        <v>29</v>
      </c>
      <c r="Q1367" t="s">
        <v>29</v>
      </c>
      <c r="R1367">
        <v>390</v>
      </c>
      <c r="S1367">
        <v>19.149999999999999</v>
      </c>
      <c r="T1367">
        <v>4.2</v>
      </c>
      <c r="U1367">
        <v>4.0999999999999996</v>
      </c>
      <c r="V1367" t="s">
        <v>38</v>
      </c>
    </row>
    <row r="1368" spans="1:22" x14ac:dyDescent="0.35">
      <c r="A1368" s="1">
        <v>45549</v>
      </c>
      <c r="B1368" t="s">
        <v>53</v>
      </c>
      <c r="C1368" s="2">
        <v>0.85076388888888888</v>
      </c>
      <c r="D1368" t="s">
        <v>2971</v>
      </c>
      <c r="E1368" t="s">
        <v>41</v>
      </c>
      <c r="F1368" t="s">
        <v>2972</v>
      </c>
      <c r="G1368" t="s">
        <v>43</v>
      </c>
      <c r="H1368" t="s">
        <v>430</v>
      </c>
      <c r="I1368" t="s">
        <v>386</v>
      </c>
      <c r="J1368">
        <v>4.0999999999999996</v>
      </c>
      <c r="K1368">
        <v>43.4</v>
      </c>
      <c r="L1368" t="s">
        <v>29</v>
      </c>
      <c r="M1368" t="s">
        <v>29</v>
      </c>
      <c r="N1368" t="s">
        <v>29</v>
      </c>
      <c r="O1368" t="s">
        <v>29</v>
      </c>
      <c r="P1368" t="s">
        <v>29</v>
      </c>
      <c r="Q1368" t="s">
        <v>29</v>
      </c>
      <c r="R1368">
        <v>243</v>
      </c>
      <c r="S1368">
        <v>25.73</v>
      </c>
      <c r="T1368">
        <v>3.8</v>
      </c>
      <c r="U1368">
        <v>4.9000000000000004</v>
      </c>
      <c r="V1368" t="s">
        <v>38</v>
      </c>
    </row>
    <row r="1369" spans="1:22" x14ac:dyDescent="0.35">
      <c r="A1369" s="1">
        <v>45403</v>
      </c>
      <c r="B1369" t="s">
        <v>154</v>
      </c>
      <c r="C1369" s="2">
        <v>0.60285879629629635</v>
      </c>
      <c r="D1369" t="s">
        <v>2973</v>
      </c>
      <c r="E1369" t="s">
        <v>93</v>
      </c>
      <c r="F1369" t="s">
        <v>2974</v>
      </c>
      <c r="G1369" t="s">
        <v>43</v>
      </c>
      <c r="H1369" t="s">
        <v>177</v>
      </c>
      <c r="I1369" t="s">
        <v>391</v>
      </c>
      <c r="J1369">
        <v>9.3000000000000007</v>
      </c>
      <c r="K1369" t="s">
        <v>29</v>
      </c>
      <c r="L1369" t="s">
        <v>29</v>
      </c>
      <c r="M1369" t="s">
        <v>29</v>
      </c>
      <c r="N1369">
        <v>1</v>
      </c>
      <c r="O1369" t="s">
        <v>97</v>
      </c>
      <c r="P1369" t="s">
        <v>29</v>
      </c>
      <c r="Q1369" t="s">
        <v>29</v>
      </c>
      <c r="R1369" t="s">
        <v>29</v>
      </c>
      <c r="S1369" t="s">
        <v>29</v>
      </c>
      <c r="T1369" t="s">
        <v>29</v>
      </c>
      <c r="U1369" t="s">
        <v>29</v>
      </c>
      <c r="V1369" t="s">
        <v>29</v>
      </c>
    </row>
    <row r="1370" spans="1:22" x14ac:dyDescent="0.35">
      <c r="A1370" s="1">
        <v>45480</v>
      </c>
      <c r="B1370" t="s">
        <v>108</v>
      </c>
      <c r="C1370" s="2">
        <v>0.20877314814814815</v>
      </c>
      <c r="D1370" t="s">
        <v>2975</v>
      </c>
      <c r="E1370" t="s">
        <v>41</v>
      </c>
      <c r="F1370" t="s">
        <v>2976</v>
      </c>
      <c r="G1370" t="s">
        <v>50</v>
      </c>
      <c r="H1370" t="s">
        <v>616</v>
      </c>
      <c r="I1370" t="s">
        <v>714</v>
      </c>
      <c r="J1370">
        <v>14.1</v>
      </c>
      <c r="K1370">
        <v>17.2</v>
      </c>
      <c r="L1370" t="s">
        <v>29</v>
      </c>
      <c r="M1370" t="s">
        <v>29</v>
      </c>
      <c r="N1370" t="s">
        <v>29</v>
      </c>
      <c r="O1370" t="s">
        <v>29</v>
      </c>
      <c r="P1370" t="s">
        <v>29</v>
      </c>
      <c r="Q1370" t="s">
        <v>29</v>
      </c>
      <c r="R1370">
        <v>865</v>
      </c>
      <c r="S1370">
        <v>33.96</v>
      </c>
      <c r="T1370">
        <v>3.6</v>
      </c>
      <c r="U1370">
        <v>4.5999999999999996</v>
      </c>
      <c r="V1370" t="s">
        <v>38</v>
      </c>
    </row>
    <row r="1371" spans="1:22" x14ac:dyDescent="0.35">
      <c r="A1371" s="1">
        <v>45379</v>
      </c>
      <c r="B1371" t="s">
        <v>22</v>
      </c>
      <c r="C1371" s="2">
        <v>0.73211805555555554</v>
      </c>
      <c r="D1371" t="s">
        <v>2977</v>
      </c>
      <c r="E1371" t="s">
        <v>41</v>
      </c>
      <c r="F1371" t="s">
        <v>2978</v>
      </c>
      <c r="G1371" t="s">
        <v>67</v>
      </c>
      <c r="H1371" t="s">
        <v>176</v>
      </c>
      <c r="I1371" t="s">
        <v>57</v>
      </c>
      <c r="J1371">
        <v>8.5</v>
      </c>
      <c r="K1371">
        <v>19</v>
      </c>
      <c r="L1371" t="s">
        <v>29</v>
      </c>
      <c r="M1371" t="s">
        <v>29</v>
      </c>
      <c r="N1371" t="s">
        <v>29</v>
      </c>
      <c r="O1371" t="s">
        <v>29</v>
      </c>
      <c r="P1371" t="s">
        <v>29</v>
      </c>
      <c r="Q1371" t="s">
        <v>29</v>
      </c>
      <c r="R1371">
        <v>50</v>
      </c>
      <c r="S1371">
        <v>37.08</v>
      </c>
      <c r="T1371">
        <v>3.3</v>
      </c>
      <c r="U1371">
        <v>4.4000000000000004</v>
      </c>
      <c r="V1371" t="s">
        <v>38</v>
      </c>
    </row>
    <row r="1372" spans="1:22" x14ac:dyDescent="0.35">
      <c r="A1372" s="1">
        <v>45564</v>
      </c>
      <c r="B1372" t="s">
        <v>53</v>
      </c>
      <c r="C1372" s="2">
        <v>0.53268518518518515</v>
      </c>
      <c r="D1372" t="s">
        <v>2979</v>
      </c>
      <c r="E1372" t="s">
        <v>41</v>
      </c>
      <c r="F1372" t="s">
        <v>2980</v>
      </c>
      <c r="G1372" t="s">
        <v>56</v>
      </c>
      <c r="H1372" t="s">
        <v>808</v>
      </c>
      <c r="I1372" t="s">
        <v>221</v>
      </c>
      <c r="J1372">
        <v>12.2</v>
      </c>
      <c r="K1372">
        <v>17.600000000000001</v>
      </c>
      <c r="L1372" t="s">
        <v>29</v>
      </c>
      <c r="M1372" t="s">
        <v>29</v>
      </c>
      <c r="N1372" t="s">
        <v>29</v>
      </c>
      <c r="O1372" t="s">
        <v>29</v>
      </c>
      <c r="P1372" t="s">
        <v>29</v>
      </c>
      <c r="Q1372" t="s">
        <v>29</v>
      </c>
      <c r="R1372">
        <v>582</v>
      </c>
      <c r="S1372">
        <v>48.97</v>
      </c>
      <c r="T1372">
        <v>4.5</v>
      </c>
      <c r="U1372">
        <v>4.2</v>
      </c>
      <c r="V1372" t="s">
        <v>38</v>
      </c>
    </row>
    <row r="1373" spans="1:22" x14ac:dyDescent="0.35">
      <c r="A1373" s="1">
        <v>45643</v>
      </c>
      <c r="B1373" t="s">
        <v>78</v>
      </c>
      <c r="C1373" s="2">
        <v>0.77327546296296301</v>
      </c>
      <c r="D1373" t="s">
        <v>2981</v>
      </c>
      <c r="E1373" t="s">
        <v>41</v>
      </c>
      <c r="F1373" t="s">
        <v>2982</v>
      </c>
      <c r="G1373" t="s">
        <v>43</v>
      </c>
      <c r="H1373" t="s">
        <v>803</v>
      </c>
      <c r="I1373" t="s">
        <v>493</v>
      </c>
      <c r="J1373">
        <v>5.5</v>
      </c>
      <c r="K1373">
        <v>31.8</v>
      </c>
      <c r="L1373" t="s">
        <v>29</v>
      </c>
      <c r="M1373" t="s">
        <v>29</v>
      </c>
      <c r="N1373" t="s">
        <v>29</v>
      </c>
      <c r="O1373" t="s">
        <v>29</v>
      </c>
      <c r="P1373" t="s">
        <v>29</v>
      </c>
      <c r="Q1373" t="s">
        <v>29</v>
      </c>
      <c r="R1373">
        <v>419</v>
      </c>
      <c r="S1373">
        <v>2.38</v>
      </c>
      <c r="T1373">
        <v>4.9000000000000004</v>
      </c>
      <c r="U1373">
        <v>4.5</v>
      </c>
      <c r="V1373" t="s">
        <v>149</v>
      </c>
    </row>
    <row r="1374" spans="1:22" x14ac:dyDescent="0.35">
      <c r="A1374" s="1">
        <v>45405</v>
      </c>
      <c r="B1374" t="s">
        <v>154</v>
      </c>
      <c r="C1374" s="2">
        <v>0.41918981481481482</v>
      </c>
      <c r="D1374" t="s">
        <v>2983</v>
      </c>
      <c r="E1374" t="s">
        <v>41</v>
      </c>
      <c r="F1374" t="s">
        <v>2984</v>
      </c>
      <c r="G1374" t="s">
        <v>50</v>
      </c>
      <c r="H1374" t="s">
        <v>161</v>
      </c>
      <c r="I1374" t="s">
        <v>277</v>
      </c>
      <c r="J1374">
        <v>13.4</v>
      </c>
      <c r="K1374">
        <v>26.6</v>
      </c>
      <c r="L1374" t="s">
        <v>29</v>
      </c>
      <c r="M1374" t="s">
        <v>29</v>
      </c>
      <c r="N1374" t="s">
        <v>29</v>
      </c>
      <c r="O1374" t="s">
        <v>29</v>
      </c>
      <c r="P1374" t="s">
        <v>29</v>
      </c>
      <c r="Q1374" t="s">
        <v>29</v>
      </c>
      <c r="R1374">
        <v>489</v>
      </c>
      <c r="S1374">
        <v>24.79</v>
      </c>
      <c r="T1374">
        <v>4.0999999999999996</v>
      </c>
      <c r="U1374">
        <v>4.8</v>
      </c>
      <c r="V1374" t="s">
        <v>84</v>
      </c>
    </row>
    <row r="1375" spans="1:22" x14ac:dyDescent="0.35">
      <c r="A1375" s="1">
        <v>45448</v>
      </c>
      <c r="B1375" t="s">
        <v>64</v>
      </c>
      <c r="C1375" s="2">
        <v>0.88850694444444445</v>
      </c>
      <c r="D1375" t="s">
        <v>2985</v>
      </c>
      <c r="E1375" t="s">
        <v>41</v>
      </c>
      <c r="F1375" t="s">
        <v>2986</v>
      </c>
      <c r="G1375" t="s">
        <v>67</v>
      </c>
      <c r="H1375" t="s">
        <v>430</v>
      </c>
      <c r="I1375" t="s">
        <v>290</v>
      </c>
      <c r="J1375">
        <v>5.2</v>
      </c>
      <c r="K1375">
        <v>25.7</v>
      </c>
      <c r="L1375" t="s">
        <v>29</v>
      </c>
      <c r="M1375" t="s">
        <v>29</v>
      </c>
      <c r="N1375" t="s">
        <v>29</v>
      </c>
      <c r="O1375" t="s">
        <v>29</v>
      </c>
      <c r="P1375" t="s">
        <v>29</v>
      </c>
      <c r="Q1375" t="s">
        <v>29</v>
      </c>
      <c r="R1375">
        <v>248</v>
      </c>
      <c r="S1375">
        <v>5.93</v>
      </c>
      <c r="T1375">
        <v>4.5999999999999996</v>
      </c>
      <c r="U1375">
        <v>3.3</v>
      </c>
      <c r="V1375" t="s">
        <v>38</v>
      </c>
    </row>
    <row r="1376" spans="1:22" x14ac:dyDescent="0.35">
      <c r="A1376" s="1">
        <v>45316</v>
      </c>
      <c r="B1376" t="s">
        <v>150</v>
      </c>
      <c r="C1376" s="2">
        <v>0.11304398148148148</v>
      </c>
      <c r="D1376" t="s">
        <v>2987</v>
      </c>
      <c r="E1376" t="s">
        <v>41</v>
      </c>
      <c r="F1376" t="s">
        <v>2988</v>
      </c>
      <c r="G1376" t="s">
        <v>56</v>
      </c>
      <c r="H1376" t="s">
        <v>248</v>
      </c>
      <c r="I1376" t="s">
        <v>147</v>
      </c>
      <c r="J1376">
        <v>2.9</v>
      </c>
      <c r="K1376">
        <v>42.5</v>
      </c>
      <c r="L1376" t="s">
        <v>29</v>
      </c>
      <c r="M1376" t="s">
        <v>29</v>
      </c>
      <c r="N1376" t="s">
        <v>29</v>
      </c>
      <c r="O1376" t="s">
        <v>29</v>
      </c>
      <c r="P1376" t="s">
        <v>29</v>
      </c>
      <c r="Q1376" t="s">
        <v>29</v>
      </c>
      <c r="R1376">
        <v>359</v>
      </c>
      <c r="S1376">
        <v>28.71</v>
      </c>
      <c r="T1376">
        <v>4.2</v>
      </c>
      <c r="U1376">
        <v>4.5</v>
      </c>
      <c r="V1376" t="s">
        <v>84</v>
      </c>
    </row>
    <row r="1377" spans="1:22" x14ac:dyDescent="0.35">
      <c r="A1377" s="1">
        <v>45501</v>
      </c>
      <c r="B1377" t="s">
        <v>108</v>
      </c>
      <c r="C1377" s="2">
        <v>0.82797453703703705</v>
      </c>
      <c r="D1377" t="s">
        <v>2989</v>
      </c>
      <c r="E1377" t="s">
        <v>93</v>
      </c>
      <c r="F1377" t="s">
        <v>2990</v>
      </c>
      <c r="G1377" t="s">
        <v>43</v>
      </c>
      <c r="H1377" t="s">
        <v>102</v>
      </c>
      <c r="I1377" t="s">
        <v>477</v>
      </c>
      <c r="J1377">
        <v>10.8</v>
      </c>
      <c r="K1377" t="s">
        <v>29</v>
      </c>
      <c r="L1377" t="s">
        <v>29</v>
      </c>
      <c r="M1377" t="s">
        <v>29</v>
      </c>
      <c r="N1377">
        <v>1</v>
      </c>
      <c r="O1377" t="s">
        <v>115</v>
      </c>
      <c r="P1377" t="s">
        <v>29</v>
      </c>
      <c r="Q1377" t="s">
        <v>29</v>
      </c>
      <c r="R1377" t="s">
        <v>29</v>
      </c>
      <c r="S1377" t="s">
        <v>29</v>
      </c>
      <c r="T1377" t="s">
        <v>29</v>
      </c>
      <c r="U1377" t="s">
        <v>29</v>
      </c>
      <c r="V1377" t="s">
        <v>29</v>
      </c>
    </row>
    <row r="1378" spans="1:22" x14ac:dyDescent="0.35">
      <c r="A1378" s="1">
        <v>45427</v>
      </c>
      <c r="B1378" t="s">
        <v>122</v>
      </c>
      <c r="C1378" s="2">
        <v>0.47503472222222221</v>
      </c>
      <c r="D1378" t="s">
        <v>2991</v>
      </c>
      <c r="E1378" t="s">
        <v>41</v>
      </c>
      <c r="F1378" t="s">
        <v>2992</v>
      </c>
      <c r="G1378" t="s">
        <v>43</v>
      </c>
      <c r="H1378" t="s">
        <v>248</v>
      </c>
      <c r="I1378" t="s">
        <v>62</v>
      </c>
      <c r="J1378">
        <v>10.1</v>
      </c>
      <c r="K1378">
        <v>34.9</v>
      </c>
      <c r="L1378" t="s">
        <v>29</v>
      </c>
      <c r="M1378" t="s">
        <v>29</v>
      </c>
      <c r="N1378" t="s">
        <v>29</v>
      </c>
      <c r="O1378" t="s">
        <v>29</v>
      </c>
      <c r="P1378" t="s">
        <v>29</v>
      </c>
      <c r="Q1378" t="s">
        <v>29</v>
      </c>
      <c r="R1378">
        <v>1643</v>
      </c>
      <c r="S1378">
        <v>30.78</v>
      </c>
      <c r="T1378">
        <v>3.5</v>
      </c>
      <c r="U1378">
        <v>4.0999999999999996</v>
      </c>
      <c r="V1378" t="s">
        <v>107</v>
      </c>
    </row>
    <row r="1379" spans="1:22" x14ac:dyDescent="0.35">
      <c r="A1379" s="1">
        <v>45622</v>
      </c>
      <c r="B1379" t="s">
        <v>30</v>
      </c>
      <c r="C1379" s="2">
        <v>0.73954861111111114</v>
      </c>
      <c r="D1379" t="s">
        <v>2993</v>
      </c>
      <c r="E1379" t="s">
        <v>24</v>
      </c>
      <c r="F1379" t="s">
        <v>2994</v>
      </c>
      <c r="G1379" t="s">
        <v>26</v>
      </c>
      <c r="H1379" t="s">
        <v>281</v>
      </c>
      <c r="I1379" t="s">
        <v>714</v>
      </c>
      <c r="J1379" t="s">
        <v>29</v>
      </c>
      <c r="K1379" t="s">
        <v>29</v>
      </c>
      <c r="L1379" t="s">
        <v>29</v>
      </c>
      <c r="M1379" t="s">
        <v>29</v>
      </c>
      <c r="N1379" t="s">
        <v>29</v>
      </c>
      <c r="O1379" t="s">
        <v>29</v>
      </c>
      <c r="P1379" t="s">
        <v>29</v>
      </c>
      <c r="Q1379" t="s">
        <v>29</v>
      </c>
      <c r="R1379" t="s">
        <v>29</v>
      </c>
      <c r="S1379" t="s">
        <v>29</v>
      </c>
      <c r="T1379" t="s">
        <v>29</v>
      </c>
      <c r="U1379" t="s">
        <v>29</v>
      </c>
      <c r="V1379" t="s">
        <v>29</v>
      </c>
    </row>
    <row r="1380" spans="1:22" x14ac:dyDescent="0.35">
      <c r="A1380" s="1">
        <v>45474</v>
      </c>
      <c r="B1380" t="s">
        <v>108</v>
      </c>
      <c r="C1380" s="2">
        <v>0.43524305555555554</v>
      </c>
      <c r="D1380" t="s">
        <v>2995</v>
      </c>
      <c r="E1380" t="s">
        <v>93</v>
      </c>
      <c r="F1380" t="s">
        <v>2996</v>
      </c>
      <c r="G1380" t="s">
        <v>34</v>
      </c>
      <c r="H1380" t="s">
        <v>474</v>
      </c>
      <c r="I1380" t="s">
        <v>565</v>
      </c>
      <c r="J1380">
        <v>5.0999999999999996</v>
      </c>
      <c r="K1380" t="s">
        <v>29</v>
      </c>
      <c r="L1380" t="s">
        <v>29</v>
      </c>
      <c r="M1380" t="s">
        <v>29</v>
      </c>
      <c r="N1380">
        <v>1</v>
      </c>
      <c r="O1380" t="s">
        <v>97</v>
      </c>
      <c r="P1380" t="s">
        <v>29</v>
      </c>
      <c r="Q1380" t="s">
        <v>29</v>
      </c>
      <c r="R1380" t="s">
        <v>29</v>
      </c>
      <c r="S1380" t="s">
        <v>29</v>
      </c>
      <c r="T1380" t="s">
        <v>29</v>
      </c>
      <c r="U1380" t="s">
        <v>29</v>
      </c>
      <c r="V1380" t="s">
        <v>29</v>
      </c>
    </row>
    <row r="1381" spans="1:22" x14ac:dyDescent="0.35">
      <c r="A1381" s="1">
        <v>45418</v>
      </c>
      <c r="B1381" t="s">
        <v>122</v>
      </c>
      <c r="C1381" s="2">
        <v>0.75484953703703705</v>
      </c>
      <c r="D1381" t="s">
        <v>2997</v>
      </c>
      <c r="E1381" t="s">
        <v>93</v>
      </c>
      <c r="F1381" t="s">
        <v>2998</v>
      </c>
      <c r="G1381" t="s">
        <v>67</v>
      </c>
      <c r="H1381" t="s">
        <v>555</v>
      </c>
      <c r="I1381" t="s">
        <v>398</v>
      </c>
      <c r="J1381">
        <v>9.6999999999999993</v>
      </c>
      <c r="K1381" t="s">
        <v>29</v>
      </c>
      <c r="L1381" t="s">
        <v>29</v>
      </c>
      <c r="M1381" t="s">
        <v>29</v>
      </c>
      <c r="N1381">
        <v>1</v>
      </c>
      <c r="O1381" t="s">
        <v>169</v>
      </c>
      <c r="P1381" t="s">
        <v>29</v>
      </c>
      <c r="Q1381" t="s">
        <v>29</v>
      </c>
      <c r="R1381" t="s">
        <v>29</v>
      </c>
      <c r="S1381" t="s">
        <v>29</v>
      </c>
      <c r="T1381" t="s">
        <v>29</v>
      </c>
      <c r="U1381" t="s">
        <v>29</v>
      </c>
      <c r="V1381" t="s">
        <v>29</v>
      </c>
    </row>
    <row r="1382" spans="1:22" x14ac:dyDescent="0.35">
      <c r="A1382" s="1">
        <v>45421</v>
      </c>
      <c r="B1382" t="s">
        <v>122</v>
      </c>
      <c r="C1382" s="2">
        <v>0.85243055555555558</v>
      </c>
      <c r="D1382" t="s">
        <v>2999</v>
      </c>
      <c r="E1382" t="s">
        <v>93</v>
      </c>
      <c r="F1382" t="s">
        <v>3000</v>
      </c>
      <c r="G1382" t="s">
        <v>26</v>
      </c>
      <c r="H1382" t="s">
        <v>590</v>
      </c>
      <c r="I1382" t="s">
        <v>477</v>
      </c>
      <c r="J1382">
        <v>10.199999999999999</v>
      </c>
      <c r="K1382" t="s">
        <v>29</v>
      </c>
      <c r="L1382" t="s">
        <v>29</v>
      </c>
      <c r="M1382" t="s">
        <v>29</v>
      </c>
      <c r="N1382">
        <v>1</v>
      </c>
      <c r="O1382" t="s">
        <v>337</v>
      </c>
      <c r="P1382" t="s">
        <v>29</v>
      </c>
      <c r="Q1382" t="s">
        <v>29</v>
      </c>
      <c r="R1382" t="s">
        <v>29</v>
      </c>
      <c r="S1382" t="s">
        <v>29</v>
      </c>
      <c r="T1382" t="s">
        <v>29</v>
      </c>
      <c r="U1382" t="s">
        <v>29</v>
      </c>
      <c r="V1382" t="s">
        <v>29</v>
      </c>
    </row>
    <row r="1383" spans="1:22" x14ac:dyDescent="0.35">
      <c r="A1383" s="1">
        <v>45339</v>
      </c>
      <c r="B1383" t="s">
        <v>59</v>
      </c>
      <c r="C1383" s="2">
        <v>0.84819444444444447</v>
      </c>
      <c r="D1383" t="s">
        <v>3001</v>
      </c>
      <c r="E1383" t="s">
        <v>32</v>
      </c>
      <c r="F1383" t="s">
        <v>3002</v>
      </c>
      <c r="G1383" t="s">
        <v>50</v>
      </c>
      <c r="H1383" t="s">
        <v>201</v>
      </c>
      <c r="I1383" t="s">
        <v>235</v>
      </c>
      <c r="J1383">
        <v>7.5</v>
      </c>
      <c r="K1383">
        <v>25.1</v>
      </c>
      <c r="L1383" t="s">
        <v>29</v>
      </c>
      <c r="M1383" t="s">
        <v>29</v>
      </c>
      <c r="N1383" t="s">
        <v>29</v>
      </c>
      <c r="O1383" t="s">
        <v>29</v>
      </c>
      <c r="P1383">
        <v>1</v>
      </c>
      <c r="Q1383" t="s">
        <v>83</v>
      </c>
      <c r="R1383">
        <v>241</v>
      </c>
      <c r="S1383">
        <v>3.54</v>
      </c>
      <c r="T1383" t="s">
        <v>29</v>
      </c>
      <c r="U1383" t="s">
        <v>29</v>
      </c>
      <c r="V1383" t="s">
        <v>38</v>
      </c>
    </row>
    <row r="1384" spans="1:22" x14ac:dyDescent="0.35">
      <c r="A1384" s="1">
        <v>45363</v>
      </c>
      <c r="B1384" t="s">
        <v>22</v>
      </c>
      <c r="C1384" s="2">
        <v>0.43254629629629632</v>
      </c>
      <c r="D1384" t="s">
        <v>3003</v>
      </c>
      <c r="E1384" t="s">
        <v>24</v>
      </c>
      <c r="F1384" t="s">
        <v>3004</v>
      </c>
      <c r="G1384" t="s">
        <v>26</v>
      </c>
      <c r="H1384" t="s">
        <v>412</v>
      </c>
      <c r="I1384" t="s">
        <v>232</v>
      </c>
      <c r="J1384" t="s">
        <v>29</v>
      </c>
      <c r="K1384" t="s">
        <v>29</v>
      </c>
      <c r="L1384" t="s">
        <v>29</v>
      </c>
      <c r="M1384" t="s">
        <v>29</v>
      </c>
      <c r="N1384" t="s">
        <v>29</v>
      </c>
      <c r="O1384" t="s">
        <v>29</v>
      </c>
      <c r="P1384" t="s">
        <v>29</v>
      </c>
      <c r="Q1384" t="s">
        <v>29</v>
      </c>
      <c r="R1384" t="s">
        <v>29</v>
      </c>
      <c r="S1384" t="s">
        <v>29</v>
      </c>
      <c r="T1384" t="s">
        <v>29</v>
      </c>
      <c r="U1384" t="s">
        <v>29</v>
      </c>
      <c r="V1384" t="s">
        <v>29</v>
      </c>
    </row>
    <row r="1385" spans="1:22" x14ac:dyDescent="0.35">
      <c r="A1385" s="1">
        <v>45589</v>
      </c>
      <c r="B1385" t="s">
        <v>47</v>
      </c>
      <c r="C1385" s="2">
        <v>6.0127314814814814E-2</v>
      </c>
      <c r="D1385" t="s">
        <v>3005</v>
      </c>
      <c r="E1385" t="s">
        <v>93</v>
      </c>
      <c r="F1385" t="s">
        <v>3006</v>
      </c>
      <c r="G1385" t="s">
        <v>50</v>
      </c>
      <c r="H1385" t="s">
        <v>377</v>
      </c>
      <c r="I1385" t="s">
        <v>129</v>
      </c>
      <c r="J1385">
        <v>10.7</v>
      </c>
      <c r="K1385" t="s">
        <v>29</v>
      </c>
      <c r="L1385" t="s">
        <v>29</v>
      </c>
      <c r="M1385" t="s">
        <v>29</v>
      </c>
      <c r="N1385">
        <v>1</v>
      </c>
      <c r="O1385" t="s">
        <v>169</v>
      </c>
      <c r="P1385" t="s">
        <v>29</v>
      </c>
      <c r="Q1385" t="s">
        <v>29</v>
      </c>
      <c r="R1385" t="s">
        <v>29</v>
      </c>
      <c r="S1385" t="s">
        <v>29</v>
      </c>
      <c r="T1385" t="s">
        <v>29</v>
      </c>
      <c r="U1385" t="s">
        <v>29</v>
      </c>
      <c r="V1385" t="s">
        <v>29</v>
      </c>
    </row>
    <row r="1386" spans="1:22" x14ac:dyDescent="0.35">
      <c r="A1386" s="1">
        <v>45569</v>
      </c>
      <c r="B1386" t="s">
        <v>47</v>
      </c>
      <c r="C1386" s="2">
        <v>0.78277777777777779</v>
      </c>
      <c r="D1386" t="s">
        <v>3007</v>
      </c>
      <c r="E1386" t="s">
        <v>117</v>
      </c>
      <c r="F1386" t="s">
        <v>3008</v>
      </c>
      <c r="G1386" t="s">
        <v>34</v>
      </c>
      <c r="H1386" t="s">
        <v>332</v>
      </c>
      <c r="I1386" t="s">
        <v>227</v>
      </c>
      <c r="J1386">
        <v>11.7</v>
      </c>
      <c r="K1386" t="s">
        <v>29</v>
      </c>
      <c r="L1386">
        <v>1</v>
      </c>
      <c r="M1386" t="s">
        <v>378</v>
      </c>
      <c r="N1386" t="s">
        <v>29</v>
      </c>
      <c r="O1386" t="s">
        <v>29</v>
      </c>
      <c r="P1386" t="s">
        <v>29</v>
      </c>
      <c r="Q1386" t="s">
        <v>29</v>
      </c>
      <c r="R1386" t="s">
        <v>29</v>
      </c>
      <c r="S1386" t="s">
        <v>29</v>
      </c>
      <c r="T1386" t="s">
        <v>29</v>
      </c>
      <c r="U1386" t="s">
        <v>29</v>
      </c>
      <c r="V1386" t="s">
        <v>29</v>
      </c>
    </row>
    <row r="1387" spans="1:22" x14ac:dyDescent="0.35">
      <c r="A1387" s="1">
        <v>45604</v>
      </c>
      <c r="B1387" t="s">
        <v>30</v>
      </c>
      <c r="C1387" s="2">
        <v>0.98526620370370366</v>
      </c>
      <c r="D1387" t="s">
        <v>3009</v>
      </c>
      <c r="E1387" t="s">
        <v>32</v>
      </c>
      <c r="F1387" t="s">
        <v>3010</v>
      </c>
      <c r="G1387" t="s">
        <v>67</v>
      </c>
      <c r="H1387" t="s">
        <v>263</v>
      </c>
      <c r="I1387" t="s">
        <v>531</v>
      </c>
      <c r="J1387">
        <v>7.7</v>
      </c>
      <c r="K1387">
        <v>21.9</v>
      </c>
      <c r="L1387" t="s">
        <v>29</v>
      </c>
      <c r="M1387" t="s">
        <v>29</v>
      </c>
      <c r="N1387" t="s">
        <v>29</v>
      </c>
      <c r="O1387" t="s">
        <v>29</v>
      </c>
      <c r="P1387">
        <v>1</v>
      </c>
      <c r="Q1387" t="s">
        <v>37</v>
      </c>
      <c r="R1387">
        <v>299</v>
      </c>
      <c r="S1387">
        <v>13.62</v>
      </c>
      <c r="T1387" t="s">
        <v>29</v>
      </c>
      <c r="U1387" t="s">
        <v>29</v>
      </c>
      <c r="V1387" t="s">
        <v>38</v>
      </c>
    </row>
    <row r="1388" spans="1:22" x14ac:dyDescent="0.35">
      <c r="A1388" s="1">
        <v>45613</v>
      </c>
      <c r="B1388" t="s">
        <v>30</v>
      </c>
      <c r="C1388" s="2">
        <v>0.26556712962962964</v>
      </c>
      <c r="D1388" t="s">
        <v>3011</v>
      </c>
      <c r="E1388" t="s">
        <v>117</v>
      </c>
      <c r="F1388" t="s">
        <v>3012</v>
      </c>
      <c r="G1388" t="s">
        <v>67</v>
      </c>
      <c r="H1388" t="s">
        <v>214</v>
      </c>
      <c r="I1388" t="s">
        <v>511</v>
      </c>
      <c r="J1388">
        <v>8.3000000000000007</v>
      </c>
      <c r="K1388" t="s">
        <v>29</v>
      </c>
      <c r="L1388">
        <v>1</v>
      </c>
      <c r="M1388" t="s">
        <v>378</v>
      </c>
      <c r="N1388" t="s">
        <v>29</v>
      </c>
      <c r="O1388" t="s">
        <v>29</v>
      </c>
      <c r="P1388" t="s">
        <v>29</v>
      </c>
      <c r="Q1388" t="s">
        <v>29</v>
      </c>
      <c r="R1388" t="s">
        <v>29</v>
      </c>
      <c r="S1388" t="s">
        <v>29</v>
      </c>
      <c r="T1388" t="s">
        <v>29</v>
      </c>
      <c r="U1388" t="s">
        <v>29</v>
      </c>
      <c r="V1388" t="s">
        <v>29</v>
      </c>
    </row>
    <row r="1389" spans="1:22" x14ac:dyDescent="0.35">
      <c r="A1389" s="1">
        <v>45655</v>
      </c>
      <c r="B1389" t="s">
        <v>78</v>
      </c>
      <c r="C1389" s="2">
        <v>0.43412037037037038</v>
      </c>
      <c r="D1389" t="s">
        <v>3013</v>
      </c>
      <c r="E1389" t="s">
        <v>24</v>
      </c>
      <c r="F1389" t="s">
        <v>3014</v>
      </c>
      <c r="G1389" t="s">
        <v>67</v>
      </c>
      <c r="H1389" t="s">
        <v>227</v>
      </c>
      <c r="I1389" t="s">
        <v>153</v>
      </c>
      <c r="J1389" t="s">
        <v>29</v>
      </c>
      <c r="K1389" t="s">
        <v>29</v>
      </c>
      <c r="L1389" t="s">
        <v>29</v>
      </c>
      <c r="M1389" t="s">
        <v>29</v>
      </c>
      <c r="N1389" t="s">
        <v>29</v>
      </c>
      <c r="O1389" t="s">
        <v>29</v>
      </c>
      <c r="P1389" t="s">
        <v>29</v>
      </c>
      <c r="Q1389" t="s">
        <v>29</v>
      </c>
      <c r="R1389" t="s">
        <v>29</v>
      </c>
      <c r="S1389" t="s">
        <v>29</v>
      </c>
      <c r="T1389" t="s">
        <v>29</v>
      </c>
      <c r="U1389" t="s">
        <v>29</v>
      </c>
      <c r="V1389" t="s">
        <v>29</v>
      </c>
    </row>
    <row r="1390" spans="1:22" x14ac:dyDescent="0.35">
      <c r="A1390" s="1">
        <v>45522</v>
      </c>
      <c r="B1390" t="s">
        <v>39</v>
      </c>
      <c r="C1390" s="2">
        <v>0.85789351851851847</v>
      </c>
      <c r="D1390" t="s">
        <v>3015</v>
      </c>
      <c r="E1390" t="s">
        <v>93</v>
      </c>
      <c r="F1390" t="s">
        <v>3016</v>
      </c>
      <c r="G1390" t="s">
        <v>26</v>
      </c>
      <c r="H1390" t="s">
        <v>333</v>
      </c>
      <c r="I1390" t="s">
        <v>132</v>
      </c>
      <c r="J1390">
        <v>6.4</v>
      </c>
      <c r="K1390" t="s">
        <v>29</v>
      </c>
      <c r="L1390" t="s">
        <v>29</v>
      </c>
      <c r="M1390" t="s">
        <v>29</v>
      </c>
      <c r="N1390">
        <v>1</v>
      </c>
      <c r="O1390" t="s">
        <v>97</v>
      </c>
      <c r="P1390" t="s">
        <v>29</v>
      </c>
      <c r="Q1390" t="s">
        <v>29</v>
      </c>
      <c r="R1390" t="s">
        <v>29</v>
      </c>
      <c r="S1390" t="s">
        <v>29</v>
      </c>
      <c r="T1390" t="s">
        <v>29</v>
      </c>
      <c r="U1390" t="s">
        <v>29</v>
      </c>
      <c r="V1390" t="s">
        <v>29</v>
      </c>
    </row>
    <row r="1391" spans="1:22" x14ac:dyDescent="0.35">
      <c r="A1391" s="1">
        <v>45597</v>
      </c>
      <c r="B1391" t="s">
        <v>30</v>
      </c>
      <c r="C1391" s="2">
        <v>0.39127314814814818</v>
      </c>
      <c r="D1391" t="s">
        <v>3017</v>
      </c>
      <c r="E1391" t="s">
        <v>41</v>
      </c>
      <c r="F1391" t="s">
        <v>3018</v>
      </c>
      <c r="G1391" t="s">
        <v>67</v>
      </c>
      <c r="H1391" t="s">
        <v>254</v>
      </c>
      <c r="I1391" t="s">
        <v>398</v>
      </c>
      <c r="J1391">
        <v>14.7</v>
      </c>
      <c r="K1391">
        <v>44.8</v>
      </c>
      <c r="L1391" t="s">
        <v>29</v>
      </c>
      <c r="M1391" t="s">
        <v>29</v>
      </c>
      <c r="N1391" t="s">
        <v>29</v>
      </c>
      <c r="O1391" t="s">
        <v>29</v>
      </c>
      <c r="P1391" t="s">
        <v>29</v>
      </c>
      <c r="Q1391" t="s">
        <v>29</v>
      </c>
      <c r="R1391">
        <v>357</v>
      </c>
      <c r="S1391">
        <v>5.61</v>
      </c>
      <c r="T1391">
        <v>4.7</v>
      </c>
      <c r="U1391">
        <v>4.5999999999999996</v>
      </c>
      <c r="V1391" t="s">
        <v>107</v>
      </c>
    </row>
    <row r="1392" spans="1:22" x14ac:dyDescent="0.35">
      <c r="A1392" s="1">
        <v>45374</v>
      </c>
      <c r="B1392" t="s">
        <v>22</v>
      </c>
      <c r="C1392" s="2">
        <v>0.24011574074074074</v>
      </c>
      <c r="D1392" t="s">
        <v>3019</v>
      </c>
      <c r="E1392" t="s">
        <v>41</v>
      </c>
      <c r="F1392" t="s">
        <v>3020</v>
      </c>
      <c r="G1392" t="s">
        <v>43</v>
      </c>
      <c r="H1392" t="s">
        <v>36</v>
      </c>
      <c r="I1392" t="s">
        <v>560</v>
      </c>
      <c r="J1392">
        <v>7.7</v>
      </c>
      <c r="K1392">
        <v>43.2</v>
      </c>
      <c r="L1392" t="s">
        <v>29</v>
      </c>
      <c r="M1392" t="s">
        <v>29</v>
      </c>
      <c r="N1392" t="s">
        <v>29</v>
      </c>
      <c r="O1392" t="s">
        <v>29</v>
      </c>
      <c r="P1392" t="s">
        <v>29</v>
      </c>
      <c r="Q1392" t="s">
        <v>29</v>
      </c>
      <c r="R1392">
        <v>1046</v>
      </c>
      <c r="S1392">
        <v>11.6</v>
      </c>
      <c r="T1392">
        <v>3.3</v>
      </c>
      <c r="U1392">
        <v>4.3</v>
      </c>
      <c r="V1392" t="s">
        <v>38</v>
      </c>
    </row>
    <row r="1393" spans="1:22" x14ac:dyDescent="0.35">
      <c r="A1393" s="1">
        <v>45418</v>
      </c>
      <c r="B1393" t="s">
        <v>122</v>
      </c>
      <c r="C1393" s="2">
        <v>0.70458333333333334</v>
      </c>
      <c r="D1393" t="s">
        <v>3021</v>
      </c>
      <c r="E1393" t="s">
        <v>41</v>
      </c>
      <c r="F1393" t="s">
        <v>3022</v>
      </c>
      <c r="G1393" t="s">
        <v>43</v>
      </c>
      <c r="H1393" t="s">
        <v>207</v>
      </c>
      <c r="I1393" t="s">
        <v>114</v>
      </c>
      <c r="J1393">
        <v>12.6</v>
      </c>
      <c r="K1393">
        <v>39.799999999999997</v>
      </c>
      <c r="L1393" t="s">
        <v>29</v>
      </c>
      <c r="M1393" t="s">
        <v>29</v>
      </c>
      <c r="N1393" t="s">
        <v>29</v>
      </c>
      <c r="O1393" t="s">
        <v>29</v>
      </c>
      <c r="P1393" t="s">
        <v>29</v>
      </c>
      <c r="Q1393" t="s">
        <v>29</v>
      </c>
      <c r="R1393">
        <v>887</v>
      </c>
      <c r="S1393">
        <v>28.28</v>
      </c>
      <c r="T1393">
        <v>4.4000000000000004</v>
      </c>
      <c r="U1393">
        <v>4.9000000000000004</v>
      </c>
      <c r="V1393" t="s">
        <v>107</v>
      </c>
    </row>
    <row r="1394" spans="1:22" x14ac:dyDescent="0.35">
      <c r="A1394" s="1">
        <v>45379</v>
      </c>
      <c r="B1394" t="s">
        <v>22</v>
      </c>
      <c r="C1394" s="2">
        <v>0.60817129629629629</v>
      </c>
      <c r="D1394" t="s">
        <v>3023</v>
      </c>
      <c r="E1394" t="s">
        <v>93</v>
      </c>
      <c r="F1394" t="s">
        <v>3024</v>
      </c>
      <c r="G1394" t="s">
        <v>34</v>
      </c>
      <c r="H1394" t="s">
        <v>693</v>
      </c>
      <c r="I1394" t="s">
        <v>249</v>
      </c>
      <c r="J1394">
        <v>6.8</v>
      </c>
      <c r="K1394" t="s">
        <v>29</v>
      </c>
      <c r="L1394" t="s">
        <v>29</v>
      </c>
      <c r="M1394" t="s">
        <v>29</v>
      </c>
      <c r="N1394">
        <v>1</v>
      </c>
      <c r="O1394" t="s">
        <v>169</v>
      </c>
      <c r="P1394" t="s">
        <v>29</v>
      </c>
      <c r="Q1394" t="s">
        <v>29</v>
      </c>
      <c r="R1394" t="s">
        <v>29</v>
      </c>
      <c r="S1394" t="s">
        <v>29</v>
      </c>
      <c r="T1394" t="s">
        <v>29</v>
      </c>
      <c r="U1394" t="s">
        <v>29</v>
      </c>
      <c r="V1394" t="s">
        <v>29</v>
      </c>
    </row>
    <row r="1395" spans="1:22" x14ac:dyDescent="0.35">
      <c r="A1395" s="1">
        <v>45514</v>
      </c>
      <c r="B1395" t="s">
        <v>39</v>
      </c>
      <c r="C1395" s="2">
        <v>0.4569212962962963</v>
      </c>
      <c r="D1395" t="s">
        <v>3025</v>
      </c>
      <c r="E1395" t="s">
        <v>41</v>
      </c>
      <c r="F1395" t="s">
        <v>3026</v>
      </c>
      <c r="G1395" t="s">
        <v>34</v>
      </c>
      <c r="H1395" t="s">
        <v>120</v>
      </c>
      <c r="I1395" t="s">
        <v>207</v>
      </c>
      <c r="J1395">
        <v>5.4</v>
      </c>
      <c r="K1395">
        <v>18.8</v>
      </c>
      <c r="L1395" t="s">
        <v>29</v>
      </c>
      <c r="M1395" t="s">
        <v>29</v>
      </c>
      <c r="N1395" t="s">
        <v>29</v>
      </c>
      <c r="O1395" t="s">
        <v>29</v>
      </c>
      <c r="P1395" t="s">
        <v>29</v>
      </c>
      <c r="Q1395" t="s">
        <v>29</v>
      </c>
      <c r="R1395">
        <v>176</v>
      </c>
      <c r="S1395">
        <v>15.09</v>
      </c>
      <c r="T1395">
        <v>4.2</v>
      </c>
      <c r="U1395">
        <v>4.3</v>
      </c>
      <c r="V1395" t="s">
        <v>84</v>
      </c>
    </row>
    <row r="1396" spans="1:22" x14ac:dyDescent="0.35">
      <c r="A1396" s="1">
        <v>45391</v>
      </c>
      <c r="B1396" t="s">
        <v>154</v>
      </c>
      <c r="C1396" s="2">
        <v>0.76818287037037036</v>
      </c>
      <c r="D1396" t="s">
        <v>3027</v>
      </c>
      <c r="E1396" t="s">
        <v>41</v>
      </c>
      <c r="F1396" t="s">
        <v>3028</v>
      </c>
      <c r="G1396" t="s">
        <v>56</v>
      </c>
      <c r="H1396" t="s">
        <v>531</v>
      </c>
      <c r="I1396" t="s">
        <v>349</v>
      </c>
      <c r="J1396">
        <v>6.8</v>
      </c>
      <c r="K1396">
        <v>40.799999999999997</v>
      </c>
      <c r="L1396" t="s">
        <v>29</v>
      </c>
      <c r="M1396" t="s">
        <v>29</v>
      </c>
      <c r="N1396" t="s">
        <v>29</v>
      </c>
      <c r="O1396" t="s">
        <v>29</v>
      </c>
      <c r="P1396" t="s">
        <v>29</v>
      </c>
      <c r="Q1396" t="s">
        <v>29</v>
      </c>
      <c r="R1396">
        <v>467</v>
      </c>
      <c r="S1396">
        <v>14.72</v>
      </c>
      <c r="T1396">
        <v>3.3</v>
      </c>
      <c r="U1396">
        <v>4.3</v>
      </c>
      <c r="V1396" t="s">
        <v>84</v>
      </c>
    </row>
    <row r="1397" spans="1:22" x14ac:dyDescent="0.35">
      <c r="A1397" s="1">
        <v>45616</v>
      </c>
      <c r="B1397" t="s">
        <v>30</v>
      </c>
      <c r="C1397" s="2">
        <v>0.88725694444444447</v>
      </c>
      <c r="D1397" t="s">
        <v>3029</v>
      </c>
      <c r="E1397" t="s">
        <v>32</v>
      </c>
      <c r="F1397" t="s">
        <v>3030</v>
      </c>
      <c r="G1397" t="s">
        <v>56</v>
      </c>
      <c r="H1397" t="s">
        <v>172</v>
      </c>
      <c r="I1397" t="s">
        <v>377</v>
      </c>
      <c r="J1397">
        <v>2.2999999999999998</v>
      </c>
      <c r="K1397">
        <v>22.8</v>
      </c>
      <c r="L1397" t="s">
        <v>29</v>
      </c>
      <c r="M1397" t="s">
        <v>29</v>
      </c>
      <c r="N1397" t="s">
        <v>29</v>
      </c>
      <c r="O1397" t="s">
        <v>29</v>
      </c>
      <c r="P1397">
        <v>1</v>
      </c>
      <c r="Q1397" t="s">
        <v>302</v>
      </c>
      <c r="R1397">
        <v>597</v>
      </c>
      <c r="S1397">
        <v>6.87</v>
      </c>
      <c r="T1397" t="s">
        <v>29</v>
      </c>
      <c r="U1397" t="s">
        <v>29</v>
      </c>
      <c r="V1397" t="s">
        <v>149</v>
      </c>
    </row>
    <row r="1398" spans="1:22" x14ac:dyDescent="0.35">
      <c r="A1398" s="1">
        <v>45598</v>
      </c>
      <c r="B1398" t="s">
        <v>30</v>
      </c>
      <c r="C1398" s="2">
        <v>0.22939814814814816</v>
      </c>
      <c r="D1398" t="s">
        <v>3031</v>
      </c>
      <c r="E1398" t="s">
        <v>41</v>
      </c>
      <c r="F1398" t="s">
        <v>3032</v>
      </c>
      <c r="G1398" t="s">
        <v>43</v>
      </c>
      <c r="H1398" t="s">
        <v>136</v>
      </c>
      <c r="I1398" t="s">
        <v>189</v>
      </c>
      <c r="J1398">
        <v>3.4</v>
      </c>
      <c r="K1398">
        <v>24.9</v>
      </c>
      <c r="L1398" t="s">
        <v>29</v>
      </c>
      <c r="M1398" t="s">
        <v>29</v>
      </c>
      <c r="N1398" t="s">
        <v>29</v>
      </c>
      <c r="O1398" t="s">
        <v>29</v>
      </c>
      <c r="P1398" t="s">
        <v>29</v>
      </c>
      <c r="Q1398" t="s">
        <v>29</v>
      </c>
      <c r="R1398">
        <v>939</v>
      </c>
      <c r="S1398">
        <v>9.07</v>
      </c>
      <c r="T1398">
        <v>4.3</v>
      </c>
      <c r="U1398">
        <v>4.5999999999999996</v>
      </c>
      <c r="V1398" t="s">
        <v>38</v>
      </c>
    </row>
    <row r="1399" spans="1:22" x14ac:dyDescent="0.35">
      <c r="A1399" s="1">
        <v>45450</v>
      </c>
      <c r="B1399" t="s">
        <v>64</v>
      </c>
      <c r="C1399" s="2">
        <v>0.73684027777777783</v>
      </c>
      <c r="D1399" t="s">
        <v>3033</v>
      </c>
      <c r="E1399" t="s">
        <v>41</v>
      </c>
      <c r="F1399" t="s">
        <v>3034</v>
      </c>
      <c r="G1399" t="s">
        <v>67</v>
      </c>
      <c r="H1399" t="s">
        <v>88</v>
      </c>
      <c r="I1399" t="s">
        <v>197</v>
      </c>
      <c r="J1399">
        <v>12</v>
      </c>
      <c r="K1399">
        <v>44.4</v>
      </c>
      <c r="L1399" t="s">
        <v>29</v>
      </c>
      <c r="M1399" t="s">
        <v>29</v>
      </c>
      <c r="N1399" t="s">
        <v>29</v>
      </c>
      <c r="O1399" t="s">
        <v>29</v>
      </c>
      <c r="P1399" t="s">
        <v>29</v>
      </c>
      <c r="Q1399" t="s">
        <v>29</v>
      </c>
      <c r="R1399">
        <v>462</v>
      </c>
      <c r="S1399">
        <v>47.17</v>
      </c>
      <c r="T1399">
        <v>3.1</v>
      </c>
      <c r="U1399">
        <v>4.0999999999999996</v>
      </c>
      <c r="V1399" t="s">
        <v>38</v>
      </c>
    </row>
    <row r="1400" spans="1:22" x14ac:dyDescent="0.35">
      <c r="A1400" s="1">
        <v>45400</v>
      </c>
      <c r="B1400" t="s">
        <v>154</v>
      </c>
      <c r="C1400" s="2">
        <v>0.8427662037037037</v>
      </c>
      <c r="D1400" t="s">
        <v>3035</v>
      </c>
      <c r="E1400" t="s">
        <v>41</v>
      </c>
      <c r="F1400" t="s">
        <v>3036</v>
      </c>
      <c r="G1400" t="s">
        <v>56</v>
      </c>
      <c r="H1400" t="s">
        <v>180</v>
      </c>
      <c r="I1400" t="s">
        <v>262</v>
      </c>
      <c r="J1400">
        <v>8.1999999999999993</v>
      </c>
      <c r="K1400">
        <v>23</v>
      </c>
      <c r="L1400" t="s">
        <v>29</v>
      </c>
      <c r="M1400" t="s">
        <v>29</v>
      </c>
      <c r="N1400" t="s">
        <v>29</v>
      </c>
      <c r="O1400" t="s">
        <v>29</v>
      </c>
      <c r="P1400" t="s">
        <v>29</v>
      </c>
      <c r="Q1400" t="s">
        <v>29</v>
      </c>
      <c r="R1400">
        <v>335</v>
      </c>
      <c r="S1400">
        <v>47.21</v>
      </c>
      <c r="T1400">
        <v>3.7</v>
      </c>
      <c r="U1400">
        <v>4.8</v>
      </c>
      <c r="V1400" t="s">
        <v>107</v>
      </c>
    </row>
    <row r="1401" spans="1:22" x14ac:dyDescent="0.35">
      <c r="A1401" s="1">
        <v>45398</v>
      </c>
      <c r="B1401" t="s">
        <v>154</v>
      </c>
      <c r="C1401" s="2">
        <v>0.48326388888888888</v>
      </c>
      <c r="D1401" t="s">
        <v>3037</v>
      </c>
      <c r="E1401" t="s">
        <v>41</v>
      </c>
      <c r="F1401" t="s">
        <v>3038</v>
      </c>
      <c r="G1401" t="s">
        <v>50</v>
      </c>
      <c r="H1401" t="s">
        <v>305</v>
      </c>
      <c r="I1401" t="s">
        <v>555</v>
      </c>
      <c r="J1401">
        <v>3.7</v>
      </c>
      <c r="K1401">
        <v>31.9</v>
      </c>
      <c r="L1401" t="s">
        <v>29</v>
      </c>
      <c r="M1401" t="s">
        <v>29</v>
      </c>
      <c r="N1401" t="s">
        <v>29</v>
      </c>
      <c r="O1401" t="s">
        <v>29</v>
      </c>
      <c r="P1401" t="s">
        <v>29</v>
      </c>
      <c r="Q1401" t="s">
        <v>29</v>
      </c>
      <c r="R1401">
        <v>332</v>
      </c>
      <c r="S1401">
        <v>48.7</v>
      </c>
      <c r="T1401">
        <v>3.3</v>
      </c>
      <c r="U1401">
        <v>5</v>
      </c>
      <c r="V1401" t="s">
        <v>38</v>
      </c>
    </row>
    <row r="1402" spans="1:22" x14ac:dyDescent="0.35">
      <c r="A1402" s="1">
        <v>45306</v>
      </c>
      <c r="B1402" t="s">
        <v>150</v>
      </c>
      <c r="C1402" s="2">
        <v>0.40469907407407407</v>
      </c>
      <c r="D1402" t="s">
        <v>3039</v>
      </c>
      <c r="E1402" t="s">
        <v>93</v>
      </c>
      <c r="F1402" t="s">
        <v>3040</v>
      </c>
      <c r="G1402" t="s">
        <v>43</v>
      </c>
      <c r="H1402" t="s">
        <v>57</v>
      </c>
      <c r="I1402" t="s">
        <v>346</v>
      </c>
      <c r="J1402">
        <v>6</v>
      </c>
      <c r="K1402" t="s">
        <v>29</v>
      </c>
      <c r="L1402" t="s">
        <v>29</v>
      </c>
      <c r="M1402" t="s">
        <v>29</v>
      </c>
      <c r="N1402">
        <v>1</v>
      </c>
      <c r="O1402" t="s">
        <v>115</v>
      </c>
      <c r="P1402" t="s">
        <v>29</v>
      </c>
      <c r="Q1402" t="s">
        <v>29</v>
      </c>
      <c r="R1402" t="s">
        <v>29</v>
      </c>
      <c r="S1402" t="s">
        <v>29</v>
      </c>
      <c r="T1402" t="s">
        <v>29</v>
      </c>
      <c r="U1402" t="s">
        <v>29</v>
      </c>
      <c r="V1402" t="s">
        <v>29</v>
      </c>
    </row>
    <row r="1403" spans="1:22" x14ac:dyDescent="0.35">
      <c r="A1403" s="1">
        <v>45485</v>
      </c>
      <c r="B1403" t="s">
        <v>108</v>
      </c>
      <c r="C1403" s="2">
        <v>0.48493055555555553</v>
      </c>
      <c r="D1403" t="s">
        <v>3041</v>
      </c>
      <c r="E1403" t="s">
        <v>41</v>
      </c>
      <c r="F1403" t="s">
        <v>3042</v>
      </c>
      <c r="G1403" t="s">
        <v>67</v>
      </c>
      <c r="H1403" t="s">
        <v>102</v>
      </c>
      <c r="I1403" t="s">
        <v>627</v>
      </c>
      <c r="J1403">
        <v>11.7</v>
      </c>
      <c r="K1403">
        <v>15.9</v>
      </c>
      <c r="L1403" t="s">
        <v>29</v>
      </c>
      <c r="M1403" t="s">
        <v>29</v>
      </c>
      <c r="N1403" t="s">
        <v>29</v>
      </c>
      <c r="O1403" t="s">
        <v>29</v>
      </c>
      <c r="P1403" t="s">
        <v>29</v>
      </c>
      <c r="Q1403" t="s">
        <v>29</v>
      </c>
      <c r="R1403">
        <v>960</v>
      </c>
      <c r="S1403">
        <v>34.11</v>
      </c>
      <c r="T1403">
        <v>4.5999999999999996</v>
      </c>
      <c r="U1403">
        <v>5</v>
      </c>
      <c r="V1403" t="s">
        <v>46</v>
      </c>
    </row>
    <row r="1404" spans="1:22" x14ac:dyDescent="0.35">
      <c r="A1404" s="1">
        <v>45416</v>
      </c>
      <c r="B1404" t="s">
        <v>122</v>
      </c>
      <c r="C1404" s="2">
        <v>0.2933912037037037</v>
      </c>
      <c r="D1404" t="s">
        <v>3043</v>
      </c>
      <c r="E1404" t="s">
        <v>93</v>
      </c>
      <c r="F1404" t="s">
        <v>3044</v>
      </c>
      <c r="G1404" t="s">
        <v>50</v>
      </c>
      <c r="H1404" t="s">
        <v>290</v>
      </c>
      <c r="I1404" t="s">
        <v>227</v>
      </c>
      <c r="J1404">
        <v>8.1999999999999993</v>
      </c>
      <c r="K1404" t="s">
        <v>29</v>
      </c>
      <c r="L1404" t="s">
        <v>29</v>
      </c>
      <c r="M1404" t="s">
        <v>29</v>
      </c>
      <c r="N1404">
        <v>1</v>
      </c>
      <c r="O1404" t="s">
        <v>97</v>
      </c>
      <c r="P1404" t="s">
        <v>29</v>
      </c>
      <c r="Q1404" t="s">
        <v>29</v>
      </c>
      <c r="R1404" t="s">
        <v>29</v>
      </c>
      <c r="S1404" t="s">
        <v>29</v>
      </c>
      <c r="T1404" t="s">
        <v>29</v>
      </c>
      <c r="U1404" t="s">
        <v>29</v>
      </c>
      <c r="V1404" t="s">
        <v>29</v>
      </c>
    </row>
    <row r="1405" spans="1:22" x14ac:dyDescent="0.35">
      <c r="A1405" s="1">
        <v>45524</v>
      </c>
      <c r="B1405" t="s">
        <v>39</v>
      </c>
      <c r="C1405" s="2">
        <v>0.65997685185185184</v>
      </c>
      <c r="D1405" t="s">
        <v>3045</v>
      </c>
      <c r="E1405" t="s">
        <v>93</v>
      </c>
      <c r="F1405" t="s">
        <v>3046</v>
      </c>
      <c r="G1405" t="s">
        <v>67</v>
      </c>
      <c r="H1405" t="s">
        <v>435</v>
      </c>
      <c r="I1405" t="s">
        <v>858</v>
      </c>
      <c r="J1405">
        <v>11.9</v>
      </c>
      <c r="K1405" t="s">
        <v>29</v>
      </c>
      <c r="L1405" t="s">
        <v>29</v>
      </c>
      <c r="M1405" t="s">
        <v>29</v>
      </c>
      <c r="N1405">
        <v>1</v>
      </c>
      <c r="O1405" t="s">
        <v>115</v>
      </c>
      <c r="P1405" t="s">
        <v>29</v>
      </c>
      <c r="Q1405" t="s">
        <v>29</v>
      </c>
      <c r="R1405" t="s">
        <v>29</v>
      </c>
      <c r="S1405" t="s">
        <v>29</v>
      </c>
      <c r="T1405" t="s">
        <v>29</v>
      </c>
      <c r="U1405" t="s">
        <v>29</v>
      </c>
      <c r="V1405" t="s">
        <v>29</v>
      </c>
    </row>
    <row r="1406" spans="1:22" x14ac:dyDescent="0.35">
      <c r="A1406" s="1">
        <v>45388</v>
      </c>
      <c r="B1406" t="s">
        <v>154</v>
      </c>
      <c r="C1406" s="2">
        <v>0.65159722222222227</v>
      </c>
      <c r="D1406" t="s">
        <v>3047</v>
      </c>
      <c r="E1406" t="s">
        <v>41</v>
      </c>
      <c r="F1406" t="s">
        <v>3048</v>
      </c>
      <c r="G1406" t="s">
        <v>67</v>
      </c>
      <c r="H1406" t="s">
        <v>69</v>
      </c>
      <c r="I1406" t="s">
        <v>35</v>
      </c>
      <c r="J1406">
        <v>13.5</v>
      </c>
      <c r="K1406">
        <v>38</v>
      </c>
      <c r="L1406" t="s">
        <v>29</v>
      </c>
      <c r="M1406" t="s">
        <v>29</v>
      </c>
      <c r="N1406" t="s">
        <v>29</v>
      </c>
      <c r="O1406" t="s">
        <v>29</v>
      </c>
      <c r="P1406" t="s">
        <v>29</v>
      </c>
      <c r="Q1406" t="s">
        <v>29</v>
      </c>
      <c r="R1406">
        <v>3227</v>
      </c>
      <c r="S1406">
        <v>49.86</v>
      </c>
      <c r="T1406">
        <v>4.5999999999999996</v>
      </c>
      <c r="U1406">
        <v>4.4000000000000004</v>
      </c>
      <c r="V1406" t="s">
        <v>84</v>
      </c>
    </row>
    <row r="1407" spans="1:22" x14ac:dyDescent="0.35">
      <c r="A1407" s="1">
        <v>45343</v>
      </c>
      <c r="B1407" t="s">
        <v>59</v>
      </c>
      <c r="C1407" s="2">
        <v>0.59168981481481486</v>
      </c>
      <c r="D1407" t="s">
        <v>3049</v>
      </c>
      <c r="E1407" t="s">
        <v>41</v>
      </c>
      <c r="F1407" t="s">
        <v>3050</v>
      </c>
      <c r="G1407" t="s">
        <v>43</v>
      </c>
      <c r="H1407" t="s">
        <v>962</v>
      </c>
      <c r="I1407" t="s">
        <v>148</v>
      </c>
      <c r="J1407">
        <v>5.7</v>
      </c>
      <c r="K1407">
        <v>28.7</v>
      </c>
      <c r="L1407" t="s">
        <v>29</v>
      </c>
      <c r="M1407" t="s">
        <v>29</v>
      </c>
      <c r="N1407" t="s">
        <v>29</v>
      </c>
      <c r="O1407" t="s">
        <v>29</v>
      </c>
      <c r="P1407" t="s">
        <v>29</v>
      </c>
      <c r="Q1407" t="s">
        <v>29</v>
      </c>
      <c r="R1407">
        <v>645</v>
      </c>
      <c r="S1407">
        <v>22.71</v>
      </c>
      <c r="T1407">
        <v>4.3</v>
      </c>
      <c r="U1407">
        <v>4.5999999999999996</v>
      </c>
      <c r="V1407" t="s">
        <v>38</v>
      </c>
    </row>
    <row r="1408" spans="1:22" x14ac:dyDescent="0.35">
      <c r="A1408" s="1">
        <v>45312</v>
      </c>
      <c r="B1408" t="s">
        <v>150</v>
      </c>
      <c r="C1408" s="2">
        <v>0.69587962962962968</v>
      </c>
      <c r="D1408" t="s">
        <v>3051</v>
      </c>
      <c r="E1408" t="s">
        <v>93</v>
      </c>
      <c r="F1408" t="s">
        <v>3052</v>
      </c>
      <c r="G1408" t="s">
        <v>26</v>
      </c>
      <c r="H1408" t="s">
        <v>211</v>
      </c>
      <c r="I1408" t="s">
        <v>167</v>
      </c>
      <c r="J1408">
        <v>3.8</v>
      </c>
      <c r="K1408" t="s">
        <v>29</v>
      </c>
      <c r="L1408" t="s">
        <v>29</v>
      </c>
      <c r="M1408" t="s">
        <v>29</v>
      </c>
      <c r="N1408">
        <v>1</v>
      </c>
      <c r="O1408" t="s">
        <v>169</v>
      </c>
      <c r="P1408" t="s">
        <v>29</v>
      </c>
      <c r="Q1408" t="s">
        <v>29</v>
      </c>
      <c r="R1408" t="s">
        <v>29</v>
      </c>
      <c r="S1408" t="s">
        <v>29</v>
      </c>
      <c r="T1408" t="s">
        <v>29</v>
      </c>
      <c r="U1408" t="s">
        <v>29</v>
      </c>
      <c r="V1408" t="s">
        <v>29</v>
      </c>
    </row>
    <row r="1409" spans="1:22" x14ac:dyDescent="0.35">
      <c r="A1409" s="1">
        <v>45627</v>
      </c>
      <c r="B1409" t="s">
        <v>78</v>
      </c>
      <c r="C1409" s="2">
        <v>0.49758101851851849</v>
      </c>
      <c r="D1409" t="s">
        <v>3053</v>
      </c>
      <c r="E1409" t="s">
        <v>93</v>
      </c>
      <c r="F1409" t="s">
        <v>3054</v>
      </c>
      <c r="G1409" t="s">
        <v>50</v>
      </c>
      <c r="H1409" t="s">
        <v>114</v>
      </c>
      <c r="I1409" t="s">
        <v>255</v>
      </c>
      <c r="J1409">
        <v>8.4</v>
      </c>
      <c r="K1409" t="s">
        <v>29</v>
      </c>
      <c r="L1409" t="s">
        <v>29</v>
      </c>
      <c r="M1409" t="s">
        <v>29</v>
      </c>
      <c r="N1409">
        <v>1</v>
      </c>
      <c r="O1409" t="s">
        <v>337</v>
      </c>
      <c r="P1409" t="s">
        <v>29</v>
      </c>
      <c r="Q1409" t="s">
        <v>29</v>
      </c>
      <c r="R1409" t="s">
        <v>29</v>
      </c>
      <c r="S1409" t="s">
        <v>29</v>
      </c>
      <c r="T1409" t="s">
        <v>29</v>
      </c>
      <c r="U1409" t="s">
        <v>29</v>
      </c>
      <c r="V1409" t="s">
        <v>29</v>
      </c>
    </row>
    <row r="1410" spans="1:22" x14ac:dyDescent="0.35">
      <c r="A1410" s="1">
        <v>45571</v>
      </c>
      <c r="B1410" t="s">
        <v>47</v>
      </c>
      <c r="C1410" s="2">
        <v>0.71851851851851856</v>
      </c>
      <c r="D1410" t="s">
        <v>3055</v>
      </c>
      <c r="E1410" t="s">
        <v>41</v>
      </c>
      <c r="F1410" t="s">
        <v>3056</v>
      </c>
      <c r="G1410" t="s">
        <v>26</v>
      </c>
      <c r="H1410" t="s">
        <v>435</v>
      </c>
      <c r="I1410" t="s">
        <v>202</v>
      </c>
      <c r="J1410">
        <v>10.199999999999999</v>
      </c>
      <c r="K1410">
        <v>16.5</v>
      </c>
      <c r="L1410" t="s">
        <v>29</v>
      </c>
      <c r="M1410" t="s">
        <v>29</v>
      </c>
      <c r="N1410" t="s">
        <v>29</v>
      </c>
      <c r="O1410" t="s">
        <v>29</v>
      </c>
      <c r="P1410" t="s">
        <v>29</v>
      </c>
      <c r="Q1410" t="s">
        <v>29</v>
      </c>
      <c r="R1410">
        <v>309</v>
      </c>
      <c r="S1410">
        <v>18.18</v>
      </c>
      <c r="T1410">
        <v>3.5</v>
      </c>
      <c r="U1410">
        <v>4.3</v>
      </c>
      <c r="V1410" t="s">
        <v>46</v>
      </c>
    </row>
    <row r="1411" spans="1:22" x14ac:dyDescent="0.35">
      <c r="A1411" s="1">
        <v>45353</v>
      </c>
      <c r="B1411" t="s">
        <v>22</v>
      </c>
      <c r="C1411" s="2">
        <v>0.69780092592592591</v>
      </c>
      <c r="D1411" t="s">
        <v>3057</v>
      </c>
      <c r="E1411" t="s">
        <v>41</v>
      </c>
      <c r="F1411" t="s">
        <v>3058</v>
      </c>
      <c r="G1411" t="s">
        <v>50</v>
      </c>
      <c r="H1411" t="s">
        <v>892</v>
      </c>
      <c r="I1411" t="s">
        <v>296</v>
      </c>
      <c r="J1411">
        <v>14.9</v>
      </c>
      <c r="K1411">
        <v>26.3</v>
      </c>
      <c r="L1411" t="s">
        <v>29</v>
      </c>
      <c r="M1411" t="s">
        <v>29</v>
      </c>
      <c r="N1411" t="s">
        <v>29</v>
      </c>
      <c r="O1411" t="s">
        <v>29</v>
      </c>
      <c r="P1411" t="s">
        <v>29</v>
      </c>
      <c r="Q1411" t="s">
        <v>29</v>
      </c>
      <c r="R1411">
        <v>160</v>
      </c>
      <c r="S1411">
        <v>22.56</v>
      </c>
      <c r="T1411">
        <v>4.5</v>
      </c>
      <c r="U1411">
        <v>4</v>
      </c>
      <c r="V1411" t="s">
        <v>107</v>
      </c>
    </row>
    <row r="1412" spans="1:22" x14ac:dyDescent="0.35">
      <c r="A1412" s="1">
        <v>45436</v>
      </c>
      <c r="B1412" t="s">
        <v>122</v>
      </c>
      <c r="C1412" s="2">
        <v>0.56658564814814816</v>
      </c>
      <c r="D1412" t="s">
        <v>3059</v>
      </c>
      <c r="E1412" t="s">
        <v>41</v>
      </c>
      <c r="F1412" t="s">
        <v>3060</v>
      </c>
      <c r="G1412" t="s">
        <v>67</v>
      </c>
      <c r="H1412" t="s">
        <v>137</v>
      </c>
      <c r="I1412" t="s">
        <v>126</v>
      </c>
      <c r="J1412">
        <v>3.9</v>
      </c>
      <c r="K1412">
        <v>38.200000000000003</v>
      </c>
      <c r="L1412" t="s">
        <v>29</v>
      </c>
      <c r="M1412" t="s">
        <v>29</v>
      </c>
      <c r="N1412" t="s">
        <v>29</v>
      </c>
      <c r="O1412" t="s">
        <v>29</v>
      </c>
      <c r="P1412" t="s">
        <v>29</v>
      </c>
      <c r="Q1412" t="s">
        <v>29</v>
      </c>
      <c r="R1412">
        <v>181</v>
      </c>
      <c r="S1412">
        <v>2.41</v>
      </c>
      <c r="T1412">
        <v>3.7</v>
      </c>
      <c r="U1412">
        <v>4.2</v>
      </c>
      <c r="V1412" t="s">
        <v>38</v>
      </c>
    </row>
    <row r="1413" spans="1:22" x14ac:dyDescent="0.35">
      <c r="A1413" s="1">
        <v>45461</v>
      </c>
      <c r="B1413" t="s">
        <v>64</v>
      </c>
      <c r="C1413" s="2">
        <v>0.84567129629629634</v>
      </c>
      <c r="D1413" t="s">
        <v>3061</v>
      </c>
      <c r="E1413" t="s">
        <v>41</v>
      </c>
      <c r="F1413" t="s">
        <v>3062</v>
      </c>
      <c r="G1413" t="s">
        <v>56</v>
      </c>
      <c r="H1413" t="s">
        <v>962</v>
      </c>
      <c r="I1413" t="s">
        <v>81</v>
      </c>
      <c r="J1413">
        <v>12</v>
      </c>
      <c r="K1413">
        <v>25.9</v>
      </c>
      <c r="L1413" t="s">
        <v>29</v>
      </c>
      <c r="M1413" t="s">
        <v>29</v>
      </c>
      <c r="N1413" t="s">
        <v>29</v>
      </c>
      <c r="O1413" t="s">
        <v>29</v>
      </c>
      <c r="P1413" t="s">
        <v>29</v>
      </c>
      <c r="Q1413" t="s">
        <v>29</v>
      </c>
      <c r="R1413">
        <v>816</v>
      </c>
      <c r="S1413">
        <v>33.909999999999997</v>
      </c>
      <c r="T1413">
        <v>4.2</v>
      </c>
      <c r="U1413">
        <v>4.7</v>
      </c>
      <c r="V1413" t="s">
        <v>38</v>
      </c>
    </row>
    <row r="1414" spans="1:22" x14ac:dyDescent="0.35">
      <c r="A1414" s="1">
        <v>45345</v>
      </c>
      <c r="B1414" t="s">
        <v>59</v>
      </c>
      <c r="C1414" s="2">
        <v>0.68884259259259262</v>
      </c>
      <c r="D1414" t="s">
        <v>3063</v>
      </c>
      <c r="E1414" t="s">
        <v>41</v>
      </c>
      <c r="F1414" t="s">
        <v>3064</v>
      </c>
      <c r="G1414" t="s">
        <v>34</v>
      </c>
      <c r="H1414" t="s">
        <v>797</v>
      </c>
      <c r="I1414" t="s">
        <v>255</v>
      </c>
      <c r="J1414">
        <v>5.8</v>
      </c>
      <c r="K1414">
        <v>25.1</v>
      </c>
      <c r="L1414" t="s">
        <v>29</v>
      </c>
      <c r="M1414" t="s">
        <v>29</v>
      </c>
      <c r="N1414" t="s">
        <v>29</v>
      </c>
      <c r="O1414" t="s">
        <v>29</v>
      </c>
      <c r="P1414" t="s">
        <v>29</v>
      </c>
      <c r="Q1414" t="s">
        <v>29</v>
      </c>
      <c r="R1414">
        <v>137</v>
      </c>
      <c r="S1414">
        <v>36.57</v>
      </c>
      <c r="T1414">
        <v>3.2</v>
      </c>
      <c r="U1414">
        <v>4.2</v>
      </c>
      <c r="V1414" t="s">
        <v>38</v>
      </c>
    </row>
    <row r="1415" spans="1:22" x14ac:dyDescent="0.35">
      <c r="A1415" s="1">
        <v>45547</v>
      </c>
      <c r="B1415" t="s">
        <v>53</v>
      </c>
      <c r="C1415" s="2">
        <v>0.93196759259259254</v>
      </c>
      <c r="D1415" t="s">
        <v>3065</v>
      </c>
      <c r="E1415" t="s">
        <v>41</v>
      </c>
      <c r="F1415" t="s">
        <v>3066</v>
      </c>
      <c r="G1415" t="s">
        <v>43</v>
      </c>
      <c r="H1415" t="s">
        <v>486</v>
      </c>
      <c r="I1415" t="s">
        <v>235</v>
      </c>
      <c r="J1415">
        <v>4.5999999999999996</v>
      </c>
      <c r="K1415">
        <v>41.8</v>
      </c>
      <c r="L1415" t="s">
        <v>29</v>
      </c>
      <c r="M1415" t="s">
        <v>29</v>
      </c>
      <c r="N1415" t="s">
        <v>29</v>
      </c>
      <c r="O1415" t="s">
        <v>29</v>
      </c>
      <c r="P1415" t="s">
        <v>29</v>
      </c>
      <c r="Q1415" t="s">
        <v>29</v>
      </c>
      <c r="R1415">
        <v>352</v>
      </c>
      <c r="S1415">
        <v>27.89</v>
      </c>
      <c r="T1415">
        <v>4.7</v>
      </c>
      <c r="U1415">
        <v>5</v>
      </c>
      <c r="V1415" t="s">
        <v>38</v>
      </c>
    </row>
    <row r="1416" spans="1:22" x14ac:dyDescent="0.35">
      <c r="A1416" s="1">
        <v>45473</v>
      </c>
      <c r="B1416" t="s">
        <v>64</v>
      </c>
      <c r="C1416" s="2">
        <v>0.69516203703703705</v>
      </c>
      <c r="D1416" t="s">
        <v>3067</v>
      </c>
      <c r="E1416" t="s">
        <v>32</v>
      </c>
      <c r="F1416" t="s">
        <v>3068</v>
      </c>
      <c r="G1416" t="s">
        <v>50</v>
      </c>
      <c r="H1416" t="s">
        <v>194</v>
      </c>
      <c r="I1416" t="s">
        <v>255</v>
      </c>
      <c r="J1416">
        <v>4.9000000000000004</v>
      </c>
      <c r="K1416">
        <v>19</v>
      </c>
      <c r="L1416" t="s">
        <v>29</v>
      </c>
      <c r="M1416" t="s">
        <v>29</v>
      </c>
      <c r="N1416" t="s">
        <v>29</v>
      </c>
      <c r="O1416" t="s">
        <v>29</v>
      </c>
      <c r="P1416">
        <v>1</v>
      </c>
      <c r="Q1416" t="s">
        <v>302</v>
      </c>
      <c r="R1416">
        <v>379</v>
      </c>
      <c r="S1416">
        <v>3.15</v>
      </c>
      <c r="T1416" t="s">
        <v>29</v>
      </c>
      <c r="U1416" t="s">
        <v>29</v>
      </c>
      <c r="V1416" t="s">
        <v>38</v>
      </c>
    </row>
    <row r="1417" spans="1:22" x14ac:dyDescent="0.35">
      <c r="A1417" s="1">
        <v>45572</v>
      </c>
      <c r="B1417" t="s">
        <v>47</v>
      </c>
      <c r="C1417" s="2">
        <v>0.74972222222222218</v>
      </c>
      <c r="D1417" t="s">
        <v>3069</v>
      </c>
      <c r="E1417" t="s">
        <v>117</v>
      </c>
      <c r="F1417" t="s">
        <v>3070</v>
      </c>
      <c r="G1417" t="s">
        <v>34</v>
      </c>
      <c r="H1417" t="s">
        <v>189</v>
      </c>
      <c r="I1417" t="s">
        <v>254</v>
      </c>
      <c r="J1417">
        <v>16.7</v>
      </c>
      <c r="K1417" t="s">
        <v>29</v>
      </c>
      <c r="L1417">
        <v>1</v>
      </c>
      <c r="M1417" t="s">
        <v>378</v>
      </c>
      <c r="N1417" t="s">
        <v>29</v>
      </c>
      <c r="O1417" t="s">
        <v>29</v>
      </c>
      <c r="P1417" t="s">
        <v>29</v>
      </c>
      <c r="Q1417" t="s">
        <v>29</v>
      </c>
      <c r="R1417" t="s">
        <v>29</v>
      </c>
      <c r="S1417" t="s">
        <v>29</v>
      </c>
      <c r="T1417" t="s">
        <v>29</v>
      </c>
      <c r="U1417" t="s">
        <v>29</v>
      </c>
      <c r="V1417" t="s">
        <v>29</v>
      </c>
    </row>
    <row r="1418" spans="1:22" x14ac:dyDescent="0.35">
      <c r="A1418" s="1">
        <v>45544</v>
      </c>
      <c r="B1418" t="s">
        <v>53</v>
      </c>
      <c r="C1418" s="2">
        <v>0.29768518518518516</v>
      </c>
      <c r="D1418" t="s">
        <v>3071</v>
      </c>
      <c r="E1418" t="s">
        <v>41</v>
      </c>
      <c r="F1418" t="s">
        <v>3072</v>
      </c>
      <c r="G1418" t="s">
        <v>43</v>
      </c>
      <c r="H1418" t="s">
        <v>214</v>
      </c>
      <c r="I1418" t="s">
        <v>281</v>
      </c>
      <c r="J1418">
        <v>11</v>
      </c>
      <c r="K1418">
        <v>15.6</v>
      </c>
      <c r="L1418" t="s">
        <v>29</v>
      </c>
      <c r="M1418" t="s">
        <v>29</v>
      </c>
      <c r="N1418" t="s">
        <v>29</v>
      </c>
      <c r="O1418" t="s">
        <v>29</v>
      </c>
      <c r="P1418" t="s">
        <v>29</v>
      </c>
      <c r="Q1418" t="s">
        <v>29</v>
      </c>
      <c r="R1418">
        <v>544</v>
      </c>
      <c r="S1418">
        <v>23.81</v>
      </c>
      <c r="T1418">
        <v>4.5</v>
      </c>
      <c r="U1418">
        <v>3.9</v>
      </c>
      <c r="V1418" t="s">
        <v>84</v>
      </c>
    </row>
    <row r="1419" spans="1:22" x14ac:dyDescent="0.35">
      <c r="A1419" s="1">
        <v>45313</v>
      </c>
      <c r="B1419" t="s">
        <v>150</v>
      </c>
      <c r="C1419" s="2">
        <v>0.47430555555555554</v>
      </c>
      <c r="D1419" t="s">
        <v>3073</v>
      </c>
      <c r="E1419" t="s">
        <v>93</v>
      </c>
      <c r="F1419" t="s">
        <v>3074</v>
      </c>
      <c r="G1419" t="s">
        <v>26</v>
      </c>
      <c r="H1419" t="s">
        <v>296</v>
      </c>
      <c r="I1419" t="s">
        <v>102</v>
      </c>
      <c r="J1419">
        <v>3.1</v>
      </c>
      <c r="K1419" t="s">
        <v>29</v>
      </c>
      <c r="L1419" t="s">
        <v>29</v>
      </c>
      <c r="M1419" t="s">
        <v>29</v>
      </c>
      <c r="N1419">
        <v>1</v>
      </c>
      <c r="O1419" t="s">
        <v>97</v>
      </c>
      <c r="P1419" t="s">
        <v>29</v>
      </c>
      <c r="Q1419" t="s">
        <v>29</v>
      </c>
      <c r="R1419" t="s">
        <v>29</v>
      </c>
      <c r="S1419" t="s">
        <v>29</v>
      </c>
      <c r="T1419" t="s">
        <v>29</v>
      </c>
      <c r="U1419" t="s">
        <v>29</v>
      </c>
      <c r="V1419" t="s">
        <v>29</v>
      </c>
    </row>
    <row r="1420" spans="1:22" x14ac:dyDescent="0.35">
      <c r="A1420" s="1">
        <v>45412</v>
      </c>
      <c r="B1420" t="s">
        <v>154</v>
      </c>
      <c r="C1420" s="2">
        <v>0.83081018518518523</v>
      </c>
      <c r="D1420" t="s">
        <v>3075</v>
      </c>
      <c r="E1420" t="s">
        <v>41</v>
      </c>
      <c r="F1420" t="s">
        <v>3076</v>
      </c>
      <c r="G1420" t="s">
        <v>146</v>
      </c>
      <c r="H1420" t="s">
        <v>425</v>
      </c>
      <c r="I1420" t="s">
        <v>58</v>
      </c>
      <c r="J1420">
        <v>6.7</v>
      </c>
      <c r="K1420">
        <v>44.3</v>
      </c>
      <c r="L1420" t="s">
        <v>29</v>
      </c>
      <c r="M1420" t="s">
        <v>29</v>
      </c>
      <c r="N1420" t="s">
        <v>29</v>
      </c>
      <c r="O1420" t="s">
        <v>29</v>
      </c>
      <c r="P1420" t="s">
        <v>29</v>
      </c>
      <c r="Q1420" t="s">
        <v>29</v>
      </c>
      <c r="R1420">
        <v>476</v>
      </c>
      <c r="S1420">
        <v>36.49</v>
      </c>
      <c r="T1420">
        <v>4.5</v>
      </c>
      <c r="U1420">
        <v>4.9000000000000004</v>
      </c>
      <c r="V1420" t="s">
        <v>38</v>
      </c>
    </row>
    <row r="1421" spans="1:22" x14ac:dyDescent="0.35">
      <c r="A1421" s="1">
        <v>45325</v>
      </c>
      <c r="B1421" t="s">
        <v>59</v>
      </c>
      <c r="C1421" s="2">
        <v>0.9332407407407407</v>
      </c>
      <c r="D1421" t="s">
        <v>3077</v>
      </c>
      <c r="E1421" t="s">
        <v>41</v>
      </c>
      <c r="F1421" t="s">
        <v>3078</v>
      </c>
      <c r="G1421" t="s">
        <v>67</v>
      </c>
      <c r="H1421" t="s">
        <v>858</v>
      </c>
      <c r="I1421" t="s">
        <v>114</v>
      </c>
      <c r="J1421">
        <v>7.9</v>
      </c>
      <c r="K1421">
        <v>29.9</v>
      </c>
      <c r="L1421" t="s">
        <v>29</v>
      </c>
      <c r="M1421" t="s">
        <v>29</v>
      </c>
      <c r="N1421" t="s">
        <v>29</v>
      </c>
      <c r="O1421" t="s">
        <v>29</v>
      </c>
      <c r="P1421" t="s">
        <v>29</v>
      </c>
      <c r="Q1421" t="s">
        <v>29</v>
      </c>
      <c r="R1421">
        <v>258</v>
      </c>
      <c r="S1421">
        <v>33.39</v>
      </c>
      <c r="T1421">
        <v>4.2</v>
      </c>
      <c r="U1421">
        <v>4.5999999999999996</v>
      </c>
      <c r="V1421" t="s">
        <v>38</v>
      </c>
    </row>
    <row r="1422" spans="1:22" x14ac:dyDescent="0.35">
      <c r="A1422" s="1">
        <v>45324</v>
      </c>
      <c r="B1422" t="s">
        <v>59</v>
      </c>
      <c r="C1422" s="2">
        <v>0.21711805555555555</v>
      </c>
      <c r="D1422" t="s">
        <v>3079</v>
      </c>
      <c r="E1422" t="s">
        <v>41</v>
      </c>
      <c r="F1422" t="s">
        <v>3080</v>
      </c>
      <c r="G1422" t="s">
        <v>43</v>
      </c>
      <c r="H1422" t="s">
        <v>114</v>
      </c>
      <c r="I1422" t="s">
        <v>168</v>
      </c>
      <c r="J1422">
        <v>8.1999999999999993</v>
      </c>
      <c r="K1422">
        <v>18.5</v>
      </c>
      <c r="L1422" t="s">
        <v>29</v>
      </c>
      <c r="M1422" t="s">
        <v>29</v>
      </c>
      <c r="N1422" t="s">
        <v>29</v>
      </c>
      <c r="O1422" t="s">
        <v>29</v>
      </c>
      <c r="P1422" t="s">
        <v>29</v>
      </c>
      <c r="Q1422" t="s">
        <v>29</v>
      </c>
      <c r="R1422">
        <v>728</v>
      </c>
      <c r="S1422">
        <v>15.05</v>
      </c>
      <c r="T1422">
        <v>5</v>
      </c>
      <c r="U1422">
        <v>4.3</v>
      </c>
      <c r="V1422" t="s">
        <v>84</v>
      </c>
    </row>
    <row r="1423" spans="1:22" x14ac:dyDescent="0.35">
      <c r="A1423" s="1">
        <v>45595</v>
      </c>
      <c r="B1423" t="s">
        <v>47</v>
      </c>
      <c r="C1423" s="2">
        <v>0.58937499999999998</v>
      </c>
      <c r="D1423" t="s">
        <v>3081</v>
      </c>
      <c r="E1423" t="s">
        <v>117</v>
      </c>
      <c r="F1423" t="s">
        <v>3082</v>
      </c>
      <c r="G1423" t="s">
        <v>43</v>
      </c>
      <c r="H1423" t="s">
        <v>693</v>
      </c>
      <c r="I1423" t="s">
        <v>486</v>
      </c>
      <c r="J1423">
        <v>16.7</v>
      </c>
      <c r="K1423" t="s">
        <v>29</v>
      </c>
      <c r="L1423">
        <v>1</v>
      </c>
      <c r="M1423" t="s">
        <v>490</v>
      </c>
      <c r="N1423" t="s">
        <v>29</v>
      </c>
      <c r="O1423" t="s">
        <v>29</v>
      </c>
      <c r="P1423" t="s">
        <v>29</v>
      </c>
      <c r="Q1423" t="s">
        <v>29</v>
      </c>
      <c r="R1423" t="s">
        <v>29</v>
      </c>
      <c r="S1423" t="s">
        <v>29</v>
      </c>
      <c r="T1423" t="s">
        <v>29</v>
      </c>
      <c r="U1423" t="s">
        <v>29</v>
      </c>
      <c r="V1423" t="s">
        <v>29</v>
      </c>
    </row>
    <row r="1424" spans="1:22" x14ac:dyDescent="0.35">
      <c r="A1424" s="1">
        <v>45592</v>
      </c>
      <c r="B1424" t="s">
        <v>47</v>
      </c>
      <c r="C1424" s="2">
        <v>0.74516203703703698</v>
      </c>
      <c r="D1424" t="s">
        <v>3083</v>
      </c>
      <c r="E1424" t="s">
        <v>24</v>
      </c>
      <c r="F1424" t="s">
        <v>3084</v>
      </c>
      <c r="G1424" t="s">
        <v>67</v>
      </c>
      <c r="H1424" t="s">
        <v>636</v>
      </c>
      <c r="I1424" t="s">
        <v>176</v>
      </c>
      <c r="J1424" t="s">
        <v>29</v>
      </c>
      <c r="K1424" t="s">
        <v>29</v>
      </c>
      <c r="L1424" t="s">
        <v>29</v>
      </c>
      <c r="M1424" t="s">
        <v>29</v>
      </c>
      <c r="N1424" t="s">
        <v>29</v>
      </c>
      <c r="O1424" t="s">
        <v>29</v>
      </c>
      <c r="P1424" t="s">
        <v>29</v>
      </c>
      <c r="Q1424" t="s">
        <v>29</v>
      </c>
      <c r="R1424" t="s">
        <v>29</v>
      </c>
      <c r="S1424" t="s">
        <v>29</v>
      </c>
      <c r="T1424" t="s">
        <v>29</v>
      </c>
      <c r="U1424" t="s">
        <v>29</v>
      </c>
      <c r="V1424" t="s">
        <v>29</v>
      </c>
    </row>
    <row r="1425" spans="1:22" x14ac:dyDescent="0.35">
      <c r="A1425" s="1">
        <v>45377</v>
      </c>
      <c r="B1425" t="s">
        <v>22</v>
      </c>
      <c r="C1425" s="2">
        <v>0.68502314814814813</v>
      </c>
      <c r="D1425" t="s">
        <v>3085</v>
      </c>
      <c r="E1425" t="s">
        <v>41</v>
      </c>
      <c r="F1425" t="s">
        <v>3086</v>
      </c>
      <c r="G1425" t="s">
        <v>67</v>
      </c>
      <c r="H1425" t="s">
        <v>57</v>
      </c>
      <c r="I1425" t="s">
        <v>238</v>
      </c>
      <c r="J1425">
        <v>9.6999999999999993</v>
      </c>
      <c r="K1425">
        <v>27.1</v>
      </c>
      <c r="L1425" t="s">
        <v>29</v>
      </c>
      <c r="M1425" t="s">
        <v>29</v>
      </c>
      <c r="N1425" t="s">
        <v>29</v>
      </c>
      <c r="O1425" t="s">
        <v>29</v>
      </c>
      <c r="P1425" t="s">
        <v>29</v>
      </c>
      <c r="Q1425" t="s">
        <v>29</v>
      </c>
      <c r="R1425">
        <v>335</v>
      </c>
      <c r="S1425">
        <v>19.97</v>
      </c>
      <c r="T1425">
        <v>4.2</v>
      </c>
      <c r="U1425">
        <v>4.3</v>
      </c>
      <c r="V1425" t="s">
        <v>46</v>
      </c>
    </row>
    <row r="1426" spans="1:22" x14ac:dyDescent="0.35">
      <c r="A1426" s="1">
        <v>45628</v>
      </c>
      <c r="B1426" t="s">
        <v>78</v>
      </c>
      <c r="C1426" s="2">
        <v>0.81854166666666661</v>
      </c>
      <c r="D1426" t="s">
        <v>3087</v>
      </c>
      <c r="E1426" t="s">
        <v>93</v>
      </c>
      <c r="F1426" t="s">
        <v>3088</v>
      </c>
      <c r="G1426" t="s">
        <v>34</v>
      </c>
      <c r="H1426" t="s">
        <v>106</v>
      </c>
      <c r="I1426" t="s">
        <v>486</v>
      </c>
      <c r="J1426">
        <v>11.2</v>
      </c>
      <c r="K1426" t="s">
        <v>29</v>
      </c>
      <c r="L1426" t="s">
        <v>29</v>
      </c>
      <c r="M1426" t="s">
        <v>29</v>
      </c>
      <c r="N1426">
        <v>1</v>
      </c>
      <c r="O1426" t="s">
        <v>337</v>
      </c>
      <c r="P1426" t="s">
        <v>29</v>
      </c>
      <c r="Q1426" t="s">
        <v>29</v>
      </c>
      <c r="R1426" t="s">
        <v>29</v>
      </c>
      <c r="S1426" t="s">
        <v>29</v>
      </c>
      <c r="T1426" t="s">
        <v>29</v>
      </c>
      <c r="U1426" t="s">
        <v>29</v>
      </c>
      <c r="V1426" t="s">
        <v>29</v>
      </c>
    </row>
    <row r="1427" spans="1:22" x14ac:dyDescent="0.35">
      <c r="A1427" s="1">
        <v>45404</v>
      </c>
      <c r="B1427" t="s">
        <v>154</v>
      </c>
      <c r="C1427" s="2">
        <v>0.51643518518518516</v>
      </c>
      <c r="D1427" t="s">
        <v>3089</v>
      </c>
      <c r="E1427" t="s">
        <v>41</v>
      </c>
      <c r="F1427" t="s">
        <v>3090</v>
      </c>
      <c r="G1427" t="s">
        <v>67</v>
      </c>
      <c r="H1427" t="s">
        <v>254</v>
      </c>
      <c r="I1427" t="s">
        <v>323</v>
      </c>
      <c r="J1427">
        <v>2.2999999999999998</v>
      </c>
      <c r="K1427">
        <v>17.8</v>
      </c>
      <c r="L1427" t="s">
        <v>29</v>
      </c>
      <c r="M1427" t="s">
        <v>29</v>
      </c>
      <c r="N1427" t="s">
        <v>29</v>
      </c>
      <c r="O1427" t="s">
        <v>29</v>
      </c>
      <c r="P1427" t="s">
        <v>29</v>
      </c>
      <c r="Q1427" t="s">
        <v>29</v>
      </c>
      <c r="R1427">
        <v>112</v>
      </c>
      <c r="S1427">
        <v>31.17</v>
      </c>
      <c r="T1427">
        <v>4.2</v>
      </c>
      <c r="U1427">
        <v>5</v>
      </c>
      <c r="V1427" t="s">
        <v>46</v>
      </c>
    </row>
    <row r="1428" spans="1:22" x14ac:dyDescent="0.35">
      <c r="A1428" s="1">
        <v>45527</v>
      </c>
      <c r="B1428" t="s">
        <v>39</v>
      </c>
      <c r="C1428" s="2">
        <v>0.4944560185185185</v>
      </c>
      <c r="D1428" t="s">
        <v>3091</v>
      </c>
      <c r="E1428" t="s">
        <v>93</v>
      </c>
      <c r="F1428" t="s">
        <v>3092</v>
      </c>
      <c r="G1428" t="s">
        <v>43</v>
      </c>
      <c r="H1428" t="s">
        <v>293</v>
      </c>
      <c r="I1428" t="s">
        <v>91</v>
      </c>
      <c r="J1428">
        <v>4.5</v>
      </c>
      <c r="K1428" t="s">
        <v>29</v>
      </c>
      <c r="L1428" t="s">
        <v>29</v>
      </c>
      <c r="M1428" t="s">
        <v>29</v>
      </c>
      <c r="N1428">
        <v>1</v>
      </c>
      <c r="O1428" t="s">
        <v>97</v>
      </c>
      <c r="P1428" t="s">
        <v>29</v>
      </c>
      <c r="Q1428" t="s">
        <v>29</v>
      </c>
      <c r="R1428" t="s">
        <v>29</v>
      </c>
      <c r="S1428" t="s">
        <v>29</v>
      </c>
      <c r="T1428" t="s">
        <v>29</v>
      </c>
      <c r="U1428" t="s">
        <v>29</v>
      </c>
      <c r="V1428" t="s">
        <v>29</v>
      </c>
    </row>
    <row r="1429" spans="1:22" x14ac:dyDescent="0.35">
      <c r="A1429" s="1">
        <v>45567</v>
      </c>
      <c r="B1429" t="s">
        <v>47</v>
      </c>
      <c r="C1429" s="2">
        <v>0.28461805555555558</v>
      </c>
      <c r="D1429" t="s">
        <v>3093</v>
      </c>
      <c r="E1429" t="s">
        <v>41</v>
      </c>
      <c r="F1429" t="s">
        <v>3094</v>
      </c>
      <c r="G1429" t="s">
        <v>34</v>
      </c>
      <c r="H1429" t="s">
        <v>136</v>
      </c>
      <c r="I1429" t="s">
        <v>442</v>
      </c>
      <c r="J1429">
        <v>4.0999999999999996</v>
      </c>
      <c r="K1429">
        <v>44.6</v>
      </c>
      <c r="L1429" t="s">
        <v>29</v>
      </c>
      <c r="M1429" t="s">
        <v>29</v>
      </c>
      <c r="N1429" t="s">
        <v>29</v>
      </c>
      <c r="O1429" t="s">
        <v>29</v>
      </c>
      <c r="P1429" t="s">
        <v>29</v>
      </c>
      <c r="Q1429" t="s">
        <v>29</v>
      </c>
      <c r="R1429">
        <v>544</v>
      </c>
      <c r="S1429">
        <v>27.4</v>
      </c>
      <c r="T1429">
        <v>4.4000000000000004</v>
      </c>
      <c r="U1429">
        <v>3.2</v>
      </c>
      <c r="V1429" t="s">
        <v>84</v>
      </c>
    </row>
    <row r="1430" spans="1:22" x14ac:dyDescent="0.35">
      <c r="A1430" s="1">
        <v>45550</v>
      </c>
      <c r="B1430" t="s">
        <v>53</v>
      </c>
      <c r="C1430" s="2">
        <v>0.87268518518518523</v>
      </c>
      <c r="D1430" t="s">
        <v>3095</v>
      </c>
      <c r="E1430" t="s">
        <v>41</v>
      </c>
      <c r="F1430" t="s">
        <v>3096</v>
      </c>
      <c r="G1430" t="s">
        <v>43</v>
      </c>
      <c r="H1430" t="s">
        <v>858</v>
      </c>
      <c r="I1430" t="s">
        <v>962</v>
      </c>
      <c r="J1430">
        <v>7.6</v>
      </c>
      <c r="K1430">
        <v>18</v>
      </c>
      <c r="L1430" t="s">
        <v>29</v>
      </c>
      <c r="M1430" t="s">
        <v>29</v>
      </c>
      <c r="N1430" t="s">
        <v>29</v>
      </c>
      <c r="O1430" t="s">
        <v>29</v>
      </c>
      <c r="P1430" t="s">
        <v>29</v>
      </c>
      <c r="Q1430" t="s">
        <v>29</v>
      </c>
      <c r="R1430">
        <v>609</v>
      </c>
      <c r="S1430">
        <v>20.51</v>
      </c>
      <c r="T1430">
        <v>3.8</v>
      </c>
      <c r="U1430">
        <v>4.0999999999999996</v>
      </c>
      <c r="V1430" t="s">
        <v>38</v>
      </c>
    </row>
    <row r="1431" spans="1:22" x14ac:dyDescent="0.35">
      <c r="A1431" s="1">
        <v>45552</v>
      </c>
      <c r="B1431" t="s">
        <v>53</v>
      </c>
      <c r="C1431" s="2">
        <v>0.8250925925925926</v>
      </c>
      <c r="D1431" t="s">
        <v>3097</v>
      </c>
      <c r="E1431" t="s">
        <v>41</v>
      </c>
      <c r="F1431" t="s">
        <v>3098</v>
      </c>
      <c r="G1431" t="s">
        <v>56</v>
      </c>
      <c r="H1431" t="s">
        <v>158</v>
      </c>
      <c r="I1431" t="s">
        <v>277</v>
      </c>
      <c r="J1431">
        <v>5.0999999999999996</v>
      </c>
      <c r="K1431">
        <v>16.7</v>
      </c>
      <c r="L1431" t="s">
        <v>29</v>
      </c>
      <c r="M1431" t="s">
        <v>29</v>
      </c>
      <c r="N1431" t="s">
        <v>29</v>
      </c>
      <c r="O1431" t="s">
        <v>29</v>
      </c>
      <c r="P1431" t="s">
        <v>29</v>
      </c>
      <c r="Q1431" t="s">
        <v>29</v>
      </c>
      <c r="R1431">
        <v>136</v>
      </c>
      <c r="S1431">
        <v>45.7</v>
      </c>
      <c r="T1431">
        <v>4.5999999999999996</v>
      </c>
      <c r="U1431">
        <v>4.8</v>
      </c>
      <c r="V1431" t="s">
        <v>38</v>
      </c>
    </row>
    <row r="1432" spans="1:22" x14ac:dyDescent="0.35">
      <c r="A1432" s="1">
        <v>45421</v>
      </c>
      <c r="B1432" t="s">
        <v>122</v>
      </c>
      <c r="C1432" s="2">
        <v>0.60862268518518514</v>
      </c>
      <c r="D1432" t="s">
        <v>3099</v>
      </c>
      <c r="E1432" t="s">
        <v>41</v>
      </c>
      <c r="F1432" t="s">
        <v>3100</v>
      </c>
      <c r="G1432" t="s">
        <v>67</v>
      </c>
      <c r="H1432" t="s">
        <v>281</v>
      </c>
      <c r="I1432" t="s">
        <v>238</v>
      </c>
      <c r="J1432">
        <v>9.6</v>
      </c>
      <c r="K1432">
        <v>41</v>
      </c>
      <c r="L1432" t="s">
        <v>29</v>
      </c>
      <c r="M1432" t="s">
        <v>29</v>
      </c>
      <c r="N1432" t="s">
        <v>29</v>
      </c>
      <c r="O1432" t="s">
        <v>29</v>
      </c>
      <c r="P1432" t="s">
        <v>29</v>
      </c>
      <c r="Q1432" t="s">
        <v>29</v>
      </c>
      <c r="R1432">
        <v>209</v>
      </c>
      <c r="S1432">
        <v>20.190000000000001</v>
      </c>
      <c r="T1432">
        <v>4.3</v>
      </c>
      <c r="U1432">
        <v>3.8</v>
      </c>
      <c r="V1432" t="s">
        <v>107</v>
      </c>
    </row>
    <row r="1433" spans="1:22" x14ac:dyDescent="0.35">
      <c r="A1433" s="1">
        <v>45466</v>
      </c>
      <c r="B1433" t="s">
        <v>64</v>
      </c>
      <c r="C1433" s="2">
        <v>0.3019560185185185</v>
      </c>
      <c r="D1433" t="s">
        <v>3101</v>
      </c>
      <c r="E1433" t="s">
        <v>93</v>
      </c>
      <c r="F1433" t="s">
        <v>3102</v>
      </c>
      <c r="G1433" t="s">
        <v>26</v>
      </c>
      <c r="H1433" t="s">
        <v>51</v>
      </c>
      <c r="I1433" t="s">
        <v>221</v>
      </c>
      <c r="J1433">
        <v>11.4</v>
      </c>
      <c r="K1433" t="s">
        <v>29</v>
      </c>
      <c r="L1433" t="s">
        <v>29</v>
      </c>
      <c r="M1433" t="s">
        <v>29</v>
      </c>
      <c r="N1433">
        <v>1</v>
      </c>
      <c r="O1433" t="s">
        <v>337</v>
      </c>
      <c r="P1433" t="s">
        <v>29</v>
      </c>
      <c r="Q1433" t="s">
        <v>29</v>
      </c>
      <c r="R1433" t="s">
        <v>29</v>
      </c>
      <c r="S1433" t="s">
        <v>29</v>
      </c>
      <c r="T1433" t="s">
        <v>29</v>
      </c>
      <c r="U1433" t="s">
        <v>29</v>
      </c>
      <c r="V1433" t="s">
        <v>29</v>
      </c>
    </row>
    <row r="1434" spans="1:22" x14ac:dyDescent="0.35">
      <c r="A1434" s="1">
        <v>45594</v>
      </c>
      <c r="B1434" t="s">
        <v>47</v>
      </c>
      <c r="C1434" s="2">
        <v>0.78307870370370369</v>
      </c>
      <c r="D1434" t="s">
        <v>3103</v>
      </c>
      <c r="E1434" t="s">
        <v>93</v>
      </c>
      <c r="F1434" t="s">
        <v>3104</v>
      </c>
      <c r="G1434" t="s">
        <v>34</v>
      </c>
      <c r="H1434" t="s">
        <v>858</v>
      </c>
      <c r="I1434" t="s">
        <v>299</v>
      </c>
      <c r="J1434">
        <v>11.8</v>
      </c>
      <c r="K1434" t="s">
        <v>29</v>
      </c>
      <c r="L1434" t="s">
        <v>29</v>
      </c>
      <c r="M1434" t="s">
        <v>29</v>
      </c>
      <c r="N1434">
        <v>1</v>
      </c>
      <c r="O1434" t="s">
        <v>337</v>
      </c>
      <c r="P1434" t="s">
        <v>29</v>
      </c>
      <c r="Q1434" t="s">
        <v>29</v>
      </c>
      <c r="R1434" t="s">
        <v>29</v>
      </c>
      <c r="S1434" t="s">
        <v>29</v>
      </c>
      <c r="T1434" t="s">
        <v>29</v>
      </c>
      <c r="U1434" t="s">
        <v>29</v>
      </c>
      <c r="V1434" t="s">
        <v>29</v>
      </c>
    </row>
    <row r="1435" spans="1:22" x14ac:dyDescent="0.35">
      <c r="A1435" s="1">
        <v>45653</v>
      </c>
      <c r="B1435" t="s">
        <v>78</v>
      </c>
      <c r="C1435" s="2">
        <v>0.14000000000000001</v>
      </c>
      <c r="D1435" t="s">
        <v>3105</v>
      </c>
      <c r="E1435" t="s">
        <v>93</v>
      </c>
      <c r="F1435" t="s">
        <v>3106</v>
      </c>
      <c r="G1435" t="s">
        <v>34</v>
      </c>
      <c r="H1435" t="s">
        <v>819</v>
      </c>
      <c r="I1435" t="s">
        <v>560</v>
      </c>
      <c r="J1435">
        <v>8.8000000000000007</v>
      </c>
      <c r="K1435" t="s">
        <v>29</v>
      </c>
      <c r="L1435" t="s">
        <v>29</v>
      </c>
      <c r="M1435" t="s">
        <v>29</v>
      </c>
      <c r="N1435">
        <v>1</v>
      </c>
      <c r="O1435" t="s">
        <v>115</v>
      </c>
      <c r="P1435" t="s">
        <v>29</v>
      </c>
      <c r="Q1435" t="s">
        <v>29</v>
      </c>
      <c r="R1435" t="s">
        <v>29</v>
      </c>
      <c r="S1435" t="s">
        <v>29</v>
      </c>
      <c r="T1435" t="s">
        <v>29</v>
      </c>
      <c r="U1435" t="s">
        <v>29</v>
      </c>
      <c r="V1435" t="s">
        <v>29</v>
      </c>
    </row>
    <row r="1436" spans="1:22" x14ac:dyDescent="0.35">
      <c r="A1436" s="1">
        <v>45595</v>
      </c>
      <c r="B1436" t="s">
        <v>47</v>
      </c>
      <c r="C1436" s="2">
        <v>0.57877314814814818</v>
      </c>
      <c r="D1436" t="s">
        <v>3107</v>
      </c>
      <c r="E1436" t="s">
        <v>93</v>
      </c>
      <c r="F1436" t="s">
        <v>3108</v>
      </c>
      <c r="G1436" t="s">
        <v>43</v>
      </c>
      <c r="H1436" t="s">
        <v>52</v>
      </c>
      <c r="I1436" t="s">
        <v>803</v>
      </c>
      <c r="J1436">
        <v>8.1</v>
      </c>
      <c r="K1436" t="s">
        <v>29</v>
      </c>
      <c r="L1436" t="s">
        <v>29</v>
      </c>
      <c r="M1436" t="s">
        <v>29</v>
      </c>
      <c r="N1436">
        <v>1</v>
      </c>
      <c r="O1436" t="s">
        <v>97</v>
      </c>
      <c r="P1436" t="s">
        <v>29</v>
      </c>
      <c r="Q1436" t="s">
        <v>29</v>
      </c>
      <c r="R1436" t="s">
        <v>29</v>
      </c>
      <c r="S1436" t="s">
        <v>29</v>
      </c>
      <c r="T1436" t="s">
        <v>29</v>
      </c>
      <c r="U1436" t="s">
        <v>29</v>
      </c>
      <c r="V1436" t="s">
        <v>29</v>
      </c>
    </row>
    <row r="1437" spans="1:22" x14ac:dyDescent="0.35">
      <c r="A1437" s="1">
        <v>45400</v>
      </c>
      <c r="B1437" t="s">
        <v>154</v>
      </c>
      <c r="C1437" s="2">
        <v>0.73238425925925921</v>
      </c>
      <c r="D1437" t="s">
        <v>3109</v>
      </c>
      <c r="E1437" t="s">
        <v>93</v>
      </c>
      <c r="F1437" t="s">
        <v>3110</v>
      </c>
      <c r="G1437" t="s">
        <v>146</v>
      </c>
      <c r="H1437" t="s">
        <v>511</v>
      </c>
      <c r="I1437" t="s">
        <v>627</v>
      </c>
      <c r="J1437">
        <v>9.5</v>
      </c>
      <c r="K1437" t="s">
        <v>29</v>
      </c>
      <c r="L1437" t="s">
        <v>29</v>
      </c>
      <c r="M1437" t="s">
        <v>29</v>
      </c>
      <c r="N1437">
        <v>1</v>
      </c>
      <c r="O1437" t="s">
        <v>169</v>
      </c>
      <c r="P1437" t="s">
        <v>29</v>
      </c>
      <c r="Q1437" t="s">
        <v>29</v>
      </c>
      <c r="R1437" t="s">
        <v>29</v>
      </c>
      <c r="S1437" t="s">
        <v>29</v>
      </c>
      <c r="T1437" t="s">
        <v>29</v>
      </c>
      <c r="U1437" t="s">
        <v>29</v>
      </c>
      <c r="V1437" t="s">
        <v>29</v>
      </c>
    </row>
    <row r="1438" spans="1:22" x14ac:dyDescent="0.35">
      <c r="A1438" s="1">
        <v>45327</v>
      </c>
      <c r="B1438" t="s">
        <v>59</v>
      </c>
      <c r="C1438" s="2">
        <v>0.70386574074074071</v>
      </c>
      <c r="D1438" t="s">
        <v>3111</v>
      </c>
      <c r="E1438" t="s">
        <v>41</v>
      </c>
      <c r="F1438" t="s">
        <v>3112</v>
      </c>
      <c r="G1438" t="s">
        <v>50</v>
      </c>
      <c r="H1438" t="s">
        <v>935</v>
      </c>
      <c r="I1438" t="s">
        <v>140</v>
      </c>
      <c r="J1438">
        <v>12.3</v>
      </c>
      <c r="K1438">
        <v>21.3</v>
      </c>
      <c r="L1438" t="s">
        <v>29</v>
      </c>
      <c r="M1438" t="s">
        <v>29</v>
      </c>
      <c r="N1438" t="s">
        <v>29</v>
      </c>
      <c r="O1438" t="s">
        <v>29</v>
      </c>
      <c r="P1438" t="s">
        <v>29</v>
      </c>
      <c r="Q1438" t="s">
        <v>29</v>
      </c>
      <c r="R1438">
        <v>847</v>
      </c>
      <c r="S1438">
        <v>23.27</v>
      </c>
      <c r="T1438">
        <v>3.1</v>
      </c>
      <c r="U1438">
        <v>3.6</v>
      </c>
      <c r="V1438" t="s">
        <v>38</v>
      </c>
    </row>
    <row r="1439" spans="1:22" x14ac:dyDescent="0.35">
      <c r="A1439" s="1">
        <v>45395</v>
      </c>
      <c r="B1439" t="s">
        <v>154</v>
      </c>
      <c r="C1439" s="2">
        <v>0.54320601851851846</v>
      </c>
      <c r="D1439" t="s">
        <v>3113</v>
      </c>
      <c r="E1439" t="s">
        <v>93</v>
      </c>
      <c r="F1439" t="s">
        <v>3114</v>
      </c>
      <c r="G1439" t="s">
        <v>43</v>
      </c>
      <c r="H1439" t="s">
        <v>800</v>
      </c>
      <c r="I1439" t="s">
        <v>565</v>
      </c>
      <c r="J1439">
        <v>10.199999999999999</v>
      </c>
      <c r="K1439" t="s">
        <v>29</v>
      </c>
      <c r="L1439" t="s">
        <v>29</v>
      </c>
      <c r="M1439" t="s">
        <v>29</v>
      </c>
      <c r="N1439">
        <v>1</v>
      </c>
      <c r="O1439" t="s">
        <v>169</v>
      </c>
      <c r="P1439" t="s">
        <v>29</v>
      </c>
      <c r="Q1439" t="s">
        <v>29</v>
      </c>
      <c r="R1439" t="s">
        <v>29</v>
      </c>
      <c r="S1439" t="s">
        <v>29</v>
      </c>
      <c r="T1439" t="s">
        <v>29</v>
      </c>
      <c r="U1439" t="s">
        <v>29</v>
      </c>
      <c r="V1439" t="s">
        <v>29</v>
      </c>
    </row>
    <row r="1440" spans="1:22" x14ac:dyDescent="0.35">
      <c r="A1440" s="1">
        <v>45306</v>
      </c>
      <c r="B1440" t="s">
        <v>150</v>
      </c>
      <c r="C1440" s="2">
        <v>0.74927083333333333</v>
      </c>
      <c r="D1440" t="s">
        <v>3115</v>
      </c>
      <c r="E1440" t="s">
        <v>41</v>
      </c>
      <c r="F1440" t="s">
        <v>3116</v>
      </c>
      <c r="G1440" t="s">
        <v>26</v>
      </c>
      <c r="H1440" t="s">
        <v>962</v>
      </c>
      <c r="I1440" t="s">
        <v>129</v>
      </c>
      <c r="J1440">
        <v>8.3000000000000007</v>
      </c>
      <c r="K1440">
        <v>32.9</v>
      </c>
      <c r="L1440" t="s">
        <v>29</v>
      </c>
      <c r="M1440" t="s">
        <v>29</v>
      </c>
      <c r="N1440" t="s">
        <v>29</v>
      </c>
      <c r="O1440" t="s">
        <v>29</v>
      </c>
      <c r="P1440" t="s">
        <v>29</v>
      </c>
      <c r="Q1440" t="s">
        <v>29</v>
      </c>
      <c r="R1440">
        <v>577</v>
      </c>
      <c r="S1440">
        <v>31.19</v>
      </c>
      <c r="T1440">
        <v>4.3</v>
      </c>
      <c r="U1440">
        <v>4.8</v>
      </c>
      <c r="V1440" t="s">
        <v>84</v>
      </c>
    </row>
    <row r="1441" spans="1:22" x14ac:dyDescent="0.35">
      <c r="A1441" s="1">
        <v>45539</v>
      </c>
      <c r="B1441" t="s">
        <v>53</v>
      </c>
      <c r="C1441" s="2">
        <v>0.28989583333333335</v>
      </c>
      <c r="D1441" t="s">
        <v>3117</v>
      </c>
      <c r="E1441" t="s">
        <v>41</v>
      </c>
      <c r="F1441" t="s">
        <v>3118</v>
      </c>
      <c r="G1441" t="s">
        <v>67</v>
      </c>
      <c r="H1441" t="s">
        <v>744</v>
      </c>
      <c r="I1441" t="s">
        <v>44</v>
      </c>
      <c r="J1441">
        <v>14.6</v>
      </c>
      <c r="K1441">
        <v>15.2</v>
      </c>
      <c r="L1441" t="s">
        <v>29</v>
      </c>
      <c r="M1441" t="s">
        <v>29</v>
      </c>
      <c r="N1441" t="s">
        <v>29</v>
      </c>
      <c r="O1441" t="s">
        <v>29</v>
      </c>
      <c r="P1441" t="s">
        <v>29</v>
      </c>
      <c r="Q1441" t="s">
        <v>29</v>
      </c>
      <c r="R1441">
        <v>52</v>
      </c>
      <c r="S1441">
        <v>40.6</v>
      </c>
      <c r="T1441">
        <v>4.2</v>
      </c>
      <c r="U1441">
        <v>4.8</v>
      </c>
      <c r="V1441" t="s">
        <v>84</v>
      </c>
    </row>
    <row r="1442" spans="1:22" x14ac:dyDescent="0.35">
      <c r="A1442" s="1">
        <v>45641</v>
      </c>
      <c r="B1442" t="s">
        <v>78</v>
      </c>
      <c r="C1442" s="2">
        <v>0.55929398148148146</v>
      </c>
      <c r="D1442" t="s">
        <v>3119</v>
      </c>
      <c r="E1442" t="s">
        <v>41</v>
      </c>
      <c r="F1442" t="s">
        <v>3120</v>
      </c>
      <c r="G1442" t="s">
        <v>56</v>
      </c>
      <c r="H1442" t="s">
        <v>82</v>
      </c>
      <c r="I1442" t="s">
        <v>76</v>
      </c>
      <c r="J1442">
        <v>7.7</v>
      </c>
      <c r="K1442">
        <v>31.8</v>
      </c>
      <c r="L1442" t="s">
        <v>29</v>
      </c>
      <c r="M1442" t="s">
        <v>29</v>
      </c>
      <c r="N1442" t="s">
        <v>29</v>
      </c>
      <c r="O1442" t="s">
        <v>29</v>
      </c>
      <c r="P1442" t="s">
        <v>29</v>
      </c>
      <c r="Q1442" t="s">
        <v>29</v>
      </c>
      <c r="R1442">
        <v>751</v>
      </c>
      <c r="S1442">
        <v>14.74</v>
      </c>
      <c r="T1442">
        <v>3.9</v>
      </c>
      <c r="U1442">
        <v>4.5</v>
      </c>
      <c r="V1442" t="s">
        <v>46</v>
      </c>
    </row>
    <row r="1443" spans="1:22" x14ac:dyDescent="0.35">
      <c r="A1443" s="1">
        <v>45329</v>
      </c>
      <c r="B1443" t="s">
        <v>59</v>
      </c>
      <c r="C1443" s="2">
        <v>0.74250000000000005</v>
      </c>
      <c r="D1443" t="s">
        <v>3121</v>
      </c>
      <c r="E1443" t="s">
        <v>117</v>
      </c>
      <c r="F1443" t="s">
        <v>3122</v>
      </c>
      <c r="G1443" t="s">
        <v>67</v>
      </c>
      <c r="H1443" t="s">
        <v>374</v>
      </c>
      <c r="I1443" t="s">
        <v>27</v>
      </c>
      <c r="J1443">
        <v>7.6</v>
      </c>
      <c r="K1443" t="s">
        <v>29</v>
      </c>
      <c r="L1443">
        <v>1</v>
      </c>
      <c r="M1443" t="s">
        <v>121</v>
      </c>
      <c r="N1443" t="s">
        <v>29</v>
      </c>
      <c r="O1443" t="s">
        <v>29</v>
      </c>
      <c r="P1443" t="s">
        <v>29</v>
      </c>
      <c r="Q1443" t="s">
        <v>29</v>
      </c>
      <c r="R1443" t="s">
        <v>29</v>
      </c>
      <c r="S1443" t="s">
        <v>29</v>
      </c>
      <c r="T1443" t="s">
        <v>29</v>
      </c>
      <c r="U1443" t="s">
        <v>29</v>
      </c>
      <c r="V1443" t="s">
        <v>29</v>
      </c>
    </row>
    <row r="1444" spans="1:22" x14ac:dyDescent="0.35">
      <c r="A1444" s="1">
        <v>45462</v>
      </c>
      <c r="B1444" t="s">
        <v>64</v>
      </c>
      <c r="C1444" s="2">
        <v>0.42525462962962962</v>
      </c>
      <c r="D1444" t="s">
        <v>3123</v>
      </c>
      <c r="E1444" t="s">
        <v>93</v>
      </c>
      <c r="F1444" t="s">
        <v>3124</v>
      </c>
      <c r="G1444" t="s">
        <v>43</v>
      </c>
      <c r="H1444" t="s">
        <v>193</v>
      </c>
      <c r="I1444" t="s">
        <v>35</v>
      </c>
      <c r="J1444">
        <v>3.3</v>
      </c>
      <c r="K1444" t="s">
        <v>29</v>
      </c>
      <c r="L1444" t="s">
        <v>29</v>
      </c>
      <c r="M1444" t="s">
        <v>29</v>
      </c>
      <c r="N1444">
        <v>1</v>
      </c>
      <c r="O1444" t="s">
        <v>97</v>
      </c>
      <c r="P1444" t="s">
        <v>29</v>
      </c>
      <c r="Q1444" t="s">
        <v>29</v>
      </c>
      <c r="R1444" t="s">
        <v>29</v>
      </c>
      <c r="S1444" t="s">
        <v>29</v>
      </c>
      <c r="T1444" t="s">
        <v>29</v>
      </c>
      <c r="U1444" t="s">
        <v>29</v>
      </c>
      <c r="V1444" t="s">
        <v>29</v>
      </c>
    </row>
    <row r="1445" spans="1:22" x14ac:dyDescent="0.35">
      <c r="A1445" s="1">
        <v>45644</v>
      </c>
      <c r="B1445" t="s">
        <v>78</v>
      </c>
      <c r="C1445" s="2">
        <v>0.53518518518518521</v>
      </c>
      <c r="D1445" t="s">
        <v>3125</v>
      </c>
      <c r="E1445" t="s">
        <v>41</v>
      </c>
      <c r="F1445" t="s">
        <v>3126</v>
      </c>
      <c r="G1445" t="s">
        <v>67</v>
      </c>
      <c r="H1445" t="s">
        <v>654</v>
      </c>
      <c r="I1445" t="s">
        <v>73</v>
      </c>
      <c r="J1445">
        <v>9.1999999999999993</v>
      </c>
      <c r="K1445">
        <v>25.8</v>
      </c>
      <c r="L1445" t="s">
        <v>29</v>
      </c>
      <c r="M1445" t="s">
        <v>29</v>
      </c>
      <c r="N1445" t="s">
        <v>29</v>
      </c>
      <c r="O1445" t="s">
        <v>29</v>
      </c>
      <c r="P1445" t="s">
        <v>29</v>
      </c>
      <c r="Q1445" t="s">
        <v>29</v>
      </c>
      <c r="R1445">
        <v>947</v>
      </c>
      <c r="S1445">
        <v>31.96</v>
      </c>
      <c r="T1445">
        <v>4.3</v>
      </c>
      <c r="U1445">
        <v>4.5999999999999996</v>
      </c>
      <c r="V1445" t="s">
        <v>84</v>
      </c>
    </row>
    <row r="1446" spans="1:22" x14ac:dyDescent="0.35">
      <c r="A1446" s="1">
        <v>45435</v>
      </c>
      <c r="B1446" t="s">
        <v>122</v>
      </c>
      <c r="C1446" s="2">
        <v>0.7306597222222222</v>
      </c>
      <c r="D1446" t="s">
        <v>3127</v>
      </c>
      <c r="E1446" t="s">
        <v>93</v>
      </c>
      <c r="F1446" t="s">
        <v>3128</v>
      </c>
      <c r="G1446" t="s">
        <v>43</v>
      </c>
      <c r="H1446" t="s">
        <v>254</v>
      </c>
      <c r="I1446" t="s">
        <v>616</v>
      </c>
      <c r="J1446">
        <v>11.3</v>
      </c>
      <c r="K1446" t="s">
        <v>29</v>
      </c>
      <c r="L1446" t="s">
        <v>29</v>
      </c>
      <c r="M1446" t="s">
        <v>29</v>
      </c>
      <c r="N1446">
        <v>1</v>
      </c>
      <c r="O1446" t="s">
        <v>337</v>
      </c>
      <c r="P1446" t="s">
        <v>29</v>
      </c>
      <c r="Q1446" t="s">
        <v>29</v>
      </c>
      <c r="R1446" t="s">
        <v>29</v>
      </c>
      <c r="S1446" t="s">
        <v>29</v>
      </c>
      <c r="T1446" t="s">
        <v>29</v>
      </c>
      <c r="U1446" t="s">
        <v>29</v>
      </c>
      <c r="V1446" t="s">
        <v>29</v>
      </c>
    </row>
    <row r="1447" spans="1:22" x14ac:dyDescent="0.35">
      <c r="A1447" s="1">
        <v>45632</v>
      </c>
      <c r="B1447" t="s">
        <v>78</v>
      </c>
      <c r="C1447" s="2">
        <v>0.5532407407407407</v>
      </c>
      <c r="D1447" t="s">
        <v>3129</v>
      </c>
      <c r="E1447" t="s">
        <v>41</v>
      </c>
      <c r="F1447" t="s">
        <v>3130</v>
      </c>
      <c r="G1447" t="s">
        <v>43</v>
      </c>
      <c r="H1447" t="s">
        <v>197</v>
      </c>
      <c r="I1447" t="s">
        <v>1704</v>
      </c>
      <c r="J1447">
        <v>13.4</v>
      </c>
      <c r="K1447">
        <v>17.100000000000001</v>
      </c>
      <c r="L1447" t="s">
        <v>29</v>
      </c>
      <c r="M1447" t="s">
        <v>29</v>
      </c>
      <c r="N1447" t="s">
        <v>29</v>
      </c>
      <c r="O1447" t="s">
        <v>29</v>
      </c>
      <c r="P1447" t="s">
        <v>29</v>
      </c>
      <c r="Q1447" t="s">
        <v>29</v>
      </c>
      <c r="R1447">
        <v>671</v>
      </c>
      <c r="S1447">
        <v>34.75</v>
      </c>
      <c r="T1447">
        <v>4.4000000000000004</v>
      </c>
      <c r="U1447">
        <v>4.9000000000000004</v>
      </c>
      <c r="V1447" t="s">
        <v>38</v>
      </c>
    </row>
    <row r="1448" spans="1:22" x14ac:dyDescent="0.35">
      <c r="A1448" s="1">
        <v>45321</v>
      </c>
      <c r="B1448" t="s">
        <v>150</v>
      </c>
      <c r="C1448" s="2">
        <v>0.87414351851851857</v>
      </c>
      <c r="D1448" t="s">
        <v>3131</v>
      </c>
      <c r="E1448" t="s">
        <v>24</v>
      </c>
      <c r="F1448" t="s">
        <v>3132</v>
      </c>
      <c r="G1448" t="s">
        <v>43</v>
      </c>
      <c r="H1448" t="s">
        <v>248</v>
      </c>
      <c r="I1448" t="s">
        <v>57</v>
      </c>
      <c r="J1448" t="s">
        <v>29</v>
      </c>
      <c r="K1448" t="s">
        <v>29</v>
      </c>
      <c r="L1448" t="s">
        <v>29</v>
      </c>
      <c r="M1448" t="s">
        <v>29</v>
      </c>
      <c r="N1448" t="s">
        <v>29</v>
      </c>
      <c r="O1448" t="s">
        <v>29</v>
      </c>
      <c r="P1448" t="s">
        <v>29</v>
      </c>
      <c r="Q1448" t="s">
        <v>29</v>
      </c>
      <c r="R1448" t="s">
        <v>29</v>
      </c>
      <c r="S1448" t="s">
        <v>29</v>
      </c>
      <c r="T1448" t="s">
        <v>29</v>
      </c>
      <c r="U1448" t="s">
        <v>29</v>
      </c>
      <c r="V1448" t="s">
        <v>29</v>
      </c>
    </row>
    <row r="1449" spans="1:22" x14ac:dyDescent="0.35">
      <c r="A1449" s="1">
        <v>45607</v>
      </c>
      <c r="B1449" t="s">
        <v>30</v>
      </c>
      <c r="C1449" s="2">
        <v>0.57268518518518519</v>
      </c>
      <c r="D1449" t="s">
        <v>3133</v>
      </c>
      <c r="E1449" t="s">
        <v>41</v>
      </c>
      <c r="F1449" t="s">
        <v>3134</v>
      </c>
      <c r="G1449" t="s">
        <v>43</v>
      </c>
      <c r="H1449" t="s">
        <v>892</v>
      </c>
      <c r="I1449" t="s">
        <v>477</v>
      </c>
      <c r="J1449">
        <v>9.5</v>
      </c>
      <c r="K1449">
        <v>15.3</v>
      </c>
      <c r="L1449" t="s">
        <v>29</v>
      </c>
      <c r="M1449" t="s">
        <v>29</v>
      </c>
      <c r="N1449" t="s">
        <v>29</v>
      </c>
      <c r="O1449" t="s">
        <v>29</v>
      </c>
      <c r="P1449" t="s">
        <v>29</v>
      </c>
      <c r="Q1449" t="s">
        <v>29</v>
      </c>
      <c r="R1449">
        <v>468</v>
      </c>
      <c r="S1449">
        <v>35.29</v>
      </c>
      <c r="T1449">
        <v>4.4000000000000004</v>
      </c>
      <c r="U1449">
        <v>4.8</v>
      </c>
      <c r="V1449" t="s">
        <v>46</v>
      </c>
    </row>
    <row r="1450" spans="1:22" x14ac:dyDescent="0.35">
      <c r="A1450" s="1">
        <v>45335</v>
      </c>
      <c r="B1450" t="s">
        <v>59</v>
      </c>
      <c r="C1450" s="2">
        <v>0.6746875</v>
      </c>
      <c r="D1450" t="s">
        <v>3135</v>
      </c>
      <c r="E1450" t="s">
        <v>41</v>
      </c>
      <c r="F1450" t="s">
        <v>3136</v>
      </c>
      <c r="G1450" t="s">
        <v>43</v>
      </c>
      <c r="H1450" t="s">
        <v>190</v>
      </c>
      <c r="I1450" t="s">
        <v>68</v>
      </c>
      <c r="J1450">
        <v>5.8</v>
      </c>
      <c r="K1450">
        <v>18.600000000000001</v>
      </c>
      <c r="L1450" t="s">
        <v>29</v>
      </c>
      <c r="M1450" t="s">
        <v>29</v>
      </c>
      <c r="N1450" t="s">
        <v>29</v>
      </c>
      <c r="O1450" t="s">
        <v>29</v>
      </c>
      <c r="P1450" t="s">
        <v>29</v>
      </c>
      <c r="Q1450" t="s">
        <v>29</v>
      </c>
      <c r="R1450">
        <v>162</v>
      </c>
      <c r="S1450">
        <v>23.95</v>
      </c>
      <c r="T1450">
        <v>3.3</v>
      </c>
      <c r="U1450">
        <v>3.9</v>
      </c>
      <c r="V1450" t="s">
        <v>84</v>
      </c>
    </row>
    <row r="1451" spans="1:22" x14ac:dyDescent="0.35">
      <c r="A1451" s="1">
        <v>45413</v>
      </c>
      <c r="B1451" t="s">
        <v>122</v>
      </c>
      <c r="C1451" s="2">
        <v>0.78570601851851851</v>
      </c>
      <c r="D1451" t="s">
        <v>3137</v>
      </c>
      <c r="E1451" t="s">
        <v>117</v>
      </c>
      <c r="F1451" t="s">
        <v>3138</v>
      </c>
      <c r="G1451" t="s">
        <v>26</v>
      </c>
      <c r="H1451" t="s">
        <v>315</v>
      </c>
      <c r="I1451" t="s">
        <v>365</v>
      </c>
      <c r="J1451">
        <v>14.5</v>
      </c>
      <c r="K1451" t="s">
        <v>29</v>
      </c>
      <c r="L1451">
        <v>1</v>
      </c>
      <c r="M1451" t="s">
        <v>490</v>
      </c>
      <c r="N1451" t="s">
        <v>29</v>
      </c>
      <c r="O1451" t="s">
        <v>29</v>
      </c>
      <c r="P1451" t="s">
        <v>29</v>
      </c>
      <c r="Q1451" t="s">
        <v>29</v>
      </c>
      <c r="R1451" t="s">
        <v>29</v>
      </c>
      <c r="S1451" t="s">
        <v>29</v>
      </c>
      <c r="T1451" t="s">
        <v>29</v>
      </c>
      <c r="U1451" t="s">
        <v>29</v>
      </c>
      <c r="V1451" t="s">
        <v>29</v>
      </c>
    </row>
    <row r="1452" spans="1:22" x14ac:dyDescent="0.35">
      <c r="A1452" s="1">
        <v>45450</v>
      </c>
      <c r="B1452" t="s">
        <v>64</v>
      </c>
      <c r="C1452" s="2">
        <v>0.40534722222222225</v>
      </c>
      <c r="D1452" t="s">
        <v>3139</v>
      </c>
      <c r="E1452" t="s">
        <v>41</v>
      </c>
      <c r="F1452" t="s">
        <v>3140</v>
      </c>
      <c r="G1452" t="s">
        <v>56</v>
      </c>
      <c r="H1452" t="s">
        <v>220</v>
      </c>
      <c r="I1452" t="s">
        <v>449</v>
      </c>
      <c r="J1452">
        <v>7.1</v>
      </c>
      <c r="K1452">
        <v>40</v>
      </c>
      <c r="L1452" t="s">
        <v>29</v>
      </c>
      <c r="M1452" t="s">
        <v>29</v>
      </c>
      <c r="N1452" t="s">
        <v>29</v>
      </c>
      <c r="O1452" t="s">
        <v>29</v>
      </c>
      <c r="P1452" t="s">
        <v>29</v>
      </c>
      <c r="Q1452" t="s">
        <v>29</v>
      </c>
      <c r="R1452">
        <v>384</v>
      </c>
      <c r="S1452">
        <v>43.54</v>
      </c>
      <c r="T1452">
        <v>4.0999999999999996</v>
      </c>
      <c r="U1452">
        <v>4.8</v>
      </c>
      <c r="V1452" t="s">
        <v>107</v>
      </c>
    </row>
    <row r="1453" spans="1:22" x14ac:dyDescent="0.35">
      <c r="A1453" s="1">
        <v>45406</v>
      </c>
      <c r="B1453" t="s">
        <v>154</v>
      </c>
      <c r="C1453" s="2">
        <v>0.90254629629629635</v>
      </c>
      <c r="D1453" t="s">
        <v>3141</v>
      </c>
      <c r="E1453" t="s">
        <v>117</v>
      </c>
      <c r="F1453" t="s">
        <v>3142</v>
      </c>
      <c r="G1453" t="s">
        <v>50</v>
      </c>
      <c r="H1453" t="s">
        <v>296</v>
      </c>
      <c r="I1453" t="s">
        <v>214</v>
      </c>
      <c r="J1453">
        <v>15.4</v>
      </c>
      <c r="K1453" t="s">
        <v>29</v>
      </c>
      <c r="L1453">
        <v>1</v>
      </c>
      <c r="M1453" t="s">
        <v>224</v>
      </c>
      <c r="N1453" t="s">
        <v>29</v>
      </c>
      <c r="O1453" t="s">
        <v>29</v>
      </c>
      <c r="P1453" t="s">
        <v>29</v>
      </c>
      <c r="Q1453" t="s">
        <v>29</v>
      </c>
      <c r="R1453" t="s">
        <v>29</v>
      </c>
      <c r="S1453" t="s">
        <v>29</v>
      </c>
      <c r="T1453" t="s">
        <v>29</v>
      </c>
      <c r="U1453" t="s">
        <v>29</v>
      </c>
      <c r="V1453" t="s">
        <v>29</v>
      </c>
    </row>
    <row r="1454" spans="1:22" x14ac:dyDescent="0.35">
      <c r="A1454" s="1">
        <v>45625</v>
      </c>
      <c r="B1454" t="s">
        <v>30</v>
      </c>
      <c r="C1454" s="2">
        <v>0.73876157407407406</v>
      </c>
      <c r="D1454" t="s">
        <v>3143</v>
      </c>
      <c r="E1454" t="s">
        <v>41</v>
      </c>
      <c r="F1454" t="s">
        <v>3144</v>
      </c>
      <c r="G1454" t="s">
        <v>67</v>
      </c>
      <c r="H1454" t="s">
        <v>183</v>
      </c>
      <c r="I1454" t="s">
        <v>167</v>
      </c>
      <c r="J1454">
        <v>9.6999999999999993</v>
      </c>
      <c r="K1454">
        <v>19.2</v>
      </c>
      <c r="L1454" t="s">
        <v>29</v>
      </c>
      <c r="M1454" t="s">
        <v>29</v>
      </c>
      <c r="N1454" t="s">
        <v>29</v>
      </c>
      <c r="O1454" t="s">
        <v>29</v>
      </c>
      <c r="P1454" t="s">
        <v>29</v>
      </c>
      <c r="Q1454" t="s">
        <v>29</v>
      </c>
      <c r="R1454">
        <v>288</v>
      </c>
      <c r="S1454">
        <v>13.51</v>
      </c>
      <c r="T1454">
        <v>3.8</v>
      </c>
      <c r="U1454">
        <v>4.2</v>
      </c>
      <c r="V1454" t="s">
        <v>149</v>
      </c>
    </row>
    <row r="1455" spans="1:22" x14ac:dyDescent="0.35">
      <c r="A1455" s="1">
        <v>45563</v>
      </c>
      <c r="B1455" t="s">
        <v>53</v>
      </c>
      <c r="C1455" s="2">
        <v>0.64156250000000004</v>
      </c>
      <c r="D1455" t="s">
        <v>3145</v>
      </c>
      <c r="E1455" t="s">
        <v>41</v>
      </c>
      <c r="F1455" t="s">
        <v>3146</v>
      </c>
      <c r="G1455" t="s">
        <v>50</v>
      </c>
      <c r="H1455" t="s">
        <v>441</v>
      </c>
      <c r="I1455" t="s">
        <v>125</v>
      </c>
      <c r="J1455">
        <v>10.7</v>
      </c>
      <c r="K1455">
        <v>31</v>
      </c>
      <c r="L1455" t="s">
        <v>29</v>
      </c>
      <c r="M1455" t="s">
        <v>29</v>
      </c>
      <c r="N1455" t="s">
        <v>29</v>
      </c>
      <c r="O1455" t="s">
        <v>29</v>
      </c>
      <c r="P1455" t="s">
        <v>29</v>
      </c>
      <c r="Q1455" t="s">
        <v>29</v>
      </c>
      <c r="R1455">
        <v>158</v>
      </c>
      <c r="S1455">
        <v>16.82</v>
      </c>
      <c r="T1455">
        <v>4.2</v>
      </c>
      <c r="U1455">
        <v>3.7</v>
      </c>
      <c r="V1455" t="s">
        <v>38</v>
      </c>
    </row>
    <row r="1456" spans="1:22" x14ac:dyDescent="0.35">
      <c r="A1456" s="1">
        <v>45466</v>
      </c>
      <c r="B1456" t="s">
        <v>64</v>
      </c>
      <c r="C1456" s="2">
        <v>0.76296296296296295</v>
      </c>
      <c r="D1456" t="s">
        <v>3147</v>
      </c>
      <c r="E1456" t="s">
        <v>41</v>
      </c>
      <c r="F1456" t="s">
        <v>3148</v>
      </c>
      <c r="G1456" t="s">
        <v>56</v>
      </c>
      <c r="H1456" t="s">
        <v>45</v>
      </c>
      <c r="I1456" t="s">
        <v>1035</v>
      </c>
      <c r="J1456">
        <v>7.1</v>
      </c>
      <c r="K1456">
        <v>45</v>
      </c>
      <c r="L1456" t="s">
        <v>29</v>
      </c>
      <c r="M1456" t="s">
        <v>29</v>
      </c>
      <c r="N1456" t="s">
        <v>29</v>
      </c>
      <c r="O1456" t="s">
        <v>29</v>
      </c>
      <c r="P1456" t="s">
        <v>29</v>
      </c>
      <c r="Q1456" t="s">
        <v>29</v>
      </c>
      <c r="R1456">
        <v>801</v>
      </c>
      <c r="S1456">
        <v>44.35</v>
      </c>
      <c r="T1456">
        <v>4.7</v>
      </c>
      <c r="U1456">
        <v>4.7</v>
      </c>
      <c r="V1456" t="s">
        <v>38</v>
      </c>
    </row>
    <row r="1457" spans="1:22" x14ac:dyDescent="0.35">
      <c r="A1457" s="1">
        <v>45463</v>
      </c>
      <c r="B1457" t="s">
        <v>64</v>
      </c>
      <c r="C1457" s="2">
        <v>0.86686342592592591</v>
      </c>
      <c r="D1457" t="s">
        <v>3149</v>
      </c>
      <c r="E1457" t="s">
        <v>41</v>
      </c>
      <c r="F1457" t="s">
        <v>3150</v>
      </c>
      <c r="G1457" t="s">
        <v>34</v>
      </c>
      <c r="H1457" t="s">
        <v>435</v>
      </c>
      <c r="I1457" t="s">
        <v>190</v>
      </c>
      <c r="J1457">
        <v>6.8</v>
      </c>
      <c r="K1457">
        <v>31.4</v>
      </c>
      <c r="L1457" t="s">
        <v>29</v>
      </c>
      <c r="M1457" t="s">
        <v>29</v>
      </c>
      <c r="N1457" t="s">
        <v>29</v>
      </c>
      <c r="O1457" t="s">
        <v>29</v>
      </c>
      <c r="P1457" t="s">
        <v>29</v>
      </c>
      <c r="Q1457" t="s">
        <v>29</v>
      </c>
      <c r="R1457">
        <v>362</v>
      </c>
      <c r="S1457">
        <v>45.48</v>
      </c>
      <c r="T1457">
        <v>4.7</v>
      </c>
      <c r="U1457">
        <v>4.5999999999999996</v>
      </c>
      <c r="V1457" t="s">
        <v>46</v>
      </c>
    </row>
    <row r="1458" spans="1:22" x14ac:dyDescent="0.35">
      <c r="A1458" s="1">
        <v>45562</v>
      </c>
      <c r="B1458" t="s">
        <v>53</v>
      </c>
      <c r="C1458" s="2">
        <v>0.60155092592592596</v>
      </c>
      <c r="D1458" t="s">
        <v>3151</v>
      </c>
      <c r="E1458" t="s">
        <v>41</v>
      </c>
      <c r="F1458" t="s">
        <v>3152</v>
      </c>
      <c r="G1458" t="s">
        <v>67</v>
      </c>
      <c r="H1458" t="s">
        <v>290</v>
      </c>
      <c r="I1458" t="s">
        <v>281</v>
      </c>
      <c r="J1458">
        <v>13.6</v>
      </c>
      <c r="K1458">
        <v>41</v>
      </c>
      <c r="L1458" t="s">
        <v>29</v>
      </c>
      <c r="M1458" t="s">
        <v>29</v>
      </c>
      <c r="N1458" t="s">
        <v>29</v>
      </c>
      <c r="O1458" t="s">
        <v>29</v>
      </c>
      <c r="P1458" t="s">
        <v>29</v>
      </c>
      <c r="Q1458" t="s">
        <v>29</v>
      </c>
      <c r="R1458">
        <v>587</v>
      </c>
      <c r="S1458">
        <v>15.83</v>
      </c>
      <c r="T1458">
        <v>4.3</v>
      </c>
      <c r="U1458">
        <v>4.3</v>
      </c>
      <c r="V1458" t="s">
        <v>107</v>
      </c>
    </row>
    <row r="1459" spans="1:22" x14ac:dyDescent="0.35">
      <c r="A1459" s="1">
        <v>45377</v>
      </c>
      <c r="B1459" t="s">
        <v>22</v>
      </c>
      <c r="C1459" s="2">
        <v>0.45275462962962965</v>
      </c>
      <c r="D1459" t="s">
        <v>3153</v>
      </c>
      <c r="E1459" t="s">
        <v>41</v>
      </c>
      <c r="F1459" t="s">
        <v>3154</v>
      </c>
      <c r="G1459" t="s">
        <v>56</v>
      </c>
      <c r="H1459" t="s">
        <v>327</v>
      </c>
      <c r="I1459" t="s">
        <v>82</v>
      </c>
      <c r="J1459">
        <v>2.8</v>
      </c>
      <c r="K1459">
        <v>18.100000000000001</v>
      </c>
      <c r="L1459" t="s">
        <v>29</v>
      </c>
      <c r="M1459" t="s">
        <v>29</v>
      </c>
      <c r="N1459" t="s">
        <v>29</v>
      </c>
      <c r="O1459" t="s">
        <v>29</v>
      </c>
      <c r="P1459" t="s">
        <v>29</v>
      </c>
      <c r="Q1459" t="s">
        <v>29</v>
      </c>
      <c r="R1459">
        <v>537</v>
      </c>
      <c r="S1459">
        <v>3.53</v>
      </c>
      <c r="T1459">
        <v>4.2</v>
      </c>
      <c r="U1459">
        <v>4.2</v>
      </c>
      <c r="V1459" t="s">
        <v>84</v>
      </c>
    </row>
    <row r="1460" spans="1:22" x14ac:dyDescent="0.35">
      <c r="A1460" s="1">
        <v>45355</v>
      </c>
      <c r="B1460" t="s">
        <v>22</v>
      </c>
      <c r="C1460" s="2">
        <v>0.64321759259259259</v>
      </c>
      <c r="D1460" t="s">
        <v>3155</v>
      </c>
      <c r="E1460" t="s">
        <v>41</v>
      </c>
      <c r="F1460" t="s">
        <v>3156</v>
      </c>
      <c r="G1460" t="s">
        <v>67</v>
      </c>
      <c r="H1460" t="s">
        <v>489</v>
      </c>
      <c r="I1460" t="s">
        <v>263</v>
      </c>
      <c r="J1460">
        <v>14.9</v>
      </c>
      <c r="K1460">
        <v>18</v>
      </c>
      <c r="L1460" t="s">
        <v>29</v>
      </c>
      <c r="M1460" t="s">
        <v>29</v>
      </c>
      <c r="N1460" t="s">
        <v>29</v>
      </c>
      <c r="O1460" t="s">
        <v>29</v>
      </c>
      <c r="P1460" t="s">
        <v>29</v>
      </c>
      <c r="Q1460" t="s">
        <v>29</v>
      </c>
      <c r="R1460">
        <v>108</v>
      </c>
      <c r="S1460">
        <v>39.36</v>
      </c>
      <c r="T1460">
        <v>4.5</v>
      </c>
      <c r="U1460">
        <v>3.9</v>
      </c>
      <c r="V1460" t="s">
        <v>84</v>
      </c>
    </row>
    <row r="1461" spans="1:22" x14ac:dyDescent="0.35">
      <c r="A1461" s="1">
        <v>45630</v>
      </c>
      <c r="B1461" t="s">
        <v>78</v>
      </c>
      <c r="C1461" s="2">
        <v>0.48516203703703703</v>
      </c>
      <c r="D1461" t="s">
        <v>3157</v>
      </c>
      <c r="E1461" t="s">
        <v>32</v>
      </c>
      <c r="F1461" t="s">
        <v>3158</v>
      </c>
      <c r="G1461" t="s">
        <v>43</v>
      </c>
      <c r="H1461" t="s">
        <v>249</v>
      </c>
      <c r="I1461" t="s">
        <v>186</v>
      </c>
      <c r="J1461">
        <v>6.9</v>
      </c>
      <c r="K1461">
        <v>25.4</v>
      </c>
      <c r="L1461" t="s">
        <v>29</v>
      </c>
      <c r="M1461" t="s">
        <v>29</v>
      </c>
      <c r="N1461" t="s">
        <v>29</v>
      </c>
      <c r="O1461" t="s">
        <v>29</v>
      </c>
      <c r="P1461">
        <v>1</v>
      </c>
      <c r="Q1461" t="s">
        <v>302</v>
      </c>
      <c r="R1461">
        <v>194</v>
      </c>
      <c r="S1461">
        <v>19.989999999999998</v>
      </c>
      <c r="T1461" t="s">
        <v>29</v>
      </c>
      <c r="U1461" t="s">
        <v>29</v>
      </c>
      <c r="V1461" t="s">
        <v>38</v>
      </c>
    </row>
    <row r="1462" spans="1:22" x14ac:dyDescent="0.35">
      <c r="A1462" s="1">
        <v>45493</v>
      </c>
      <c r="B1462" t="s">
        <v>108</v>
      </c>
      <c r="C1462" s="2">
        <v>3.6284722222222225E-2</v>
      </c>
      <c r="D1462" t="s">
        <v>3159</v>
      </c>
      <c r="E1462" t="s">
        <v>41</v>
      </c>
      <c r="F1462" t="s">
        <v>3160</v>
      </c>
      <c r="G1462" t="s">
        <v>146</v>
      </c>
      <c r="H1462" t="s">
        <v>210</v>
      </c>
      <c r="I1462" t="s">
        <v>255</v>
      </c>
      <c r="J1462">
        <v>8.3000000000000007</v>
      </c>
      <c r="K1462">
        <v>26.3</v>
      </c>
      <c r="L1462" t="s">
        <v>29</v>
      </c>
      <c r="M1462" t="s">
        <v>29</v>
      </c>
      <c r="N1462" t="s">
        <v>29</v>
      </c>
      <c r="O1462" t="s">
        <v>29</v>
      </c>
      <c r="P1462" t="s">
        <v>29</v>
      </c>
      <c r="Q1462" t="s">
        <v>29</v>
      </c>
      <c r="R1462">
        <v>591</v>
      </c>
      <c r="S1462">
        <v>14.68</v>
      </c>
      <c r="T1462">
        <v>4.0999999999999996</v>
      </c>
      <c r="U1462">
        <v>4.5999999999999996</v>
      </c>
      <c r="V1462" t="s">
        <v>107</v>
      </c>
    </row>
    <row r="1463" spans="1:22" x14ac:dyDescent="0.35">
      <c r="A1463" s="1">
        <v>45396</v>
      </c>
      <c r="B1463" t="s">
        <v>154</v>
      </c>
      <c r="C1463" s="2">
        <v>0.5693287037037037</v>
      </c>
      <c r="D1463" t="s">
        <v>3161</v>
      </c>
      <c r="E1463" t="s">
        <v>41</v>
      </c>
      <c r="F1463" t="s">
        <v>3162</v>
      </c>
      <c r="G1463" t="s">
        <v>50</v>
      </c>
      <c r="H1463" t="s">
        <v>585</v>
      </c>
      <c r="I1463" t="s">
        <v>198</v>
      </c>
      <c r="J1463">
        <v>8.8000000000000007</v>
      </c>
      <c r="K1463">
        <v>28.5</v>
      </c>
      <c r="L1463" t="s">
        <v>29</v>
      </c>
      <c r="M1463" t="s">
        <v>29</v>
      </c>
      <c r="N1463" t="s">
        <v>29</v>
      </c>
      <c r="O1463" t="s">
        <v>29</v>
      </c>
      <c r="P1463" t="s">
        <v>29</v>
      </c>
      <c r="Q1463" t="s">
        <v>29</v>
      </c>
      <c r="R1463">
        <v>707</v>
      </c>
      <c r="S1463">
        <v>3.49</v>
      </c>
      <c r="T1463">
        <v>3.3</v>
      </c>
      <c r="U1463">
        <v>4.3</v>
      </c>
      <c r="V1463" t="s">
        <v>38</v>
      </c>
    </row>
    <row r="1464" spans="1:22" x14ac:dyDescent="0.35">
      <c r="A1464" s="1">
        <v>45325</v>
      </c>
      <c r="B1464" t="s">
        <v>59</v>
      </c>
      <c r="C1464" s="2">
        <v>0.76591435185185186</v>
      </c>
      <c r="D1464" t="s">
        <v>3163</v>
      </c>
      <c r="E1464" t="s">
        <v>24</v>
      </c>
      <c r="F1464" t="s">
        <v>3164</v>
      </c>
      <c r="G1464" t="s">
        <v>56</v>
      </c>
      <c r="H1464" t="s">
        <v>214</v>
      </c>
      <c r="I1464" t="s">
        <v>177</v>
      </c>
      <c r="J1464" t="s">
        <v>29</v>
      </c>
      <c r="K1464" t="s">
        <v>29</v>
      </c>
      <c r="L1464" t="s">
        <v>29</v>
      </c>
      <c r="M1464" t="s">
        <v>29</v>
      </c>
      <c r="N1464" t="s">
        <v>29</v>
      </c>
      <c r="O1464" t="s">
        <v>29</v>
      </c>
      <c r="P1464" t="s">
        <v>29</v>
      </c>
      <c r="Q1464" t="s">
        <v>29</v>
      </c>
      <c r="R1464" t="s">
        <v>29</v>
      </c>
      <c r="S1464" t="s">
        <v>29</v>
      </c>
      <c r="T1464" t="s">
        <v>29</v>
      </c>
      <c r="U1464" t="s">
        <v>29</v>
      </c>
      <c r="V1464" t="s">
        <v>29</v>
      </c>
    </row>
    <row r="1465" spans="1:22" x14ac:dyDescent="0.35">
      <c r="A1465" s="1">
        <v>45326</v>
      </c>
      <c r="B1465" t="s">
        <v>59</v>
      </c>
      <c r="C1465" s="2">
        <v>0.929224537037037</v>
      </c>
      <c r="D1465" t="s">
        <v>3165</v>
      </c>
      <c r="E1465" t="s">
        <v>117</v>
      </c>
      <c r="F1465" t="s">
        <v>3166</v>
      </c>
      <c r="G1465" t="s">
        <v>67</v>
      </c>
      <c r="H1465" t="s">
        <v>58</v>
      </c>
      <c r="I1465" t="s">
        <v>474</v>
      </c>
      <c r="J1465">
        <v>10.1</v>
      </c>
      <c r="K1465" t="s">
        <v>29</v>
      </c>
      <c r="L1465">
        <v>1</v>
      </c>
      <c r="M1465" t="s">
        <v>490</v>
      </c>
      <c r="N1465" t="s">
        <v>29</v>
      </c>
      <c r="O1465" t="s">
        <v>29</v>
      </c>
      <c r="P1465" t="s">
        <v>29</v>
      </c>
      <c r="Q1465" t="s">
        <v>29</v>
      </c>
      <c r="R1465" t="s">
        <v>29</v>
      </c>
      <c r="S1465" t="s">
        <v>29</v>
      </c>
      <c r="T1465" t="s">
        <v>29</v>
      </c>
      <c r="U1465" t="s">
        <v>29</v>
      </c>
      <c r="V1465" t="s">
        <v>29</v>
      </c>
    </row>
    <row r="1466" spans="1:22" x14ac:dyDescent="0.35">
      <c r="A1466" s="1">
        <v>45601</v>
      </c>
      <c r="B1466" t="s">
        <v>30</v>
      </c>
      <c r="C1466" s="2">
        <v>0.81579861111111107</v>
      </c>
      <c r="D1466" t="s">
        <v>3167</v>
      </c>
      <c r="E1466" t="s">
        <v>41</v>
      </c>
      <c r="F1466" t="s">
        <v>3168</v>
      </c>
      <c r="G1466" t="s">
        <v>67</v>
      </c>
      <c r="H1466" t="s">
        <v>91</v>
      </c>
      <c r="I1466" t="s">
        <v>52</v>
      </c>
      <c r="J1466">
        <v>8.9</v>
      </c>
      <c r="K1466">
        <v>35.5</v>
      </c>
      <c r="L1466" t="s">
        <v>29</v>
      </c>
      <c r="M1466" t="s">
        <v>29</v>
      </c>
      <c r="N1466" t="s">
        <v>29</v>
      </c>
      <c r="O1466" t="s">
        <v>29</v>
      </c>
      <c r="P1466" t="s">
        <v>29</v>
      </c>
      <c r="Q1466" t="s">
        <v>29</v>
      </c>
      <c r="R1466">
        <v>52</v>
      </c>
      <c r="S1466">
        <v>37.619999999999997</v>
      </c>
      <c r="T1466">
        <v>4.2</v>
      </c>
      <c r="U1466">
        <v>4.4000000000000004</v>
      </c>
      <c r="V1466" t="s">
        <v>107</v>
      </c>
    </row>
    <row r="1467" spans="1:22" x14ac:dyDescent="0.35">
      <c r="A1467" s="1">
        <v>45329</v>
      </c>
      <c r="B1467" t="s">
        <v>59</v>
      </c>
      <c r="C1467" s="2">
        <v>8.774305555555556E-2</v>
      </c>
      <c r="D1467" t="s">
        <v>3169</v>
      </c>
      <c r="E1467" t="s">
        <v>41</v>
      </c>
      <c r="F1467" t="s">
        <v>3170</v>
      </c>
      <c r="G1467" t="s">
        <v>34</v>
      </c>
      <c r="H1467" t="s">
        <v>449</v>
      </c>
      <c r="I1467" t="s">
        <v>714</v>
      </c>
      <c r="J1467">
        <v>11.3</v>
      </c>
      <c r="K1467">
        <v>39.5</v>
      </c>
      <c r="L1467" t="s">
        <v>29</v>
      </c>
      <c r="M1467" t="s">
        <v>29</v>
      </c>
      <c r="N1467" t="s">
        <v>29</v>
      </c>
      <c r="O1467" t="s">
        <v>29</v>
      </c>
      <c r="P1467" t="s">
        <v>29</v>
      </c>
      <c r="Q1467" t="s">
        <v>29</v>
      </c>
      <c r="R1467">
        <v>520</v>
      </c>
      <c r="S1467">
        <v>27.98</v>
      </c>
      <c r="T1467">
        <v>4.0999999999999996</v>
      </c>
      <c r="U1467">
        <v>4.3</v>
      </c>
      <c r="V1467" t="s">
        <v>84</v>
      </c>
    </row>
    <row r="1468" spans="1:22" x14ac:dyDescent="0.35">
      <c r="A1468" s="1">
        <v>45358</v>
      </c>
      <c r="B1468" t="s">
        <v>22</v>
      </c>
      <c r="C1468" s="2">
        <v>0.78925925925925922</v>
      </c>
      <c r="D1468" t="s">
        <v>3171</v>
      </c>
      <c r="E1468" t="s">
        <v>41</v>
      </c>
      <c r="F1468" t="s">
        <v>3172</v>
      </c>
      <c r="G1468" t="s">
        <v>43</v>
      </c>
      <c r="H1468" t="s">
        <v>531</v>
      </c>
      <c r="I1468" t="s">
        <v>263</v>
      </c>
      <c r="J1468">
        <v>7.4</v>
      </c>
      <c r="K1468">
        <v>41</v>
      </c>
      <c r="L1468" t="s">
        <v>29</v>
      </c>
      <c r="M1468" t="s">
        <v>29</v>
      </c>
      <c r="N1468" t="s">
        <v>29</v>
      </c>
      <c r="O1468" t="s">
        <v>29</v>
      </c>
      <c r="P1468" t="s">
        <v>29</v>
      </c>
      <c r="Q1468" t="s">
        <v>29</v>
      </c>
      <c r="R1468">
        <v>551</v>
      </c>
      <c r="S1468">
        <v>48.84</v>
      </c>
      <c r="T1468">
        <v>4.0999999999999996</v>
      </c>
      <c r="U1468">
        <v>4.9000000000000004</v>
      </c>
      <c r="V1468" t="s">
        <v>107</v>
      </c>
    </row>
    <row r="1469" spans="1:22" x14ac:dyDescent="0.35">
      <c r="A1469" s="1">
        <v>45614</v>
      </c>
      <c r="B1469" t="s">
        <v>30</v>
      </c>
      <c r="C1469" s="2">
        <v>0.37684027777777779</v>
      </c>
      <c r="D1469" t="s">
        <v>3173</v>
      </c>
      <c r="E1469" t="s">
        <v>93</v>
      </c>
      <c r="F1469" t="s">
        <v>3174</v>
      </c>
      <c r="G1469" t="s">
        <v>34</v>
      </c>
      <c r="H1469" t="s">
        <v>486</v>
      </c>
      <c r="I1469" t="s">
        <v>44</v>
      </c>
      <c r="J1469">
        <v>8.5</v>
      </c>
      <c r="K1469" t="s">
        <v>29</v>
      </c>
      <c r="L1469" t="s">
        <v>29</v>
      </c>
      <c r="M1469" t="s">
        <v>29</v>
      </c>
      <c r="N1469">
        <v>1</v>
      </c>
      <c r="O1469" t="s">
        <v>115</v>
      </c>
      <c r="P1469" t="s">
        <v>29</v>
      </c>
      <c r="Q1469" t="s">
        <v>29</v>
      </c>
      <c r="R1469" t="s">
        <v>29</v>
      </c>
      <c r="S1469" t="s">
        <v>29</v>
      </c>
      <c r="T1469" t="s">
        <v>29</v>
      </c>
      <c r="U1469" t="s">
        <v>29</v>
      </c>
      <c r="V1469" t="s">
        <v>29</v>
      </c>
    </row>
    <row r="1470" spans="1:22" x14ac:dyDescent="0.35">
      <c r="A1470" s="1">
        <v>45452</v>
      </c>
      <c r="B1470" t="s">
        <v>64</v>
      </c>
      <c r="C1470" s="2">
        <v>0.39601851851851849</v>
      </c>
      <c r="D1470" t="s">
        <v>3175</v>
      </c>
      <c r="E1470" t="s">
        <v>41</v>
      </c>
      <c r="F1470" t="s">
        <v>3176</v>
      </c>
      <c r="G1470" t="s">
        <v>67</v>
      </c>
      <c r="H1470" t="s">
        <v>114</v>
      </c>
      <c r="I1470" t="s">
        <v>555</v>
      </c>
      <c r="J1470">
        <v>2.2000000000000002</v>
      </c>
      <c r="K1470">
        <v>24.9</v>
      </c>
      <c r="L1470" t="s">
        <v>29</v>
      </c>
      <c r="M1470" t="s">
        <v>29</v>
      </c>
      <c r="N1470" t="s">
        <v>29</v>
      </c>
      <c r="O1470" t="s">
        <v>29</v>
      </c>
      <c r="P1470" t="s">
        <v>29</v>
      </c>
      <c r="Q1470" t="s">
        <v>29</v>
      </c>
      <c r="R1470">
        <v>325</v>
      </c>
      <c r="S1470">
        <v>47.93</v>
      </c>
      <c r="T1470">
        <v>4.2</v>
      </c>
      <c r="U1470">
        <v>3.7</v>
      </c>
      <c r="V1470" t="s">
        <v>84</v>
      </c>
    </row>
    <row r="1471" spans="1:22" x14ac:dyDescent="0.35">
      <c r="A1471" s="1">
        <v>45308</v>
      </c>
      <c r="B1471" t="s">
        <v>150</v>
      </c>
      <c r="C1471" s="2">
        <v>0.5444444444444444</v>
      </c>
      <c r="D1471" t="s">
        <v>3177</v>
      </c>
      <c r="E1471" t="s">
        <v>24</v>
      </c>
      <c r="F1471" t="s">
        <v>3178</v>
      </c>
      <c r="G1471" t="s">
        <v>43</v>
      </c>
      <c r="H1471" t="s">
        <v>73</v>
      </c>
      <c r="I1471" t="s">
        <v>168</v>
      </c>
      <c r="J1471" t="s">
        <v>29</v>
      </c>
      <c r="K1471" t="s">
        <v>29</v>
      </c>
      <c r="L1471" t="s">
        <v>29</v>
      </c>
      <c r="M1471" t="s">
        <v>29</v>
      </c>
      <c r="N1471" t="s">
        <v>29</v>
      </c>
      <c r="O1471" t="s">
        <v>29</v>
      </c>
      <c r="P1471" t="s">
        <v>29</v>
      </c>
      <c r="Q1471" t="s">
        <v>29</v>
      </c>
      <c r="R1471" t="s">
        <v>29</v>
      </c>
      <c r="S1471" t="s">
        <v>29</v>
      </c>
      <c r="T1471" t="s">
        <v>29</v>
      </c>
      <c r="U1471" t="s">
        <v>29</v>
      </c>
      <c r="V1471" t="s">
        <v>29</v>
      </c>
    </row>
    <row r="1472" spans="1:22" x14ac:dyDescent="0.35">
      <c r="A1472" s="1">
        <v>45418</v>
      </c>
      <c r="B1472" t="s">
        <v>122</v>
      </c>
      <c r="C1472" s="2">
        <v>0.33809027777777778</v>
      </c>
      <c r="D1472" t="s">
        <v>3179</v>
      </c>
      <c r="E1472" t="s">
        <v>41</v>
      </c>
      <c r="F1472" t="s">
        <v>3180</v>
      </c>
      <c r="G1472" t="s">
        <v>67</v>
      </c>
      <c r="H1472" t="s">
        <v>266</v>
      </c>
      <c r="I1472" t="s">
        <v>120</v>
      </c>
      <c r="J1472">
        <v>2.5</v>
      </c>
      <c r="K1472">
        <v>41.6</v>
      </c>
      <c r="L1472" t="s">
        <v>29</v>
      </c>
      <c r="M1472" t="s">
        <v>29</v>
      </c>
      <c r="N1472" t="s">
        <v>29</v>
      </c>
      <c r="O1472" t="s">
        <v>29</v>
      </c>
      <c r="P1472" t="s">
        <v>29</v>
      </c>
      <c r="Q1472" t="s">
        <v>29</v>
      </c>
      <c r="R1472">
        <v>312</v>
      </c>
      <c r="S1472">
        <v>9.16</v>
      </c>
      <c r="T1472">
        <v>4.5</v>
      </c>
      <c r="U1472">
        <v>3.9</v>
      </c>
      <c r="V1472" t="s">
        <v>149</v>
      </c>
    </row>
    <row r="1473" spans="1:22" x14ac:dyDescent="0.35">
      <c r="A1473" s="1">
        <v>45408</v>
      </c>
      <c r="B1473" t="s">
        <v>154</v>
      </c>
      <c r="C1473" s="2">
        <v>0.9037384259259259</v>
      </c>
      <c r="D1473" t="s">
        <v>3181</v>
      </c>
      <c r="E1473" t="s">
        <v>32</v>
      </c>
      <c r="F1473" t="s">
        <v>3182</v>
      </c>
      <c r="G1473" t="s">
        <v>43</v>
      </c>
      <c r="H1473" t="s">
        <v>881</v>
      </c>
      <c r="I1473" t="s">
        <v>197</v>
      </c>
      <c r="J1473">
        <v>2.2000000000000002</v>
      </c>
      <c r="K1473">
        <v>13.6</v>
      </c>
      <c r="L1473" t="s">
        <v>29</v>
      </c>
      <c r="M1473" t="s">
        <v>29</v>
      </c>
      <c r="N1473" t="s">
        <v>29</v>
      </c>
      <c r="O1473" t="s">
        <v>29</v>
      </c>
      <c r="P1473">
        <v>1</v>
      </c>
      <c r="Q1473" t="s">
        <v>37</v>
      </c>
      <c r="R1473">
        <v>313</v>
      </c>
      <c r="S1473">
        <v>17.579999999999998</v>
      </c>
      <c r="T1473" t="s">
        <v>29</v>
      </c>
      <c r="U1473" t="s">
        <v>29</v>
      </c>
      <c r="V1473" t="s">
        <v>38</v>
      </c>
    </row>
    <row r="1474" spans="1:22" x14ac:dyDescent="0.35">
      <c r="A1474" s="1">
        <v>45383</v>
      </c>
      <c r="B1474" t="s">
        <v>154</v>
      </c>
      <c r="C1474" s="2">
        <v>0.30141203703703706</v>
      </c>
      <c r="D1474" t="s">
        <v>3183</v>
      </c>
      <c r="E1474" t="s">
        <v>93</v>
      </c>
      <c r="F1474" t="s">
        <v>3184</v>
      </c>
      <c r="G1474" t="s">
        <v>43</v>
      </c>
      <c r="H1474" t="s">
        <v>51</v>
      </c>
      <c r="I1474" t="s">
        <v>346</v>
      </c>
      <c r="J1474">
        <v>6.5</v>
      </c>
      <c r="K1474" t="s">
        <v>29</v>
      </c>
      <c r="L1474" t="s">
        <v>29</v>
      </c>
      <c r="M1474" t="s">
        <v>29</v>
      </c>
      <c r="N1474">
        <v>1</v>
      </c>
      <c r="O1474" t="s">
        <v>169</v>
      </c>
      <c r="P1474" t="s">
        <v>29</v>
      </c>
      <c r="Q1474" t="s">
        <v>29</v>
      </c>
      <c r="R1474" t="s">
        <v>29</v>
      </c>
      <c r="S1474" t="s">
        <v>29</v>
      </c>
      <c r="T1474" t="s">
        <v>29</v>
      </c>
      <c r="U1474" t="s">
        <v>29</v>
      </c>
      <c r="V1474" t="s">
        <v>29</v>
      </c>
    </row>
    <row r="1475" spans="1:22" x14ac:dyDescent="0.35">
      <c r="A1475" s="1">
        <v>45359</v>
      </c>
      <c r="B1475" t="s">
        <v>22</v>
      </c>
      <c r="C1475" s="2">
        <v>0.7155555555555555</v>
      </c>
      <c r="D1475" t="s">
        <v>3185</v>
      </c>
      <c r="E1475" t="s">
        <v>24</v>
      </c>
      <c r="F1475" t="s">
        <v>3186</v>
      </c>
      <c r="G1475" t="s">
        <v>34</v>
      </c>
      <c r="H1475" t="s">
        <v>45</v>
      </c>
      <c r="I1475" t="s">
        <v>333</v>
      </c>
      <c r="J1475" t="s">
        <v>29</v>
      </c>
      <c r="K1475" t="s">
        <v>29</v>
      </c>
      <c r="L1475" t="s">
        <v>29</v>
      </c>
      <c r="M1475" t="s">
        <v>29</v>
      </c>
      <c r="N1475" t="s">
        <v>29</v>
      </c>
      <c r="O1475" t="s">
        <v>29</v>
      </c>
      <c r="P1475" t="s">
        <v>29</v>
      </c>
      <c r="Q1475" t="s">
        <v>29</v>
      </c>
      <c r="R1475" t="s">
        <v>29</v>
      </c>
      <c r="S1475" t="s">
        <v>29</v>
      </c>
      <c r="T1475" t="s">
        <v>29</v>
      </c>
      <c r="U1475" t="s">
        <v>29</v>
      </c>
      <c r="V1475" t="s">
        <v>29</v>
      </c>
    </row>
    <row r="1476" spans="1:22" x14ac:dyDescent="0.35">
      <c r="A1476" s="1">
        <v>45344</v>
      </c>
      <c r="B1476" t="s">
        <v>59</v>
      </c>
      <c r="C1476" s="2">
        <v>0.34162037037037035</v>
      </c>
      <c r="D1476" t="s">
        <v>3187</v>
      </c>
      <c r="E1476" t="s">
        <v>41</v>
      </c>
      <c r="F1476" t="s">
        <v>3188</v>
      </c>
      <c r="G1476" t="s">
        <v>43</v>
      </c>
      <c r="H1476" t="s">
        <v>417</v>
      </c>
      <c r="I1476" t="s">
        <v>654</v>
      </c>
      <c r="J1476">
        <v>7.8</v>
      </c>
      <c r="K1476">
        <v>29</v>
      </c>
      <c r="L1476" t="s">
        <v>29</v>
      </c>
      <c r="M1476" t="s">
        <v>29</v>
      </c>
      <c r="N1476" t="s">
        <v>29</v>
      </c>
      <c r="O1476" t="s">
        <v>29</v>
      </c>
      <c r="P1476" t="s">
        <v>29</v>
      </c>
      <c r="Q1476" t="s">
        <v>29</v>
      </c>
      <c r="R1476">
        <v>528</v>
      </c>
      <c r="S1476">
        <v>32.72</v>
      </c>
      <c r="T1476">
        <v>3.9</v>
      </c>
      <c r="U1476">
        <v>3.7</v>
      </c>
      <c r="V1476" t="s">
        <v>38</v>
      </c>
    </row>
    <row r="1477" spans="1:22" x14ac:dyDescent="0.35">
      <c r="A1477" s="1">
        <v>45496</v>
      </c>
      <c r="B1477" t="s">
        <v>108</v>
      </c>
      <c r="C1477" s="2">
        <v>0.87065972222222221</v>
      </c>
      <c r="D1477" t="s">
        <v>3189</v>
      </c>
      <c r="E1477" t="s">
        <v>41</v>
      </c>
      <c r="F1477" t="s">
        <v>3190</v>
      </c>
      <c r="G1477" t="s">
        <v>146</v>
      </c>
      <c r="H1477" t="s">
        <v>119</v>
      </c>
      <c r="I1477" t="s">
        <v>441</v>
      </c>
      <c r="J1477">
        <v>6.8</v>
      </c>
      <c r="K1477">
        <v>28.2</v>
      </c>
      <c r="L1477" t="s">
        <v>29</v>
      </c>
      <c r="M1477" t="s">
        <v>29</v>
      </c>
      <c r="N1477" t="s">
        <v>29</v>
      </c>
      <c r="O1477" t="s">
        <v>29</v>
      </c>
      <c r="P1477" t="s">
        <v>29</v>
      </c>
      <c r="Q1477" t="s">
        <v>29</v>
      </c>
      <c r="R1477">
        <v>406</v>
      </c>
      <c r="S1477">
        <v>46.35</v>
      </c>
      <c r="T1477">
        <v>3.7</v>
      </c>
      <c r="U1477">
        <v>3.7</v>
      </c>
      <c r="V1477" t="s">
        <v>38</v>
      </c>
    </row>
    <row r="1478" spans="1:22" x14ac:dyDescent="0.35">
      <c r="A1478" s="1">
        <v>45464</v>
      </c>
      <c r="B1478" t="s">
        <v>64</v>
      </c>
      <c r="C1478" s="2">
        <v>0.44555555555555554</v>
      </c>
      <c r="D1478" t="s">
        <v>3191</v>
      </c>
      <c r="E1478" t="s">
        <v>41</v>
      </c>
      <c r="F1478" t="s">
        <v>3192</v>
      </c>
      <c r="G1478" t="s">
        <v>56</v>
      </c>
      <c r="H1478" t="s">
        <v>45</v>
      </c>
      <c r="I1478" t="s">
        <v>383</v>
      </c>
      <c r="J1478">
        <v>8.1999999999999993</v>
      </c>
      <c r="K1478">
        <v>44.6</v>
      </c>
      <c r="L1478" t="s">
        <v>29</v>
      </c>
      <c r="M1478" t="s">
        <v>29</v>
      </c>
      <c r="N1478" t="s">
        <v>29</v>
      </c>
      <c r="O1478" t="s">
        <v>29</v>
      </c>
      <c r="P1478" t="s">
        <v>29</v>
      </c>
      <c r="Q1478" t="s">
        <v>29</v>
      </c>
      <c r="R1478">
        <v>824</v>
      </c>
      <c r="S1478">
        <v>19.329999999999998</v>
      </c>
      <c r="T1478">
        <v>4.0999999999999996</v>
      </c>
      <c r="U1478">
        <v>4.0999999999999996</v>
      </c>
      <c r="V1478" t="s">
        <v>107</v>
      </c>
    </row>
    <row r="1479" spans="1:22" x14ac:dyDescent="0.35">
      <c r="A1479" s="1">
        <v>45491</v>
      </c>
      <c r="B1479" t="s">
        <v>108</v>
      </c>
      <c r="C1479" s="2">
        <v>0.56638888888888894</v>
      </c>
      <c r="D1479" t="s">
        <v>3193</v>
      </c>
      <c r="E1479" t="s">
        <v>41</v>
      </c>
      <c r="F1479" t="s">
        <v>3194</v>
      </c>
      <c r="G1479" t="s">
        <v>43</v>
      </c>
      <c r="H1479" t="s">
        <v>892</v>
      </c>
      <c r="I1479" t="s">
        <v>277</v>
      </c>
      <c r="J1479">
        <v>11.4</v>
      </c>
      <c r="K1479">
        <v>24.2</v>
      </c>
      <c r="L1479" t="s">
        <v>29</v>
      </c>
      <c r="M1479" t="s">
        <v>29</v>
      </c>
      <c r="N1479" t="s">
        <v>29</v>
      </c>
      <c r="O1479" t="s">
        <v>29</v>
      </c>
      <c r="P1479" t="s">
        <v>29</v>
      </c>
      <c r="Q1479" t="s">
        <v>29</v>
      </c>
      <c r="R1479">
        <v>213</v>
      </c>
      <c r="S1479">
        <v>2.12</v>
      </c>
      <c r="T1479">
        <v>3.8</v>
      </c>
      <c r="U1479">
        <v>4.4000000000000004</v>
      </c>
      <c r="V1479" t="s">
        <v>38</v>
      </c>
    </row>
    <row r="1480" spans="1:22" x14ac:dyDescent="0.35">
      <c r="A1480" s="1">
        <v>45528</v>
      </c>
      <c r="B1480" t="s">
        <v>39</v>
      </c>
      <c r="C1480" s="2">
        <v>0.69937499999999997</v>
      </c>
      <c r="D1480" t="s">
        <v>3195</v>
      </c>
      <c r="E1480" t="s">
        <v>41</v>
      </c>
      <c r="F1480" t="s">
        <v>3196</v>
      </c>
      <c r="G1480" t="s">
        <v>67</v>
      </c>
      <c r="H1480" t="s">
        <v>565</v>
      </c>
      <c r="I1480" t="s">
        <v>442</v>
      </c>
      <c r="J1480">
        <v>13.4</v>
      </c>
      <c r="K1480">
        <v>28.9</v>
      </c>
      <c r="L1480" t="s">
        <v>29</v>
      </c>
      <c r="M1480" t="s">
        <v>29</v>
      </c>
      <c r="N1480" t="s">
        <v>29</v>
      </c>
      <c r="O1480" t="s">
        <v>29</v>
      </c>
      <c r="P1480" t="s">
        <v>29</v>
      </c>
      <c r="Q1480" t="s">
        <v>29</v>
      </c>
      <c r="R1480">
        <v>2290</v>
      </c>
      <c r="S1480">
        <v>20.82</v>
      </c>
      <c r="T1480">
        <v>4.3</v>
      </c>
      <c r="U1480">
        <v>4.3</v>
      </c>
      <c r="V1480" t="s">
        <v>38</v>
      </c>
    </row>
    <row r="1481" spans="1:22" x14ac:dyDescent="0.35">
      <c r="A1481" s="1">
        <v>45435</v>
      </c>
      <c r="B1481" t="s">
        <v>122</v>
      </c>
      <c r="C1481" s="2">
        <v>0.67658564814814814</v>
      </c>
      <c r="D1481" t="s">
        <v>3197</v>
      </c>
      <c r="E1481" t="s">
        <v>93</v>
      </c>
      <c r="F1481" t="s">
        <v>3198</v>
      </c>
      <c r="G1481" t="s">
        <v>43</v>
      </c>
      <c r="H1481" t="s">
        <v>58</v>
      </c>
      <c r="I1481" t="s">
        <v>114</v>
      </c>
      <c r="J1481">
        <v>6.3</v>
      </c>
      <c r="K1481" t="s">
        <v>29</v>
      </c>
      <c r="L1481" t="s">
        <v>29</v>
      </c>
      <c r="M1481" t="s">
        <v>29</v>
      </c>
      <c r="N1481">
        <v>1</v>
      </c>
      <c r="O1481" t="s">
        <v>97</v>
      </c>
      <c r="P1481" t="s">
        <v>29</v>
      </c>
      <c r="Q1481" t="s">
        <v>29</v>
      </c>
      <c r="R1481" t="s">
        <v>29</v>
      </c>
      <c r="S1481" t="s">
        <v>29</v>
      </c>
      <c r="T1481" t="s">
        <v>29</v>
      </c>
      <c r="U1481" t="s">
        <v>29</v>
      </c>
      <c r="V1481" t="s">
        <v>29</v>
      </c>
    </row>
    <row r="1482" spans="1:22" x14ac:dyDescent="0.35">
      <c r="A1482" s="1">
        <v>45639</v>
      </c>
      <c r="B1482" t="s">
        <v>78</v>
      </c>
      <c r="C1482" s="2">
        <v>0.82694444444444448</v>
      </c>
      <c r="D1482" t="s">
        <v>3199</v>
      </c>
      <c r="E1482" t="s">
        <v>41</v>
      </c>
      <c r="F1482" t="s">
        <v>3200</v>
      </c>
      <c r="G1482" t="s">
        <v>67</v>
      </c>
      <c r="H1482" t="s">
        <v>498</v>
      </c>
      <c r="I1482" t="s">
        <v>290</v>
      </c>
      <c r="J1482">
        <v>5.2</v>
      </c>
      <c r="K1482">
        <v>44.9</v>
      </c>
      <c r="L1482" t="s">
        <v>29</v>
      </c>
      <c r="M1482" t="s">
        <v>29</v>
      </c>
      <c r="N1482" t="s">
        <v>29</v>
      </c>
      <c r="O1482" t="s">
        <v>29</v>
      </c>
      <c r="P1482" t="s">
        <v>29</v>
      </c>
      <c r="Q1482" t="s">
        <v>29</v>
      </c>
      <c r="R1482">
        <v>278</v>
      </c>
      <c r="S1482">
        <v>42.34</v>
      </c>
      <c r="T1482">
        <v>4.5999999999999996</v>
      </c>
      <c r="U1482">
        <v>4.3</v>
      </c>
      <c r="V1482" t="s">
        <v>38</v>
      </c>
    </row>
    <row r="1483" spans="1:22" x14ac:dyDescent="0.35">
      <c r="A1483" s="1">
        <v>45637</v>
      </c>
      <c r="B1483" t="s">
        <v>78</v>
      </c>
      <c r="C1483" s="2">
        <v>0.68460648148148151</v>
      </c>
      <c r="D1483" t="s">
        <v>3201</v>
      </c>
      <c r="E1483" t="s">
        <v>41</v>
      </c>
      <c r="F1483" t="s">
        <v>3202</v>
      </c>
      <c r="G1483" t="s">
        <v>67</v>
      </c>
      <c r="H1483" t="s">
        <v>95</v>
      </c>
      <c r="I1483" t="s">
        <v>332</v>
      </c>
      <c r="J1483">
        <v>6</v>
      </c>
      <c r="K1483">
        <v>29</v>
      </c>
      <c r="L1483" t="s">
        <v>29</v>
      </c>
      <c r="M1483" t="s">
        <v>29</v>
      </c>
      <c r="N1483" t="s">
        <v>29</v>
      </c>
      <c r="O1483" t="s">
        <v>29</v>
      </c>
      <c r="P1483" t="s">
        <v>29</v>
      </c>
      <c r="Q1483" t="s">
        <v>29</v>
      </c>
      <c r="R1483">
        <v>485</v>
      </c>
      <c r="S1483">
        <v>11.96</v>
      </c>
      <c r="T1483">
        <v>3.5</v>
      </c>
      <c r="U1483">
        <v>4.3</v>
      </c>
      <c r="V1483" t="s">
        <v>107</v>
      </c>
    </row>
    <row r="1484" spans="1:22" x14ac:dyDescent="0.35">
      <c r="A1484" s="1">
        <v>45530</v>
      </c>
      <c r="B1484" t="s">
        <v>39</v>
      </c>
      <c r="C1484" s="2">
        <v>0.70171296296296293</v>
      </c>
      <c r="D1484" t="s">
        <v>3203</v>
      </c>
      <c r="E1484" t="s">
        <v>41</v>
      </c>
      <c r="F1484" t="s">
        <v>3204</v>
      </c>
      <c r="G1484" t="s">
        <v>67</v>
      </c>
      <c r="H1484" t="s">
        <v>202</v>
      </c>
      <c r="I1484" t="s">
        <v>312</v>
      </c>
      <c r="J1484">
        <v>8.8000000000000007</v>
      </c>
      <c r="K1484">
        <v>41.9</v>
      </c>
      <c r="L1484" t="s">
        <v>29</v>
      </c>
      <c r="M1484" t="s">
        <v>29</v>
      </c>
      <c r="N1484" t="s">
        <v>29</v>
      </c>
      <c r="O1484" t="s">
        <v>29</v>
      </c>
      <c r="P1484" t="s">
        <v>29</v>
      </c>
      <c r="Q1484" t="s">
        <v>29</v>
      </c>
      <c r="R1484">
        <v>240</v>
      </c>
      <c r="S1484">
        <v>28.73</v>
      </c>
      <c r="T1484">
        <v>4.8</v>
      </c>
      <c r="U1484">
        <v>4.8</v>
      </c>
      <c r="V1484" t="s">
        <v>149</v>
      </c>
    </row>
    <row r="1485" spans="1:22" x14ac:dyDescent="0.35">
      <c r="A1485" s="1">
        <v>45434</v>
      </c>
      <c r="B1485" t="s">
        <v>122</v>
      </c>
      <c r="C1485" s="2">
        <v>0.4478240740740741</v>
      </c>
      <c r="D1485" t="s">
        <v>3205</v>
      </c>
      <c r="E1485" t="s">
        <v>32</v>
      </c>
      <c r="F1485" t="s">
        <v>3206</v>
      </c>
      <c r="G1485" t="s">
        <v>26</v>
      </c>
      <c r="H1485" t="s">
        <v>189</v>
      </c>
      <c r="I1485" t="s">
        <v>255</v>
      </c>
      <c r="J1485">
        <v>2.1</v>
      </c>
      <c r="K1485">
        <v>16</v>
      </c>
      <c r="L1485" t="s">
        <v>29</v>
      </c>
      <c r="M1485" t="s">
        <v>29</v>
      </c>
      <c r="N1485" t="s">
        <v>29</v>
      </c>
      <c r="O1485" t="s">
        <v>29</v>
      </c>
      <c r="P1485">
        <v>1</v>
      </c>
      <c r="Q1485" t="s">
        <v>83</v>
      </c>
      <c r="R1485">
        <v>438</v>
      </c>
      <c r="S1485">
        <v>7.55</v>
      </c>
      <c r="T1485" t="s">
        <v>29</v>
      </c>
      <c r="U1485" t="s">
        <v>29</v>
      </c>
      <c r="V1485" t="s">
        <v>38</v>
      </c>
    </row>
    <row r="1486" spans="1:22" x14ac:dyDescent="0.35">
      <c r="A1486" s="1">
        <v>45407</v>
      </c>
      <c r="B1486" t="s">
        <v>154</v>
      </c>
      <c r="C1486" s="2">
        <v>0.69149305555555551</v>
      </c>
      <c r="D1486" t="s">
        <v>3207</v>
      </c>
      <c r="E1486" t="s">
        <v>41</v>
      </c>
      <c r="F1486" t="s">
        <v>3208</v>
      </c>
      <c r="G1486" t="s">
        <v>43</v>
      </c>
      <c r="H1486" t="s">
        <v>1704</v>
      </c>
      <c r="I1486" t="s">
        <v>343</v>
      </c>
      <c r="J1486">
        <v>14.4</v>
      </c>
      <c r="K1486">
        <v>26.6</v>
      </c>
      <c r="L1486" t="s">
        <v>29</v>
      </c>
      <c r="M1486" t="s">
        <v>29</v>
      </c>
      <c r="N1486" t="s">
        <v>29</v>
      </c>
      <c r="O1486" t="s">
        <v>29</v>
      </c>
      <c r="P1486" t="s">
        <v>29</v>
      </c>
      <c r="Q1486" t="s">
        <v>29</v>
      </c>
      <c r="R1486">
        <v>470</v>
      </c>
      <c r="S1486">
        <v>20.72</v>
      </c>
      <c r="T1486">
        <v>4.0999999999999996</v>
      </c>
      <c r="U1486">
        <v>4.5999999999999996</v>
      </c>
      <c r="V1486" t="s">
        <v>38</v>
      </c>
    </row>
    <row r="1487" spans="1:22" x14ac:dyDescent="0.35">
      <c r="A1487" s="1">
        <v>45561</v>
      </c>
      <c r="B1487" t="s">
        <v>53</v>
      </c>
      <c r="C1487" s="2">
        <v>0.83956018518518516</v>
      </c>
      <c r="D1487" t="s">
        <v>3209</v>
      </c>
      <c r="E1487" t="s">
        <v>41</v>
      </c>
      <c r="F1487" t="s">
        <v>3210</v>
      </c>
      <c r="G1487" t="s">
        <v>56</v>
      </c>
      <c r="H1487" t="s">
        <v>391</v>
      </c>
      <c r="I1487" t="s">
        <v>493</v>
      </c>
      <c r="J1487">
        <v>14.4</v>
      </c>
      <c r="K1487">
        <v>25</v>
      </c>
      <c r="L1487" t="s">
        <v>29</v>
      </c>
      <c r="M1487" t="s">
        <v>29</v>
      </c>
      <c r="N1487" t="s">
        <v>29</v>
      </c>
      <c r="O1487" t="s">
        <v>29</v>
      </c>
      <c r="P1487" t="s">
        <v>29</v>
      </c>
      <c r="Q1487" t="s">
        <v>29</v>
      </c>
      <c r="R1487">
        <v>290</v>
      </c>
      <c r="S1487">
        <v>22.62</v>
      </c>
      <c r="T1487">
        <v>3.2</v>
      </c>
      <c r="U1487">
        <v>4.2</v>
      </c>
      <c r="V1487" t="s">
        <v>38</v>
      </c>
    </row>
    <row r="1488" spans="1:22" x14ac:dyDescent="0.35">
      <c r="A1488" s="1">
        <v>45655</v>
      </c>
      <c r="B1488" t="s">
        <v>78</v>
      </c>
      <c r="C1488" s="2">
        <v>0.40611111111111109</v>
      </c>
      <c r="D1488" t="s">
        <v>3211</v>
      </c>
      <c r="E1488" t="s">
        <v>24</v>
      </c>
      <c r="F1488" t="s">
        <v>3212</v>
      </c>
      <c r="G1488" t="s">
        <v>56</v>
      </c>
      <c r="H1488" t="s">
        <v>493</v>
      </c>
      <c r="I1488" t="s">
        <v>194</v>
      </c>
      <c r="J1488" t="s">
        <v>29</v>
      </c>
      <c r="K1488" t="s">
        <v>29</v>
      </c>
      <c r="L1488" t="s">
        <v>29</v>
      </c>
      <c r="M1488" t="s">
        <v>29</v>
      </c>
      <c r="N1488" t="s">
        <v>29</v>
      </c>
      <c r="O1488" t="s">
        <v>29</v>
      </c>
      <c r="P1488" t="s">
        <v>29</v>
      </c>
      <c r="Q1488" t="s">
        <v>29</v>
      </c>
      <c r="R1488" t="s">
        <v>29</v>
      </c>
      <c r="S1488" t="s">
        <v>29</v>
      </c>
      <c r="T1488" t="s">
        <v>29</v>
      </c>
      <c r="U1488" t="s">
        <v>29</v>
      </c>
      <c r="V1488" t="s">
        <v>29</v>
      </c>
    </row>
    <row r="1489" spans="1:22" x14ac:dyDescent="0.35">
      <c r="A1489" s="1">
        <v>45653</v>
      </c>
      <c r="B1489" t="s">
        <v>78</v>
      </c>
      <c r="C1489" s="2">
        <v>0.91290509259259256</v>
      </c>
      <c r="D1489" t="s">
        <v>3213</v>
      </c>
      <c r="E1489" t="s">
        <v>41</v>
      </c>
      <c r="F1489" t="s">
        <v>3214</v>
      </c>
      <c r="G1489" t="s">
        <v>43</v>
      </c>
      <c r="H1489" t="s">
        <v>336</v>
      </c>
      <c r="I1489" t="s">
        <v>126</v>
      </c>
      <c r="J1489">
        <v>10.4</v>
      </c>
      <c r="K1489">
        <v>22.6</v>
      </c>
      <c r="L1489" t="s">
        <v>29</v>
      </c>
      <c r="M1489" t="s">
        <v>29</v>
      </c>
      <c r="N1489" t="s">
        <v>29</v>
      </c>
      <c r="O1489" t="s">
        <v>29</v>
      </c>
      <c r="P1489" t="s">
        <v>29</v>
      </c>
      <c r="Q1489" t="s">
        <v>29</v>
      </c>
      <c r="R1489">
        <v>475</v>
      </c>
      <c r="S1489">
        <v>39.69</v>
      </c>
      <c r="T1489">
        <v>4.2</v>
      </c>
      <c r="U1489">
        <v>4.5999999999999996</v>
      </c>
      <c r="V1489" t="s">
        <v>84</v>
      </c>
    </row>
    <row r="1490" spans="1:22" x14ac:dyDescent="0.35">
      <c r="A1490" s="1">
        <v>45466</v>
      </c>
      <c r="B1490" t="s">
        <v>64</v>
      </c>
      <c r="C1490" s="2">
        <v>0.47848379629629628</v>
      </c>
      <c r="D1490" t="s">
        <v>3215</v>
      </c>
      <c r="E1490" t="s">
        <v>41</v>
      </c>
      <c r="F1490" t="s">
        <v>3216</v>
      </c>
      <c r="G1490" t="s">
        <v>56</v>
      </c>
      <c r="H1490" t="s">
        <v>962</v>
      </c>
      <c r="I1490" t="s">
        <v>430</v>
      </c>
      <c r="J1490">
        <v>11.6</v>
      </c>
      <c r="K1490">
        <v>37.700000000000003</v>
      </c>
      <c r="L1490" t="s">
        <v>29</v>
      </c>
      <c r="M1490" t="s">
        <v>29</v>
      </c>
      <c r="N1490" t="s">
        <v>29</v>
      </c>
      <c r="O1490" t="s">
        <v>29</v>
      </c>
      <c r="P1490" t="s">
        <v>29</v>
      </c>
      <c r="Q1490" t="s">
        <v>29</v>
      </c>
      <c r="R1490">
        <v>749</v>
      </c>
      <c r="S1490">
        <v>10.76</v>
      </c>
      <c r="T1490">
        <v>3.1</v>
      </c>
      <c r="U1490">
        <v>4.2</v>
      </c>
      <c r="V1490" t="s">
        <v>38</v>
      </c>
    </row>
    <row r="1491" spans="1:22" x14ac:dyDescent="0.35">
      <c r="A1491" s="1">
        <v>45514</v>
      </c>
      <c r="B1491" t="s">
        <v>39</v>
      </c>
      <c r="C1491" s="2">
        <v>0.39333333333333331</v>
      </c>
      <c r="D1491" t="s">
        <v>3217</v>
      </c>
      <c r="E1491" t="s">
        <v>93</v>
      </c>
      <c r="F1491" t="s">
        <v>3218</v>
      </c>
      <c r="G1491" t="s">
        <v>56</v>
      </c>
      <c r="H1491" t="s">
        <v>369</v>
      </c>
      <c r="I1491" t="s">
        <v>249</v>
      </c>
      <c r="J1491">
        <v>9.6</v>
      </c>
      <c r="K1491" t="s">
        <v>29</v>
      </c>
      <c r="L1491" t="s">
        <v>29</v>
      </c>
      <c r="M1491" t="s">
        <v>29</v>
      </c>
      <c r="N1491">
        <v>1</v>
      </c>
      <c r="O1491" t="s">
        <v>337</v>
      </c>
      <c r="P1491" t="s">
        <v>29</v>
      </c>
      <c r="Q1491" t="s">
        <v>29</v>
      </c>
      <c r="R1491" t="s">
        <v>29</v>
      </c>
      <c r="S1491" t="s">
        <v>29</v>
      </c>
      <c r="T1491" t="s">
        <v>29</v>
      </c>
      <c r="U1491" t="s">
        <v>29</v>
      </c>
      <c r="V1491" t="s">
        <v>29</v>
      </c>
    </row>
    <row r="1492" spans="1:22" x14ac:dyDescent="0.35">
      <c r="A1492" s="1">
        <v>45316</v>
      </c>
      <c r="B1492" t="s">
        <v>150</v>
      </c>
      <c r="C1492" s="2">
        <v>0.24333333333333335</v>
      </c>
      <c r="D1492" t="s">
        <v>3219</v>
      </c>
      <c r="E1492" t="s">
        <v>41</v>
      </c>
      <c r="F1492" t="s">
        <v>3220</v>
      </c>
      <c r="G1492" t="s">
        <v>34</v>
      </c>
      <c r="H1492" t="s">
        <v>819</v>
      </c>
      <c r="I1492" t="s">
        <v>114</v>
      </c>
      <c r="J1492">
        <v>10.5</v>
      </c>
      <c r="K1492">
        <v>16.600000000000001</v>
      </c>
      <c r="L1492" t="s">
        <v>29</v>
      </c>
      <c r="M1492" t="s">
        <v>29</v>
      </c>
      <c r="N1492" t="s">
        <v>29</v>
      </c>
      <c r="O1492" t="s">
        <v>29</v>
      </c>
      <c r="P1492" t="s">
        <v>29</v>
      </c>
      <c r="Q1492" t="s">
        <v>29</v>
      </c>
      <c r="R1492">
        <v>506</v>
      </c>
      <c r="S1492">
        <v>22.05</v>
      </c>
      <c r="T1492">
        <v>3.6</v>
      </c>
      <c r="U1492">
        <v>4.5999999999999996</v>
      </c>
      <c r="V1492" t="s">
        <v>38</v>
      </c>
    </row>
    <row r="1493" spans="1:22" x14ac:dyDescent="0.35">
      <c r="A1493" s="1">
        <v>45311</v>
      </c>
      <c r="B1493" t="s">
        <v>150</v>
      </c>
      <c r="C1493" s="2">
        <v>0.46155092592592595</v>
      </c>
      <c r="D1493" t="s">
        <v>3221</v>
      </c>
      <c r="E1493" t="s">
        <v>24</v>
      </c>
      <c r="F1493" t="s">
        <v>3222</v>
      </c>
      <c r="G1493" t="s">
        <v>67</v>
      </c>
      <c r="H1493" t="s">
        <v>636</v>
      </c>
      <c r="I1493" t="s">
        <v>585</v>
      </c>
      <c r="J1493" t="s">
        <v>29</v>
      </c>
      <c r="K1493" t="s">
        <v>29</v>
      </c>
      <c r="L1493" t="s">
        <v>29</v>
      </c>
      <c r="M1493" t="s">
        <v>29</v>
      </c>
      <c r="N1493" t="s">
        <v>29</v>
      </c>
      <c r="O1493" t="s">
        <v>29</v>
      </c>
      <c r="P1493" t="s">
        <v>29</v>
      </c>
      <c r="Q1493" t="s">
        <v>29</v>
      </c>
      <c r="R1493" t="s">
        <v>29</v>
      </c>
      <c r="S1493" t="s">
        <v>29</v>
      </c>
      <c r="T1493" t="s">
        <v>29</v>
      </c>
      <c r="U1493" t="s">
        <v>29</v>
      </c>
      <c r="V1493" t="s">
        <v>29</v>
      </c>
    </row>
    <row r="1494" spans="1:22" x14ac:dyDescent="0.35">
      <c r="A1494" s="1">
        <v>45571</v>
      </c>
      <c r="B1494" t="s">
        <v>47</v>
      </c>
      <c r="C1494" s="2">
        <v>0.62973379629629633</v>
      </c>
      <c r="D1494" t="s">
        <v>3223</v>
      </c>
      <c r="E1494" t="s">
        <v>41</v>
      </c>
      <c r="F1494" t="s">
        <v>3224</v>
      </c>
      <c r="G1494" t="s">
        <v>43</v>
      </c>
      <c r="H1494" t="s">
        <v>881</v>
      </c>
      <c r="I1494" t="s">
        <v>582</v>
      </c>
      <c r="J1494">
        <v>3.7</v>
      </c>
      <c r="K1494">
        <v>26.5</v>
      </c>
      <c r="L1494" t="s">
        <v>29</v>
      </c>
      <c r="M1494" t="s">
        <v>29</v>
      </c>
      <c r="N1494" t="s">
        <v>29</v>
      </c>
      <c r="O1494" t="s">
        <v>29</v>
      </c>
      <c r="P1494" t="s">
        <v>29</v>
      </c>
      <c r="Q1494" t="s">
        <v>29</v>
      </c>
      <c r="R1494">
        <v>1596</v>
      </c>
      <c r="S1494">
        <v>19.86</v>
      </c>
      <c r="T1494">
        <v>4.2</v>
      </c>
      <c r="U1494">
        <v>4.7</v>
      </c>
      <c r="V1494" t="s">
        <v>84</v>
      </c>
    </row>
    <row r="1495" spans="1:22" x14ac:dyDescent="0.35">
      <c r="A1495" s="1">
        <v>45395</v>
      </c>
      <c r="B1495" t="s">
        <v>154</v>
      </c>
      <c r="C1495" s="2">
        <v>0.83075231481481482</v>
      </c>
      <c r="D1495" t="s">
        <v>3225</v>
      </c>
      <c r="E1495" t="s">
        <v>41</v>
      </c>
      <c r="F1495" t="s">
        <v>3226</v>
      </c>
      <c r="G1495" t="s">
        <v>56</v>
      </c>
      <c r="H1495" t="s">
        <v>45</v>
      </c>
      <c r="I1495" t="s">
        <v>412</v>
      </c>
      <c r="J1495">
        <v>8</v>
      </c>
      <c r="K1495">
        <v>19.7</v>
      </c>
      <c r="L1495" t="s">
        <v>29</v>
      </c>
      <c r="M1495" t="s">
        <v>29</v>
      </c>
      <c r="N1495" t="s">
        <v>29</v>
      </c>
      <c r="O1495" t="s">
        <v>29</v>
      </c>
      <c r="P1495" t="s">
        <v>29</v>
      </c>
      <c r="Q1495" t="s">
        <v>29</v>
      </c>
      <c r="R1495">
        <v>145</v>
      </c>
      <c r="S1495">
        <v>20.62</v>
      </c>
      <c r="T1495">
        <v>4.2</v>
      </c>
      <c r="U1495">
        <v>4.9000000000000004</v>
      </c>
      <c r="V1495" t="s">
        <v>38</v>
      </c>
    </row>
    <row r="1496" spans="1:22" x14ac:dyDescent="0.35">
      <c r="A1496" s="1">
        <v>45622</v>
      </c>
      <c r="B1496" t="s">
        <v>30</v>
      </c>
      <c r="C1496" s="2">
        <v>0.35297453703703702</v>
      </c>
      <c r="D1496" t="s">
        <v>3227</v>
      </c>
      <c r="E1496" t="s">
        <v>93</v>
      </c>
      <c r="F1496" t="s">
        <v>3228</v>
      </c>
      <c r="G1496" t="s">
        <v>67</v>
      </c>
      <c r="H1496" t="s">
        <v>266</v>
      </c>
      <c r="I1496" t="s">
        <v>158</v>
      </c>
      <c r="J1496">
        <v>5.6</v>
      </c>
      <c r="K1496" t="s">
        <v>29</v>
      </c>
      <c r="L1496" t="s">
        <v>29</v>
      </c>
      <c r="M1496" t="s">
        <v>29</v>
      </c>
      <c r="N1496">
        <v>1</v>
      </c>
      <c r="O1496" t="s">
        <v>97</v>
      </c>
      <c r="P1496" t="s">
        <v>29</v>
      </c>
      <c r="Q1496" t="s">
        <v>29</v>
      </c>
      <c r="R1496" t="s">
        <v>29</v>
      </c>
      <c r="S1496" t="s">
        <v>29</v>
      </c>
      <c r="T1496" t="s">
        <v>29</v>
      </c>
      <c r="U1496" t="s">
        <v>29</v>
      </c>
      <c r="V1496" t="s">
        <v>29</v>
      </c>
    </row>
    <row r="1497" spans="1:22" x14ac:dyDescent="0.35">
      <c r="A1497" s="1">
        <v>45572</v>
      </c>
      <c r="B1497" t="s">
        <v>47</v>
      </c>
      <c r="C1497" s="2">
        <v>0.54130787037037043</v>
      </c>
      <c r="D1497" t="s">
        <v>3229</v>
      </c>
      <c r="E1497" t="s">
        <v>41</v>
      </c>
      <c r="F1497" t="s">
        <v>3230</v>
      </c>
      <c r="G1497" t="s">
        <v>67</v>
      </c>
      <c r="H1497" t="s">
        <v>137</v>
      </c>
      <c r="I1497" t="s">
        <v>202</v>
      </c>
      <c r="J1497">
        <v>6.7</v>
      </c>
      <c r="K1497">
        <v>25.8</v>
      </c>
      <c r="L1497" t="s">
        <v>29</v>
      </c>
      <c r="M1497" t="s">
        <v>29</v>
      </c>
      <c r="N1497" t="s">
        <v>29</v>
      </c>
      <c r="O1497" t="s">
        <v>29</v>
      </c>
      <c r="P1497" t="s">
        <v>29</v>
      </c>
      <c r="Q1497" t="s">
        <v>29</v>
      </c>
      <c r="R1497">
        <v>332</v>
      </c>
      <c r="S1497">
        <v>40.65</v>
      </c>
      <c r="T1497">
        <v>4.0999999999999996</v>
      </c>
      <c r="U1497">
        <v>4.9000000000000004</v>
      </c>
      <c r="V1497" t="s">
        <v>84</v>
      </c>
    </row>
    <row r="1498" spans="1:22" x14ac:dyDescent="0.35">
      <c r="A1498" s="1">
        <v>45509</v>
      </c>
      <c r="B1498" t="s">
        <v>39</v>
      </c>
      <c r="C1498" s="2">
        <v>0.2210300925925926</v>
      </c>
      <c r="D1498" t="s">
        <v>3231</v>
      </c>
      <c r="E1498" t="s">
        <v>24</v>
      </c>
      <c r="F1498" t="s">
        <v>3232</v>
      </c>
      <c r="G1498" t="s">
        <v>43</v>
      </c>
      <c r="H1498" t="s">
        <v>616</v>
      </c>
      <c r="I1498" t="s">
        <v>1035</v>
      </c>
      <c r="J1498" t="s">
        <v>29</v>
      </c>
      <c r="K1498" t="s">
        <v>29</v>
      </c>
      <c r="L1498" t="s">
        <v>29</v>
      </c>
      <c r="M1498" t="s">
        <v>29</v>
      </c>
      <c r="N1498" t="s">
        <v>29</v>
      </c>
      <c r="O1498" t="s">
        <v>29</v>
      </c>
      <c r="P1498" t="s">
        <v>29</v>
      </c>
      <c r="Q1498" t="s">
        <v>29</v>
      </c>
      <c r="R1498" t="s">
        <v>29</v>
      </c>
      <c r="S1498" t="s">
        <v>29</v>
      </c>
      <c r="T1498" t="s">
        <v>29</v>
      </c>
      <c r="U1498" t="s">
        <v>29</v>
      </c>
      <c r="V1498" t="s">
        <v>29</v>
      </c>
    </row>
    <row r="1499" spans="1:22" x14ac:dyDescent="0.35">
      <c r="A1499" s="1">
        <v>45563</v>
      </c>
      <c r="B1499" t="s">
        <v>53</v>
      </c>
      <c r="C1499" s="2">
        <v>0.50276620370370373</v>
      </c>
      <c r="D1499" t="s">
        <v>3233</v>
      </c>
      <c r="E1499" t="s">
        <v>41</v>
      </c>
      <c r="F1499" t="s">
        <v>3234</v>
      </c>
      <c r="G1499" t="s">
        <v>50</v>
      </c>
      <c r="H1499" t="s">
        <v>136</v>
      </c>
      <c r="I1499" t="s">
        <v>797</v>
      </c>
      <c r="J1499">
        <v>2.4</v>
      </c>
      <c r="K1499">
        <v>20.8</v>
      </c>
      <c r="L1499" t="s">
        <v>29</v>
      </c>
      <c r="M1499" t="s">
        <v>29</v>
      </c>
      <c r="N1499" t="s">
        <v>29</v>
      </c>
      <c r="O1499" t="s">
        <v>29</v>
      </c>
      <c r="P1499" t="s">
        <v>29</v>
      </c>
      <c r="Q1499" t="s">
        <v>29</v>
      </c>
      <c r="R1499">
        <v>588</v>
      </c>
      <c r="S1499">
        <v>26.93</v>
      </c>
      <c r="T1499">
        <v>4.5999999999999996</v>
      </c>
      <c r="U1499">
        <v>3.4</v>
      </c>
      <c r="V1499" t="s">
        <v>38</v>
      </c>
    </row>
    <row r="1500" spans="1:22" x14ac:dyDescent="0.35">
      <c r="A1500" s="1">
        <v>45580</v>
      </c>
      <c r="B1500" t="s">
        <v>47</v>
      </c>
      <c r="C1500" s="2">
        <v>0.72608796296296296</v>
      </c>
      <c r="D1500" t="s">
        <v>3235</v>
      </c>
      <c r="E1500" t="s">
        <v>41</v>
      </c>
      <c r="F1500" t="s">
        <v>3236</v>
      </c>
      <c r="G1500" t="s">
        <v>67</v>
      </c>
      <c r="H1500" t="s">
        <v>486</v>
      </c>
      <c r="I1500" t="s">
        <v>202</v>
      </c>
      <c r="J1500">
        <v>7.8</v>
      </c>
      <c r="K1500">
        <v>26.5</v>
      </c>
      <c r="L1500" t="s">
        <v>29</v>
      </c>
      <c r="M1500" t="s">
        <v>29</v>
      </c>
      <c r="N1500" t="s">
        <v>29</v>
      </c>
      <c r="O1500" t="s">
        <v>29</v>
      </c>
      <c r="P1500" t="s">
        <v>29</v>
      </c>
      <c r="Q1500" t="s">
        <v>29</v>
      </c>
      <c r="R1500">
        <v>263</v>
      </c>
      <c r="S1500">
        <v>25.48</v>
      </c>
      <c r="T1500">
        <v>3.8</v>
      </c>
      <c r="U1500">
        <v>4.9000000000000004</v>
      </c>
      <c r="V1500" t="s">
        <v>107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99B4C-C75D-4E0D-94D0-7F3AF2BE0BC8}">
  <sheetPr codeName="Sheet2"/>
  <dimension ref="A1:H11"/>
  <sheetViews>
    <sheetView workbookViewId="0">
      <selection activeCell="C11" sqref="C11"/>
    </sheetView>
  </sheetViews>
  <sheetFormatPr defaultRowHeight="14.5" x14ac:dyDescent="0.35"/>
  <cols>
    <col min="1" max="1" width="13" bestFit="1" customWidth="1"/>
    <col min="2" max="2" width="27.81640625" bestFit="1" customWidth="1"/>
    <col min="3" max="3" width="25.1796875" bestFit="1" customWidth="1"/>
    <col min="4" max="4" width="19.1796875" bestFit="1" customWidth="1"/>
    <col min="5" max="5" width="14.36328125" bestFit="1" customWidth="1"/>
    <col min="6" max="6" width="20.26953125" bestFit="1" customWidth="1"/>
  </cols>
  <sheetData>
    <row r="1" spans="1:8" x14ac:dyDescent="0.35">
      <c r="A1" s="10" t="s">
        <v>3238</v>
      </c>
      <c r="B1" s="10"/>
      <c r="C1" s="10"/>
      <c r="D1" s="10"/>
      <c r="E1" s="10"/>
      <c r="F1" s="10"/>
      <c r="G1" s="10"/>
      <c r="H1" s="10"/>
    </row>
    <row r="2" spans="1:8" x14ac:dyDescent="0.35">
      <c r="A2" s="10"/>
      <c r="B2" s="10"/>
      <c r="C2" s="10"/>
      <c r="D2" s="10"/>
      <c r="E2" s="10"/>
      <c r="F2" s="10"/>
      <c r="G2" s="10"/>
      <c r="H2" s="10"/>
    </row>
    <row r="4" spans="1:8" x14ac:dyDescent="0.35">
      <c r="A4" s="4" t="s">
        <v>1</v>
      </c>
      <c r="B4" s="4" t="s">
        <v>3239</v>
      </c>
      <c r="C4" s="4" t="s">
        <v>3240</v>
      </c>
      <c r="D4" s="4" t="s">
        <v>3241</v>
      </c>
      <c r="E4" s="4" t="s">
        <v>3242</v>
      </c>
      <c r="F4" s="4" t="s">
        <v>3243</v>
      </c>
    </row>
    <row r="5" spans="1:8" x14ac:dyDescent="0.35">
      <c r="A5" t="s">
        <v>64</v>
      </c>
      <c r="B5">
        <f>COUNTIFS('Uber Data Excel Project'!B2:B1500,A5)</f>
        <v>137</v>
      </c>
      <c r="C5">
        <f>COUNTIFS('Uber Data Excel Project'!B2:B1500,'Dashboard Using Function'!A5,'Uber Data Excel Project'!E2:E1500, "Completed")</f>
        <v>103</v>
      </c>
      <c r="D5">
        <f>COUNTIFS('Uber Data Excel Project'!B2:B1500,'Dashboard Using Function'!A5,'Uber Data Excel Project'!E2:E1500, "Cancelled *")</f>
        <v>24</v>
      </c>
      <c r="E5">
        <f>COUNTIFS('Uber Data Excel Project'!B2:B1500,'Dashboard Using Function'!A5,'Uber Data Excel Project'!E2:E1500, "No Driver *")</f>
        <v>4</v>
      </c>
      <c r="F5">
        <f>COUNTIFS('Uber Data Excel Project'!B2:B1500,'Dashboard Using Function'!A5,'Uber Data Excel Project'!E2:E1500, "Incomplete")</f>
        <v>6</v>
      </c>
    </row>
    <row r="7" spans="1:8" x14ac:dyDescent="0.35">
      <c r="A7" s="4" t="s">
        <v>3244</v>
      </c>
      <c r="B7" s="4" t="s">
        <v>3246</v>
      </c>
    </row>
    <row r="8" spans="1:8" x14ac:dyDescent="0.35">
      <c r="A8" t="s">
        <v>43</v>
      </c>
      <c r="B8" s="6">
        <f>AVERAGEIF('Uber Data Excel Project'!G2:G1500,'Dashboard Using Function'!A8,'Uber Data Excel Project'!U2:U1500)</f>
        <v>4.3828000000000031</v>
      </c>
    </row>
    <row r="10" spans="1:8" x14ac:dyDescent="0.35">
      <c r="A10" s="4" t="s">
        <v>1</v>
      </c>
      <c r="B10" s="4" t="s">
        <v>3244</v>
      </c>
      <c r="C10" s="4" t="s">
        <v>3245</v>
      </c>
    </row>
    <row r="11" spans="1:8" x14ac:dyDescent="0.35">
      <c r="A11" t="s">
        <v>64</v>
      </c>
      <c r="B11" t="s">
        <v>56</v>
      </c>
      <c r="C11">
        <f>AVERAGEIFS('Uber Data Excel Project'!T2:T1500,'Uber Data Excel Project'!B2:B1500,'Dashboard Using Function'!A11,'Uber Data Excel Project'!G2:G1500,'Dashboard Using Function'!B11)</f>
        <v>4.2652173913043478</v>
      </c>
    </row>
  </sheetData>
  <mergeCells count="1">
    <mergeCell ref="A1:H2"/>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183D6530-1A1C-4FCC-A824-5D8D92443322}">
          <x14:formula1>
            <xm:f>'Rough Work'!$A$1:$A$12</xm:f>
          </x14:formula1>
          <xm:sqref>A5 A11</xm:sqref>
        </x14:dataValidation>
        <x14:dataValidation type="list" allowBlank="1" showInputMessage="1" showErrorMessage="1" xr:uid="{EB41F064-89C8-4F62-9A1E-220D0F96D89B}">
          <x14:formula1>
            <xm:f>'Rough Work'!$E$4:$E$10</xm:f>
          </x14:formula1>
          <xm:sqref>A8 B11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BB4CC-5089-4B72-AC4C-B0EBB00AF871}">
  <sheetPr codeName="Sheet3"/>
  <dimension ref="A1:E1500"/>
  <sheetViews>
    <sheetView workbookViewId="0"/>
  </sheetViews>
  <sheetFormatPr defaultRowHeight="14.5" x14ac:dyDescent="0.35"/>
  <cols>
    <col min="3" max="3" width="13" bestFit="1" customWidth="1"/>
  </cols>
  <sheetData>
    <row r="1" spans="1:5" x14ac:dyDescent="0.35">
      <c r="A1" t="s">
        <v>150</v>
      </c>
      <c r="C1" s="5" t="s">
        <v>6</v>
      </c>
    </row>
    <row r="2" spans="1:5" x14ac:dyDescent="0.35">
      <c r="A2" t="s">
        <v>59</v>
      </c>
      <c r="C2" t="s">
        <v>26</v>
      </c>
    </row>
    <row r="3" spans="1:5" x14ac:dyDescent="0.35">
      <c r="A3" t="s">
        <v>22</v>
      </c>
      <c r="C3" t="s">
        <v>34</v>
      </c>
    </row>
    <row r="4" spans="1:5" x14ac:dyDescent="0.35">
      <c r="A4" t="s">
        <v>154</v>
      </c>
      <c r="C4" t="s">
        <v>43</v>
      </c>
      <c r="E4" t="str">
        <f>INDEX(C2:C1500,MATCH(C2,C2:C1500,0))</f>
        <v>eBike</v>
      </c>
    </row>
    <row r="5" spans="1:5" x14ac:dyDescent="0.35">
      <c r="A5" t="s">
        <v>122</v>
      </c>
      <c r="C5" t="s">
        <v>50</v>
      </c>
      <c r="E5" t="str">
        <f>INDEX(C3:C1501,MATCH(C3,C3:C1501,0))</f>
        <v>Go Sedan</v>
      </c>
    </row>
    <row r="6" spans="1:5" x14ac:dyDescent="0.35">
      <c r="A6" t="s">
        <v>64</v>
      </c>
      <c r="C6" t="s">
        <v>56</v>
      </c>
      <c r="E6" t="str">
        <f t="shared" ref="E6:E8" si="0">INDEX(C4:C1502,MATCH(C4,C4:C1502,0))</f>
        <v>Auto</v>
      </c>
    </row>
    <row r="7" spans="1:5" x14ac:dyDescent="0.35">
      <c r="A7" t="s">
        <v>108</v>
      </c>
      <c r="C7" t="s">
        <v>43</v>
      </c>
      <c r="E7" t="str">
        <f t="shared" si="0"/>
        <v>Premier Sedan</v>
      </c>
    </row>
    <row r="8" spans="1:5" x14ac:dyDescent="0.35">
      <c r="A8" t="s">
        <v>39</v>
      </c>
      <c r="C8" t="s">
        <v>67</v>
      </c>
      <c r="E8" t="str">
        <f t="shared" si="0"/>
        <v>Bike</v>
      </c>
    </row>
    <row r="9" spans="1:5" x14ac:dyDescent="0.35">
      <c r="A9" t="s">
        <v>53</v>
      </c>
      <c r="C9" t="s">
        <v>43</v>
      </c>
      <c r="E9" t="str">
        <f>INDEX(C8:C1506,MATCH(C8,C8:C1506,0))</f>
        <v>Go Mini</v>
      </c>
    </row>
    <row r="10" spans="1:5" x14ac:dyDescent="0.35">
      <c r="A10" t="s">
        <v>47</v>
      </c>
      <c r="C10" t="s">
        <v>34</v>
      </c>
      <c r="E10" t="s">
        <v>146</v>
      </c>
    </row>
    <row r="11" spans="1:5" x14ac:dyDescent="0.35">
      <c r="A11" t="s">
        <v>30</v>
      </c>
      <c r="C11" t="s">
        <v>43</v>
      </c>
    </row>
    <row r="12" spans="1:5" x14ac:dyDescent="0.35">
      <c r="A12" t="s">
        <v>78</v>
      </c>
      <c r="C12" t="s">
        <v>43</v>
      </c>
    </row>
    <row r="13" spans="1:5" x14ac:dyDescent="0.35">
      <c r="C13" t="s">
        <v>43</v>
      </c>
    </row>
    <row r="14" spans="1:5" x14ac:dyDescent="0.35">
      <c r="C14" t="s">
        <v>26</v>
      </c>
    </row>
    <row r="15" spans="1:5" x14ac:dyDescent="0.35">
      <c r="C15" t="s">
        <v>67</v>
      </c>
    </row>
    <row r="16" spans="1:5" x14ac:dyDescent="0.35">
      <c r="C16" t="s">
        <v>67</v>
      </c>
    </row>
    <row r="17" spans="3:3" x14ac:dyDescent="0.35">
      <c r="C17" t="s">
        <v>43</v>
      </c>
    </row>
    <row r="18" spans="3:3" x14ac:dyDescent="0.35">
      <c r="C18" t="s">
        <v>50</v>
      </c>
    </row>
    <row r="19" spans="3:3" x14ac:dyDescent="0.35">
      <c r="C19" t="s">
        <v>34</v>
      </c>
    </row>
    <row r="20" spans="3:3" x14ac:dyDescent="0.35">
      <c r="C20" t="s">
        <v>26</v>
      </c>
    </row>
    <row r="21" spans="3:3" x14ac:dyDescent="0.35">
      <c r="C21" t="s">
        <v>26</v>
      </c>
    </row>
    <row r="22" spans="3:3" x14ac:dyDescent="0.35">
      <c r="C22" t="s">
        <v>34</v>
      </c>
    </row>
    <row r="23" spans="3:3" x14ac:dyDescent="0.35">
      <c r="C23" t="s">
        <v>43</v>
      </c>
    </row>
    <row r="24" spans="3:3" x14ac:dyDescent="0.35">
      <c r="C24" t="s">
        <v>67</v>
      </c>
    </row>
    <row r="25" spans="3:3" x14ac:dyDescent="0.35">
      <c r="C25" t="s">
        <v>67</v>
      </c>
    </row>
    <row r="26" spans="3:3" x14ac:dyDescent="0.35">
      <c r="C26" t="s">
        <v>43</v>
      </c>
    </row>
    <row r="27" spans="3:3" x14ac:dyDescent="0.35">
      <c r="C27" t="s">
        <v>146</v>
      </c>
    </row>
    <row r="28" spans="3:3" x14ac:dyDescent="0.35">
      <c r="C28" t="s">
        <v>43</v>
      </c>
    </row>
    <row r="29" spans="3:3" x14ac:dyDescent="0.35">
      <c r="C29" t="s">
        <v>50</v>
      </c>
    </row>
    <row r="30" spans="3:3" x14ac:dyDescent="0.35">
      <c r="C30" t="s">
        <v>56</v>
      </c>
    </row>
    <row r="31" spans="3:3" x14ac:dyDescent="0.35">
      <c r="C31" t="s">
        <v>43</v>
      </c>
    </row>
    <row r="32" spans="3:3" x14ac:dyDescent="0.35">
      <c r="C32" t="s">
        <v>67</v>
      </c>
    </row>
    <row r="33" spans="3:3" x14ac:dyDescent="0.35">
      <c r="C33" t="s">
        <v>67</v>
      </c>
    </row>
    <row r="34" spans="3:3" x14ac:dyDescent="0.35">
      <c r="C34" t="s">
        <v>50</v>
      </c>
    </row>
    <row r="35" spans="3:3" x14ac:dyDescent="0.35">
      <c r="C35" t="s">
        <v>43</v>
      </c>
    </row>
    <row r="36" spans="3:3" x14ac:dyDescent="0.35">
      <c r="C36" t="s">
        <v>34</v>
      </c>
    </row>
    <row r="37" spans="3:3" x14ac:dyDescent="0.35">
      <c r="C37" t="s">
        <v>34</v>
      </c>
    </row>
    <row r="38" spans="3:3" x14ac:dyDescent="0.35">
      <c r="C38" t="s">
        <v>43</v>
      </c>
    </row>
    <row r="39" spans="3:3" x14ac:dyDescent="0.35">
      <c r="C39" t="s">
        <v>50</v>
      </c>
    </row>
    <row r="40" spans="3:3" x14ac:dyDescent="0.35">
      <c r="C40" t="s">
        <v>26</v>
      </c>
    </row>
    <row r="41" spans="3:3" x14ac:dyDescent="0.35">
      <c r="C41" t="s">
        <v>56</v>
      </c>
    </row>
    <row r="42" spans="3:3" x14ac:dyDescent="0.35">
      <c r="C42" t="s">
        <v>43</v>
      </c>
    </row>
    <row r="43" spans="3:3" x14ac:dyDescent="0.35">
      <c r="C43" t="s">
        <v>43</v>
      </c>
    </row>
    <row r="44" spans="3:3" x14ac:dyDescent="0.35">
      <c r="C44" t="s">
        <v>50</v>
      </c>
    </row>
    <row r="45" spans="3:3" x14ac:dyDescent="0.35">
      <c r="C45" t="s">
        <v>43</v>
      </c>
    </row>
    <row r="46" spans="3:3" x14ac:dyDescent="0.35">
      <c r="C46" t="s">
        <v>34</v>
      </c>
    </row>
    <row r="47" spans="3:3" x14ac:dyDescent="0.35">
      <c r="C47" t="s">
        <v>67</v>
      </c>
    </row>
    <row r="48" spans="3:3" x14ac:dyDescent="0.35">
      <c r="C48" t="s">
        <v>43</v>
      </c>
    </row>
    <row r="49" spans="3:3" x14ac:dyDescent="0.35">
      <c r="C49" t="s">
        <v>56</v>
      </c>
    </row>
    <row r="50" spans="3:3" x14ac:dyDescent="0.35">
      <c r="C50" t="s">
        <v>34</v>
      </c>
    </row>
    <row r="51" spans="3:3" x14ac:dyDescent="0.35">
      <c r="C51" t="s">
        <v>43</v>
      </c>
    </row>
    <row r="52" spans="3:3" x14ac:dyDescent="0.35">
      <c r="C52" t="s">
        <v>67</v>
      </c>
    </row>
    <row r="53" spans="3:3" x14ac:dyDescent="0.35">
      <c r="C53" t="s">
        <v>67</v>
      </c>
    </row>
    <row r="54" spans="3:3" x14ac:dyDescent="0.35">
      <c r="C54" t="s">
        <v>67</v>
      </c>
    </row>
    <row r="55" spans="3:3" x14ac:dyDescent="0.35">
      <c r="C55" t="s">
        <v>67</v>
      </c>
    </row>
    <row r="56" spans="3:3" x14ac:dyDescent="0.35">
      <c r="C56" t="s">
        <v>34</v>
      </c>
    </row>
    <row r="57" spans="3:3" x14ac:dyDescent="0.35">
      <c r="C57" t="s">
        <v>67</v>
      </c>
    </row>
    <row r="58" spans="3:3" x14ac:dyDescent="0.35">
      <c r="C58" t="s">
        <v>43</v>
      </c>
    </row>
    <row r="59" spans="3:3" x14ac:dyDescent="0.35">
      <c r="C59" t="s">
        <v>146</v>
      </c>
    </row>
    <row r="60" spans="3:3" x14ac:dyDescent="0.35">
      <c r="C60" t="s">
        <v>50</v>
      </c>
    </row>
    <row r="61" spans="3:3" x14ac:dyDescent="0.35">
      <c r="C61" t="s">
        <v>50</v>
      </c>
    </row>
    <row r="62" spans="3:3" x14ac:dyDescent="0.35">
      <c r="C62" t="s">
        <v>50</v>
      </c>
    </row>
    <row r="63" spans="3:3" x14ac:dyDescent="0.35">
      <c r="C63" t="s">
        <v>43</v>
      </c>
    </row>
    <row r="64" spans="3:3" x14ac:dyDescent="0.35">
      <c r="C64" t="s">
        <v>43</v>
      </c>
    </row>
    <row r="65" spans="3:3" x14ac:dyDescent="0.35">
      <c r="C65" t="s">
        <v>34</v>
      </c>
    </row>
    <row r="66" spans="3:3" x14ac:dyDescent="0.35">
      <c r="C66" t="s">
        <v>43</v>
      </c>
    </row>
    <row r="67" spans="3:3" x14ac:dyDescent="0.35">
      <c r="C67" t="s">
        <v>50</v>
      </c>
    </row>
    <row r="68" spans="3:3" x14ac:dyDescent="0.35">
      <c r="C68" t="s">
        <v>50</v>
      </c>
    </row>
    <row r="69" spans="3:3" x14ac:dyDescent="0.35">
      <c r="C69" t="s">
        <v>26</v>
      </c>
    </row>
    <row r="70" spans="3:3" x14ac:dyDescent="0.35">
      <c r="C70" t="s">
        <v>43</v>
      </c>
    </row>
    <row r="71" spans="3:3" x14ac:dyDescent="0.35">
      <c r="C71" t="s">
        <v>67</v>
      </c>
    </row>
    <row r="72" spans="3:3" x14ac:dyDescent="0.35">
      <c r="C72" t="s">
        <v>34</v>
      </c>
    </row>
    <row r="73" spans="3:3" x14ac:dyDescent="0.35">
      <c r="C73" t="s">
        <v>43</v>
      </c>
    </row>
    <row r="74" spans="3:3" x14ac:dyDescent="0.35">
      <c r="C74" t="s">
        <v>26</v>
      </c>
    </row>
    <row r="75" spans="3:3" x14ac:dyDescent="0.35">
      <c r="C75" t="s">
        <v>67</v>
      </c>
    </row>
    <row r="76" spans="3:3" x14ac:dyDescent="0.35">
      <c r="C76" t="s">
        <v>56</v>
      </c>
    </row>
    <row r="77" spans="3:3" x14ac:dyDescent="0.35">
      <c r="C77" t="s">
        <v>43</v>
      </c>
    </row>
    <row r="78" spans="3:3" x14ac:dyDescent="0.35">
      <c r="C78" t="s">
        <v>34</v>
      </c>
    </row>
    <row r="79" spans="3:3" x14ac:dyDescent="0.35">
      <c r="C79" t="s">
        <v>50</v>
      </c>
    </row>
    <row r="80" spans="3:3" x14ac:dyDescent="0.35">
      <c r="C80" t="s">
        <v>34</v>
      </c>
    </row>
    <row r="81" spans="3:3" x14ac:dyDescent="0.35">
      <c r="C81" t="s">
        <v>50</v>
      </c>
    </row>
    <row r="82" spans="3:3" x14ac:dyDescent="0.35">
      <c r="C82" t="s">
        <v>50</v>
      </c>
    </row>
    <row r="83" spans="3:3" x14ac:dyDescent="0.35">
      <c r="C83" t="s">
        <v>50</v>
      </c>
    </row>
    <row r="84" spans="3:3" x14ac:dyDescent="0.35">
      <c r="C84" t="s">
        <v>56</v>
      </c>
    </row>
    <row r="85" spans="3:3" x14ac:dyDescent="0.35">
      <c r="C85" t="s">
        <v>43</v>
      </c>
    </row>
    <row r="86" spans="3:3" x14ac:dyDescent="0.35">
      <c r="C86" t="s">
        <v>43</v>
      </c>
    </row>
    <row r="87" spans="3:3" x14ac:dyDescent="0.35">
      <c r="C87" t="s">
        <v>56</v>
      </c>
    </row>
    <row r="88" spans="3:3" x14ac:dyDescent="0.35">
      <c r="C88" t="s">
        <v>56</v>
      </c>
    </row>
    <row r="89" spans="3:3" x14ac:dyDescent="0.35">
      <c r="C89" t="s">
        <v>34</v>
      </c>
    </row>
    <row r="90" spans="3:3" x14ac:dyDescent="0.35">
      <c r="C90" t="s">
        <v>67</v>
      </c>
    </row>
    <row r="91" spans="3:3" x14ac:dyDescent="0.35">
      <c r="C91" t="s">
        <v>50</v>
      </c>
    </row>
    <row r="92" spans="3:3" x14ac:dyDescent="0.35">
      <c r="C92" t="s">
        <v>26</v>
      </c>
    </row>
    <row r="93" spans="3:3" x14ac:dyDescent="0.35">
      <c r="C93" t="s">
        <v>43</v>
      </c>
    </row>
    <row r="94" spans="3:3" x14ac:dyDescent="0.35">
      <c r="C94" t="s">
        <v>26</v>
      </c>
    </row>
    <row r="95" spans="3:3" x14ac:dyDescent="0.35">
      <c r="C95" t="s">
        <v>67</v>
      </c>
    </row>
    <row r="96" spans="3:3" x14ac:dyDescent="0.35">
      <c r="C96" t="s">
        <v>67</v>
      </c>
    </row>
    <row r="97" spans="3:3" x14ac:dyDescent="0.35">
      <c r="C97" t="s">
        <v>26</v>
      </c>
    </row>
    <row r="98" spans="3:3" x14ac:dyDescent="0.35">
      <c r="C98" t="s">
        <v>34</v>
      </c>
    </row>
    <row r="99" spans="3:3" x14ac:dyDescent="0.35">
      <c r="C99" t="s">
        <v>146</v>
      </c>
    </row>
    <row r="100" spans="3:3" x14ac:dyDescent="0.35">
      <c r="C100" t="s">
        <v>34</v>
      </c>
    </row>
    <row r="101" spans="3:3" x14ac:dyDescent="0.35">
      <c r="C101" t="s">
        <v>50</v>
      </c>
    </row>
    <row r="102" spans="3:3" x14ac:dyDescent="0.35">
      <c r="C102" t="s">
        <v>67</v>
      </c>
    </row>
    <row r="103" spans="3:3" x14ac:dyDescent="0.35">
      <c r="C103" t="s">
        <v>56</v>
      </c>
    </row>
    <row r="104" spans="3:3" x14ac:dyDescent="0.35">
      <c r="C104" t="s">
        <v>26</v>
      </c>
    </row>
    <row r="105" spans="3:3" x14ac:dyDescent="0.35">
      <c r="C105" t="s">
        <v>56</v>
      </c>
    </row>
    <row r="106" spans="3:3" x14ac:dyDescent="0.35">
      <c r="C106" t="s">
        <v>56</v>
      </c>
    </row>
    <row r="107" spans="3:3" x14ac:dyDescent="0.35">
      <c r="C107" t="s">
        <v>67</v>
      </c>
    </row>
    <row r="108" spans="3:3" x14ac:dyDescent="0.35">
      <c r="C108" t="s">
        <v>43</v>
      </c>
    </row>
    <row r="109" spans="3:3" x14ac:dyDescent="0.35">
      <c r="C109" t="s">
        <v>34</v>
      </c>
    </row>
    <row r="110" spans="3:3" x14ac:dyDescent="0.35">
      <c r="C110" t="s">
        <v>43</v>
      </c>
    </row>
    <row r="111" spans="3:3" x14ac:dyDescent="0.35">
      <c r="C111" t="s">
        <v>67</v>
      </c>
    </row>
    <row r="112" spans="3:3" x14ac:dyDescent="0.35">
      <c r="C112" t="s">
        <v>56</v>
      </c>
    </row>
    <row r="113" spans="3:3" x14ac:dyDescent="0.35">
      <c r="C113" t="s">
        <v>43</v>
      </c>
    </row>
    <row r="114" spans="3:3" x14ac:dyDescent="0.35">
      <c r="C114" t="s">
        <v>34</v>
      </c>
    </row>
    <row r="115" spans="3:3" x14ac:dyDescent="0.35">
      <c r="C115" t="s">
        <v>146</v>
      </c>
    </row>
    <row r="116" spans="3:3" x14ac:dyDescent="0.35">
      <c r="C116" t="s">
        <v>56</v>
      </c>
    </row>
    <row r="117" spans="3:3" x14ac:dyDescent="0.35">
      <c r="C117" t="s">
        <v>67</v>
      </c>
    </row>
    <row r="118" spans="3:3" x14ac:dyDescent="0.35">
      <c r="C118" t="s">
        <v>43</v>
      </c>
    </row>
    <row r="119" spans="3:3" x14ac:dyDescent="0.35">
      <c r="C119" t="s">
        <v>56</v>
      </c>
    </row>
    <row r="120" spans="3:3" x14ac:dyDescent="0.35">
      <c r="C120" t="s">
        <v>43</v>
      </c>
    </row>
    <row r="121" spans="3:3" x14ac:dyDescent="0.35">
      <c r="C121" t="s">
        <v>67</v>
      </c>
    </row>
    <row r="122" spans="3:3" x14ac:dyDescent="0.35">
      <c r="C122" t="s">
        <v>50</v>
      </c>
    </row>
    <row r="123" spans="3:3" x14ac:dyDescent="0.35">
      <c r="C123" t="s">
        <v>26</v>
      </c>
    </row>
    <row r="124" spans="3:3" x14ac:dyDescent="0.35">
      <c r="C124" t="s">
        <v>34</v>
      </c>
    </row>
    <row r="125" spans="3:3" x14ac:dyDescent="0.35">
      <c r="C125" t="s">
        <v>43</v>
      </c>
    </row>
    <row r="126" spans="3:3" x14ac:dyDescent="0.35">
      <c r="C126" t="s">
        <v>43</v>
      </c>
    </row>
    <row r="127" spans="3:3" x14ac:dyDescent="0.35">
      <c r="C127" t="s">
        <v>43</v>
      </c>
    </row>
    <row r="128" spans="3:3" x14ac:dyDescent="0.35">
      <c r="C128" t="s">
        <v>34</v>
      </c>
    </row>
    <row r="129" spans="3:3" x14ac:dyDescent="0.35">
      <c r="C129" t="s">
        <v>34</v>
      </c>
    </row>
    <row r="130" spans="3:3" x14ac:dyDescent="0.35">
      <c r="C130" t="s">
        <v>67</v>
      </c>
    </row>
    <row r="131" spans="3:3" x14ac:dyDescent="0.35">
      <c r="C131" t="s">
        <v>43</v>
      </c>
    </row>
    <row r="132" spans="3:3" x14ac:dyDescent="0.35">
      <c r="C132" t="s">
        <v>34</v>
      </c>
    </row>
    <row r="133" spans="3:3" x14ac:dyDescent="0.35">
      <c r="C133" t="s">
        <v>43</v>
      </c>
    </row>
    <row r="134" spans="3:3" x14ac:dyDescent="0.35">
      <c r="C134" t="s">
        <v>43</v>
      </c>
    </row>
    <row r="135" spans="3:3" x14ac:dyDescent="0.35">
      <c r="C135" t="s">
        <v>26</v>
      </c>
    </row>
    <row r="136" spans="3:3" x14ac:dyDescent="0.35">
      <c r="C136" t="s">
        <v>50</v>
      </c>
    </row>
    <row r="137" spans="3:3" x14ac:dyDescent="0.35">
      <c r="C137" t="s">
        <v>26</v>
      </c>
    </row>
    <row r="138" spans="3:3" x14ac:dyDescent="0.35">
      <c r="C138" t="s">
        <v>26</v>
      </c>
    </row>
    <row r="139" spans="3:3" x14ac:dyDescent="0.35">
      <c r="C139" t="s">
        <v>43</v>
      </c>
    </row>
    <row r="140" spans="3:3" x14ac:dyDescent="0.35">
      <c r="C140" t="s">
        <v>43</v>
      </c>
    </row>
    <row r="141" spans="3:3" x14ac:dyDescent="0.35">
      <c r="C141" t="s">
        <v>43</v>
      </c>
    </row>
    <row r="142" spans="3:3" x14ac:dyDescent="0.35">
      <c r="C142" t="s">
        <v>43</v>
      </c>
    </row>
    <row r="143" spans="3:3" x14ac:dyDescent="0.35">
      <c r="C143" t="s">
        <v>43</v>
      </c>
    </row>
    <row r="144" spans="3:3" x14ac:dyDescent="0.35">
      <c r="C144" t="s">
        <v>56</v>
      </c>
    </row>
    <row r="145" spans="3:3" x14ac:dyDescent="0.35">
      <c r="C145" t="s">
        <v>67</v>
      </c>
    </row>
    <row r="146" spans="3:3" x14ac:dyDescent="0.35">
      <c r="C146" t="s">
        <v>56</v>
      </c>
    </row>
    <row r="147" spans="3:3" x14ac:dyDescent="0.35">
      <c r="C147" t="s">
        <v>67</v>
      </c>
    </row>
    <row r="148" spans="3:3" x14ac:dyDescent="0.35">
      <c r="C148" t="s">
        <v>67</v>
      </c>
    </row>
    <row r="149" spans="3:3" x14ac:dyDescent="0.35">
      <c r="C149" t="s">
        <v>67</v>
      </c>
    </row>
    <row r="150" spans="3:3" x14ac:dyDescent="0.35">
      <c r="C150" t="s">
        <v>56</v>
      </c>
    </row>
    <row r="151" spans="3:3" x14ac:dyDescent="0.35">
      <c r="C151" t="s">
        <v>34</v>
      </c>
    </row>
    <row r="152" spans="3:3" x14ac:dyDescent="0.35">
      <c r="C152" t="s">
        <v>67</v>
      </c>
    </row>
    <row r="153" spans="3:3" x14ac:dyDescent="0.35">
      <c r="C153" t="s">
        <v>43</v>
      </c>
    </row>
    <row r="154" spans="3:3" x14ac:dyDescent="0.35">
      <c r="C154" t="s">
        <v>43</v>
      </c>
    </row>
    <row r="155" spans="3:3" x14ac:dyDescent="0.35">
      <c r="C155" t="s">
        <v>26</v>
      </c>
    </row>
    <row r="156" spans="3:3" x14ac:dyDescent="0.35">
      <c r="C156" t="s">
        <v>50</v>
      </c>
    </row>
    <row r="157" spans="3:3" x14ac:dyDescent="0.35">
      <c r="C157" t="s">
        <v>67</v>
      </c>
    </row>
    <row r="158" spans="3:3" x14ac:dyDescent="0.35">
      <c r="C158" t="s">
        <v>56</v>
      </c>
    </row>
    <row r="159" spans="3:3" x14ac:dyDescent="0.35">
      <c r="C159" t="s">
        <v>56</v>
      </c>
    </row>
    <row r="160" spans="3:3" x14ac:dyDescent="0.35">
      <c r="C160" t="s">
        <v>34</v>
      </c>
    </row>
    <row r="161" spans="3:3" x14ac:dyDescent="0.35">
      <c r="C161" t="s">
        <v>67</v>
      </c>
    </row>
    <row r="162" spans="3:3" x14ac:dyDescent="0.35">
      <c r="C162" t="s">
        <v>43</v>
      </c>
    </row>
    <row r="163" spans="3:3" x14ac:dyDescent="0.35">
      <c r="C163" t="s">
        <v>34</v>
      </c>
    </row>
    <row r="164" spans="3:3" x14ac:dyDescent="0.35">
      <c r="C164" t="s">
        <v>50</v>
      </c>
    </row>
    <row r="165" spans="3:3" x14ac:dyDescent="0.35">
      <c r="C165" t="s">
        <v>50</v>
      </c>
    </row>
    <row r="166" spans="3:3" x14ac:dyDescent="0.35">
      <c r="C166" t="s">
        <v>146</v>
      </c>
    </row>
    <row r="167" spans="3:3" x14ac:dyDescent="0.35">
      <c r="C167" t="s">
        <v>56</v>
      </c>
    </row>
    <row r="168" spans="3:3" x14ac:dyDescent="0.35">
      <c r="C168" t="s">
        <v>56</v>
      </c>
    </row>
    <row r="169" spans="3:3" x14ac:dyDescent="0.35">
      <c r="C169" t="s">
        <v>56</v>
      </c>
    </row>
    <row r="170" spans="3:3" x14ac:dyDescent="0.35">
      <c r="C170" t="s">
        <v>67</v>
      </c>
    </row>
    <row r="171" spans="3:3" x14ac:dyDescent="0.35">
      <c r="C171" t="s">
        <v>34</v>
      </c>
    </row>
    <row r="172" spans="3:3" x14ac:dyDescent="0.35">
      <c r="C172" t="s">
        <v>43</v>
      </c>
    </row>
    <row r="173" spans="3:3" x14ac:dyDescent="0.35">
      <c r="C173" t="s">
        <v>50</v>
      </c>
    </row>
    <row r="174" spans="3:3" x14ac:dyDescent="0.35">
      <c r="C174" t="s">
        <v>26</v>
      </c>
    </row>
    <row r="175" spans="3:3" x14ac:dyDescent="0.35">
      <c r="C175" t="s">
        <v>67</v>
      </c>
    </row>
    <row r="176" spans="3:3" x14ac:dyDescent="0.35">
      <c r="C176" t="s">
        <v>26</v>
      </c>
    </row>
    <row r="177" spans="3:3" x14ac:dyDescent="0.35">
      <c r="C177" t="s">
        <v>26</v>
      </c>
    </row>
    <row r="178" spans="3:3" x14ac:dyDescent="0.35">
      <c r="C178" t="s">
        <v>34</v>
      </c>
    </row>
    <row r="179" spans="3:3" x14ac:dyDescent="0.35">
      <c r="C179" t="s">
        <v>34</v>
      </c>
    </row>
    <row r="180" spans="3:3" x14ac:dyDescent="0.35">
      <c r="C180" t="s">
        <v>34</v>
      </c>
    </row>
    <row r="181" spans="3:3" x14ac:dyDescent="0.35">
      <c r="C181" t="s">
        <v>34</v>
      </c>
    </row>
    <row r="182" spans="3:3" x14ac:dyDescent="0.35">
      <c r="C182" t="s">
        <v>34</v>
      </c>
    </row>
    <row r="183" spans="3:3" x14ac:dyDescent="0.35">
      <c r="C183" t="s">
        <v>43</v>
      </c>
    </row>
    <row r="184" spans="3:3" x14ac:dyDescent="0.35">
      <c r="C184" t="s">
        <v>56</v>
      </c>
    </row>
    <row r="185" spans="3:3" x14ac:dyDescent="0.35">
      <c r="C185" t="s">
        <v>34</v>
      </c>
    </row>
    <row r="186" spans="3:3" x14ac:dyDescent="0.35">
      <c r="C186" t="s">
        <v>34</v>
      </c>
    </row>
    <row r="187" spans="3:3" x14ac:dyDescent="0.35">
      <c r="C187" t="s">
        <v>34</v>
      </c>
    </row>
    <row r="188" spans="3:3" x14ac:dyDescent="0.35">
      <c r="C188" t="s">
        <v>146</v>
      </c>
    </row>
    <row r="189" spans="3:3" x14ac:dyDescent="0.35">
      <c r="C189" t="s">
        <v>67</v>
      </c>
    </row>
    <row r="190" spans="3:3" x14ac:dyDescent="0.35">
      <c r="C190" t="s">
        <v>50</v>
      </c>
    </row>
    <row r="191" spans="3:3" x14ac:dyDescent="0.35">
      <c r="C191" t="s">
        <v>56</v>
      </c>
    </row>
    <row r="192" spans="3:3" x14ac:dyDescent="0.35">
      <c r="C192" t="s">
        <v>34</v>
      </c>
    </row>
    <row r="193" spans="3:3" x14ac:dyDescent="0.35">
      <c r="C193" t="s">
        <v>56</v>
      </c>
    </row>
    <row r="194" spans="3:3" x14ac:dyDescent="0.35">
      <c r="C194" t="s">
        <v>67</v>
      </c>
    </row>
    <row r="195" spans="3:3" x14ac:dyDescent="0.35">
      <c r="C195" t="s">
        <v>43</v>
      </c>
    </row>
    <row r="196" spans="3:3" x14ac:dyDescent="0.35">
      <c r="C196" t="s">
        <v>26</v>
      </c>
    </row>
    <row r="197" spans="3:3" x14ac:dyDescent="0.35">
      <c r="C197" t="s">
        <v>34</v>
      </c>
    </row>
    <row r="198" spans="3:3" x14ac:dyDescent="0.35">
      <c r="C198" t="s">
        <v>43</v>
      </c>
    </row>
    <row r="199" spans="3:3" x14ac:dyDescent="0.35">
      <c r="C199" t="s">
        <v>146</v>
      </c>
    </row>
    <row r="200" spans="3:3" x14ac:dyDescent="0.35">
      <c r="C200" t="s">
        <v>56</v>
      </c>
    </row>
    <row r="201" spans="3:3" x14ac:dyDescent="0.35">
      <c r="C201" t="s">
        <v>43</v>
      </c>
    </row>
    <row r="202" spans="3:3" x14ac:dyDescent="0.35">
      <c r="C202" t="s">
        <v>43</v>
      </c>
    </row>
    <row r="203" spans="3:3" x14ac:dyDescent="0.35">
      <c r="C203" t="s">
        <v>34</v>
      </c>
    </row>
    <row r="204" spans="3:3" x14ac:dyDescent="0.35">
      <c r="C204" t="s">
        <v>34</v>
      </c>
    </row>
    <row r="205" spans="3:3" x14ac:dyDescent="0.35">
      <c r="C205" t="s">
        <v>50</v>
      </c>
    </row>
    <row r="206" spans="3:3" x14ac:dyDescent="0.35">
      <c r="C206" t="s">
        <v>34</v>
      </c>
    </row>
    <row r="207" spans="3:3" x14ac:dyDescent="0.35">
      <c r="C207" t="s">
        <v>34</v>
      </c>
    </row>
    <row r="208" spans="3:3" x14ac:dyDescent="0.35">
      <c r="C208" t="s">
        <v>67</v>
      </c>
    </row>
    <row r="209" spans="3:3" x14ac:dyDescent="0.35">
      <c r="C209" t="s">
        <v>56</v>
      </c>
    </row>
    <row r="210" spans="3:3" x14ac:dyDescent="0.35">
      <c r="C210" t="s">
        <v>43</v>
      </c>
    </row>
    <row r="211" spans="3:3" x14ac:dyDescent="0.35">
      <c r="C211" t="s">
        <v>43</v>
      </c>
    </row>
    <row r="212" spans="3:3" x14ac:dyDescent="0.35">
      <c r="C212" t="s">
        <v>67</v>
      </c>
    </row>
    <row r="213" spans="3:3" x14ac:dyDescent="0.35">
      <c r="C213" t="s">
        <v>67</v>
      </c>
    </row>
    <row r="214" spans="3:3" x14ac:dyDescent="0.35">
      <c r="C214" t="s">
        <v>67</v>
      </c>
    </row>
    <row r="215" spans="3:3" x14ac:dyDescent="0.35">
      <c r="C215" t="s">
        <v>26</v>
      </c>
    </row>
    <row r="216" spans="3:3" x14ac:dyDescent="0.35">
      <c r="C216" t="s">
        <v>34</v>
      </c>
    </row>
    <row r="217" spans="3:3" x14ac:dyDescent="0.35">
      <c r="C217" t="s">
        <v>34</v>
      </c>
    </row>
    <row r="218" spans="3:3" x14ac:dyDescent="0.35">
      <c r="C218" t="s">
        <v>67</v>
      </c>
    </row>
    <row r="219" spans="3:3" x14ac:dyDescent="0.35">
      <c r="C219" t="s">
        <v>43</v>
      </c>
    </row>
    <row r="220" spans="3:3" x14ac:dyDescent="0.35">
      <c r="C220" t="s">
        <v>43</v>
      </c>
    </row>
    <row r="221" spans="3:3" x14ac:dyDescent="0.35">
      <c r="C221" t="s">
        <v>43</v>
      </c>
    </row>
    <row r="222" spans="3:3" x14ac:dyDescent="0.35">
      <c r="C222" t="s">
        <v>34</v>
      </c>
    </row>
    <row r="223" spans="3:3" x14ac:dyDescent="0.35">
      <c r="C223" t="s">
        <v>43</v>
      </c>
    </row>
    <row r="224" spans="3:3" x14ac:dyDescent="0.35">
      <c r="C224" t="s">
        <v>67</v>
      </c>
    </row>
    <row r="225" spans="3:3" x14ac:dyDescent="0.35">
      <c r="C225" t="s">
        <v>43</v>
      </c>
    </row>
    <row r="226" spans="3:3" x14ac:dyDescent="0.35">
      <c r="C226" t="s">
        <v>67</v>
      </c>
    </row>
    <row r="227" spans="3:3" x14ac:dyDescent="0.35">
      <c r="C227" t="s">
        <v>50</v>
      </c>
    </row>
    <row r="228" spans="3:3" x14ac:dyDescent="0.35">
      <c r="C228" t="s">
        <v>56</v>
      </c>
    </row>
    <row r="229" spans="3:3" x14ac:dyDescent="0.35">
      <c r="C229" t="s">
        <v>56</v>
      </c>
    </row>
    <row r="230" spans="3:3" x14ac:dyDescent="0.35">
      <c r="C230" t="s">
        <v>43</v>
      </c>
    </row>
    <row r="231" spans="3:3" x14ac:dyDescent="0.35">
      <c r="C231" t="s">
        <v>50</v>
      </c>
    </row>
    <row r="232" spans="3:3" x14ac:dyDescent="0.35">
      <c r="C232" t="s">
        <v>67</v>
      </c>
    </row>
    <row r="233" spans="3:3" x14ac:dyDescent="0.35">
      <c r="C233" t="s">
        <v>67</v>
      </c>
    </row>
    <row r="234" spans="3:3" x14ac:dyDescent="0.35">
      <c r="C234" t="s">
        <v>43</v>
      </c>
    </row>
    <row r="235" spans="3:3" x14ac:dyDescent="0.35">
      <c r="C235" t="s">
        <v>56</v>
      </c>
    </row>
    <row r="236" spans="3:3" x14ac:dyDescent="0.35">
      <c r="C236" t="s">
        <v>34</v>
      </c>
    </row>
    <row r="237" spans="3:3" x14ac:dyDescent="0.35">
      <c r="C237" t="s">
        <v>34</v>
      </c>
    </row>
    <row r="238" spans="3:3" x14ac:dyDescent="0.35">
      <c r="C238" t="s">
        <v>67</v>
      </c>
    </row>
    <row r="239" spans="3:3" x14ac:dyDescent="0.35">
      <c r="C239" t="s">
        <v>67</v>
      </c>
    </row>
    <row r="240" spans="3:3" x14ac:dyDescent="0.35">
      <c r="C240" t="s">
        <v>43</v>
      </c>
    </row>
    <row r="241" spans="3:3" x14ac:dyDescent="0.35">
      <c r="C241" t="s">
        <v>34</v>
      </c>
    </row>
    <row r="242" spans="3:3" x14ac:dyDescent="0.35">
      <c r="C242" t="s">
        <v>34</v>
      </c>
    </row>
    <row r="243" spans="3:3" x14ac:dyDescent="0.35">
      <c r="C243" t="s">
        <v>34</v>
      </c>
    </row>
    <row r="244" spans="3:3" x14ac:dyDescent="0.35">
      <c r="C244" t="s">
        <v>43</v>
      </c>
    </row>
    <row r="245" spans="3:3" x14ac:dyDescent="0.35">
      <c r="C245" t="s">
        <v>67</v>
      </c>
    </row>
    <row r="246" spans="3:3" x14ac:dyDescent="0.35">
      <c r="C246" t="s">
        <v>34</v>
      </c>
    </row>
    <row r="247" spans="3:3" x14ac:dyDescent="0.35">
      <c r="C247" t="s">
        <v>34</v>
      </c>
    </row>
    <row r="248" spans="3:3" x14ac:dyDescent="0.35">
      <c r="C248" t="s">
        <v>43</v>
      </c>
    </row>
    <row r="249" spans="3:3" x14ac:dyDescent="0.35">
      <c r="C249" t="s">
        <v>43</v>
      </c>
    </row>
    <row r="250" spans="3:3" x14ac:dyDescent="0.35">
      <c r="C250" t="s">
        <v>67</v>
      </c>
    </row>
    <row r="251" spans="3:3" x14ac:dyDescent="0.35">
      <c r="C251" t="s">
        <v>43</v>
      </c>
    </row>
    <row r="252" spans="3:3" x14ac:dyDescent="0.35">
      <c r="C252" t="s">
        <v>146</v>
      </c>
    </row>
    <row r="253" spans="3:3" x14ac:dyDescent="0.35">
      <c r="C253" t="s">
        <v>26</v>
      </c>
    </row>
    <row r="254" spans="3:3" x14ac:dyDescent="0.35">
      <c r="C254" t="s">
        <v>56</v>
      </c>
    </row>
    <row r="255" spans="3:3" x14ac:dyDescent="0.35">
      <c r="C255" t="s">
        <v>50</v>
      </c>
    </row>
    <row r="256" spans="3:3" x14ac:dyDescent="0.35">
      <c r="C256" t="s">
        <v>34</v>
      </c>
    </row>
    <row r="257" spans="3:3" x14ac:dyDescent="0.35">
      <c r="C257" t="s">
        <v>56</v>
      </c>
    </row>
    <row r="258" spans="3:3" x14ac:dyDescent="0.35">
      <c r="C258" t="s">
        <v>67</v>
      </c>
    </row>
    <row r="259" spans="3:3" x14ac:dyDescent="0.35">
      <c r="C259" t="s">
        <v>43</v>
      </c>
    </row>
    <row r="260" spans="3:3" x14ac:dyDescent="0.35">
      <c r="C260" t="s">
        <v>67</v>
      </c>
    </row>
    <row r="261" spans="3:3" x14ac:dyDescent="0.35">
      <c r="C261" t="s">
        <v>34</v>
      </c>
    </row>
    <row r="262" spans="3:3" x14ac:dyDescent="0.35">
      <c r="C262" t="s">
        <v>67</v>
      </c>
    </row>
    <row r="263" spans="3:3" x14ac:dyDescent="0.35">
      <c r="C263" t="s">
        <v>43</v>
      </c>
    </row>
    <row r="264" spans="3:3" x14ac:dyDescent="0.35">
      <c r="C264" t="s">
        <v>56</v>
      </c>
    </row>
    <row r="265" spans="3:3" x14ac:dyDescent="0.35">
      <c r="C265" t="s">
        <v>56</v>
      </c>
    </row>
    <row r="266" spans="3:3" x14ac:dyDescent="0.35">
      <c r="C266" t="s">
        <v>67</v>
      </c>
    </row>
    <row r="267" spans="3:3" x14ac:dyDescent="0.35">
      <c r="C267" t="s">
        <v>56</v>
      </c>
    </row>
    <row r="268" spans="3:3" x14ac:dyDescent="0.35">
      <c r="C268" t="s">
        <v>50</v>
      </c>
    </row>
    <row r="269" spans="3:3" x14ac:dyDescent="0.35">
      <c r="C269" t="s">
        <v>43</v>
      </c>
    </row>
    <row r="270" spans="3:3" x14ac:dyDescent="0.35">
      <c r="C270" t="s">
        <v>34</v>
      </c>
    </row>
    <row r="271" spans="3:3" x14ac:dyDescent="0.35">
      <c r="C271" t="s">
        <v>43</v>
      </c>
    </row>
    <row r="272" spans="3:3" x14ac:dyDescent="0.35">
      <c r="C272" t="s">
        <v>43</v>
      </c>
    </row>
    <row r="273" spans="3:3" x14ac:dyDescent="0.35">
      <c r="C273" t="s">
        <v>50</v>
      </c>
    </row>
    <row r="274" spans="3:3" x14ac:dyDescent="0.35">
      <c r="C274" t="s">
        <v>56</v>
      </c>
    </row>
    <row r="275" spans="3:3" x14ac:dyDescent="0.35">
      <c r="C275" t="s">
        <v>67</v>
      </c>
    </row>
    <row r="276" spans="3:3" x14ac:dyDescent="0.35">
      <c r="C276" t="s">
        <v>67</v>
      </c>
    </row>
    <row r="277" spans="3:3" x14ac:dyDescent="0.35">
      <c r="C277" t="s">
        <v>34</v>
      </c>
    </row>
    <row r="278" spans="3:3" x14ac:dyDescent="0.35">
      <c r="C278" t="s">
        <v>67</v>
      </c>
    </row>
    <row r="279" spans="3:3" x14ac:dyDescent="0.35">
      <c r="C279" t="s">
        <v>26</v>
      </c>
    </row>
    <row r="280" spans="3:3" x14ac:dyDescent="0.35">
      <c r="C280" t="s">
        <v>26</v>
      </c>
    </row>
    <row r="281" spans="3:3" x14ac:dyDescent="0.35">
      <c r="C281" t="s">
        <v>67</v>
      </c>
    </row>
    <row r="282" spans="3:3" x14ac:dyDescent="0.35">
      <c r="C282" t="s">
        <v>34</v>
      </c>
    </row>
    <row r="283" spans="3:3" x14ac:dyDescent="0.35">
      <c r="C283" t="s">
        <v>56</v>
      </c>
    </row>
    <row r="284" spans="3:3" x14ac:dyDescent="0.35">
      <c r="C284" t="s">
        <v>43</v>
      </c>
    </row>
    <row r="285" spans="3:3" x14ac:dyDescent="0.35">
      <c r="C285" t="s">
        <v>34</v>
      </c>
    </row>
    <row r="286" spans="3:3" x14ac:dyDescent="0.35">
      <c r="C286" t="s">
        <v>67</v>
      </c>
    </row>
    <row r="287" spans="3:3" x14ac:dyDescent="0.35">
      <c r="C287" t="s">
        <v>43</v>
      </c>
    </row>
    <row r="288" spans="3:3" x14ac:dyDescent="0.35">
      <c r="C288" t="s">
        <v>43</v>
      </c>
    </row>
    <row r="289" spans="3:3" x14ac:dyDescent="0.35">
      <c r="C289" t="s">
        <v>43</v>
      </c>
    </row>
    <row r="290" spans="3:3" x14ac:dyDescent="0.35">
      <c r="C290" t="s">
        <v>50</v>
      </c>
    </row>
    <row r="291" spans="3:3" x14ac:dyDescent="0.35">
      <c r="C291" t="s">
        <v>34</v>
      </c>
    </row>
    <row r="292" spans="3:3" x14ac:dyDescent="0.35">
      <c r="C292" t="s">
        <v>67</v>
      </c>
    </row>
    <row r="293" spans="3:3" x14ac:dyDescent="0.35">
      <c r="C293" t="s">
        <v>34</v>
      </c>
    </row>
    <row r="294" spans="3:3" x14ac:dyDescent="0.35">
      <c r="C294" t="s">
        <v>26</v>
      </c>
    </row>
    <row r="295" spans="3:3" x14ac:dyDescent="0.35">
      <c r="C295" t="s">
        <v>34</v>
      </c>
    </row>
    <row r="296" spans="3:3" x14ac:dyDescent="0.35">
      <c r="C296" t="s">
        <v>56</v>
      </c>
    </row>
    <row r="297" spans="3:3" x14ac:dyDescent="0.35">
      <c r="C297" t="s">
        <v>50</v>
      </c>
    </row>
    <row r="298" spans="3:3" x14ac:dyDescent="0.35">
      <c r="C298" t="s">
        <v>43</v>
      </c>
    </row>
    <row r="299" spans="3:3" x14ac:dyDescent="0.35">
      <c r="C299" t="s">
        <v>67</v>
      </c>
    </row>
    <row r="300" spans="3:3" x14ac:dyDescent="0.35">
      <c r="C300" t="s">
        <v>26</v>
      </c>
    </row>
    <row r="301" spans="3:3" x14ac:dyDescent="0.35">
      <c r="C301" t="s">
        <v>43</v>
      </c>
    </row>
    <row r="302" spans="3:3" x14ac:dyDescent="0.35">
      <c r="C302" t="s">
        <v>43</v>
      </c>
    </row>
    <row r="303" spans="3:3" x14ac:dyDescent="0.35">
      <c r="C303" t="s">
        <v>34</v>
      </c>
    </row>
    <row r="304" spans="3:3" x14ac:dyDescent="0.35">
      <c r="C304" t="s">
        <v>43</v>
      </c>
    </row>
    <row r="305" spans="3:3" x14ac:dyDescent="0.35">
      <c r="C305" t="s">
        <v>56</v>
      </c>
    </row>
    <row r="306" spans="3:3" x14ac:dyDescent="0.35">
      <c r="C306" t="s">
        <v>67</v>
      </c>
    </row>
    <row r="307" spans="3:3" x14ac:dyDescent="0.35">
      <c r="C307" t="s">
        <v>67</v>
      </c>
    </row>
    <row r="308" spans="3:3" x14ac:dyDescent="0.35">
      <c r="C308" t="s">
        <v>50</v>
      </c>
    </row>
    <row r="309" spans="3:3" x14ac:dyDescent="0.35">
      <c r="C309" t="s">
        <v>34</v>
      </c>
    </row>
    <row r="310" spans="3:3" x14ac:dyDescent="0.35">
      <c r="C310" t="s">
        <v>43</v>
      </c>
    </row>
    <row r="311" spans="3:3" x14ac:dyDescent="0.35">
      <c r="C311" t="s">
        <v>67</v>
      </c>
    </row>
    <row r="312" spans="3:3" x14ac:dyDescent="0.35">
      <c r="C312" t="s">
        <v>34</v>
      </c>
    </row>
    <row r="313" spans="3:3" x14ac:dyDescent="0.35">
      <c r="C313" t="s">
        <v>50</v>
      </c>
    </row>
    <row r="314" spans="3:3" x14ac:dyDescent="0.35">
      <c r="C314" t="s">
        <v>43</v>
      </c>
    </row>
    <row r="315" spans="3:3" x14ac:dyDescent="0.35">
      <c r="C315" t="s">
        <v>43</v>
      </c>
    </row>
    <row r="316" spans="3:3" x14ac:dyDescent="0.35">
      <c r="C316" t="s">
        <v>34</v>
      </c>
    </row>
    <row r="317" spans="3:3" x14ac:dyDescent="0.35">
      <c r="C317" t="s">
        <v>50</v>
      </c>
    </row>
    <row r="318" spans="3:3" x14ac:dyDescent="0.35">
      <c r="C318" t="s">
        <v>43</v>
      </c>
    </row>
    <row r="319" spans="3:3" x14ac:dyDescent="0.35">
      <c r="C319" t="s">
        <v>34</v>
      </c>
    </row>
    <row r="320" spans="3:3" x14ac:dyDescent="0.35">
      <c r="C320" t="s">
        <v>56</v>
      </c>
    </row>
    <row r="321" spans="3:3" x14ac:dyDescent="0.35">
      <c r="C321" t="s">
        <v>67</v>
      </c>
    </row>
    <row r="322" spans="3:3" x14ac:dyDescent="0.35">
      <c r="C322" t="s">
        <v>43</v>
      </c>
    </row>
    <row r="323" spans="3:3" x14ac:dyDescent="0.35">
      <c r="C323" t="s">
        <v>56</v>
      </c>
    </row>
    <row r="324" spans="3:3" x14ac:dyDescent="0.35">
      <c r="C324" t="s">
        <v>67</v>
      </c>
    </row>
    <row r="325" spans="3:3" x14ac:dyDescent="0.35">
      <c r="C325" t="s">
        <v>67</v>
      </c>
    </row>
    <row r="326" spans="3:3" x14ac:dyDescent="0.35">
      <c r="C326" t="s">
        <v>50</v>
      </c>
    </row>
    <row r="327" spans="3:3" x14ac:dyDescent="0.35">
      <c r="C327" t="s">
        <v>43</v>
      </c>
    </row>
    <row r="328" spans="3:3" x14ac:dyDescent="0.35">
      <c r="C328" t="s">
        <v>43</v>
      </c>
    </row>
    <row r="329" spans="3:3" x14ac:dyDescent="0.35">
      <c r="C329" t="s">
        <v>43</v>
      </c>
    </row>
    <row r="330" spans="3:3" x14ac:dyDescent="0.35">
      <c r="C330" t="s">
        <v>43</v>
      </c>
    </row>
    <row r="331" spans="3:3" x14ac:dyDescent="0.35">
      <c r="C331" t="s">
        <v>56</v>
      </c>
    </row>
    <row r="332" spans="3:3" x14ac:dyDescent="0.35">
      <c r="C332" t="s">
        <v>67</v>
      </c>
    </row>
    <row r="333" spans="3:3" x14ac:dyDescent="0.35">
      <c r="C333" t="s">
        <v>67</v>
      </c>
    </row>
    <row r="334" spans="3:3" x14ac:dyDescent="0.35">
      <c r="C334" t="s">
        <v>43</v>
      </c>
    </row>
    <row r="335" spans="3:3" x14ac:dyDescent="0.35">
      <c r="C335" t="s">
        <v>43</v>
      </c>
    </row>
    <row r="336" spans="3:3" x14ac:dyDescent="0.35">
      <c r="C336" t="s">
        <v>56</v>
      </c>
    </row>
    <row r="337" spans="3:3" x14ac:dyDescent="0.35">
      <c r="C337" t="s">
        <v>67</v>
      </c>
    </row>
    <row r="338" spans="3:3" x14ac:dyDescent="0.35">
      <c r="C338" t="s">
        <v>67</v>
      </c>
    </row>
    <row r="339" spans="3:3" x14ac:dyDescent="0.35">
      <c r="C339" t="s">
        <v>34</v>
      </c>
    </row>
    <row r="340" spans="3:3" x14ac:dyDescent="0.35">
      <c r="C340" t="s">
        <v>67</v>
      </c>
    </row>
    <row r="341" spans="3:3" x14ac:dyDescent="0.35">
      <c r="C341" t="s">
        <v>43</v>
      </c>
    </row>
    <row r="342" spans="3:3" x14ac:dyDescent="0.35">
      <c r="C342" t="s">
        <v>56</v>
      </c>
    </row>
    <row r="343" spans="3:3" x14ac:dyDescent="0.35">
      <c r="C343" t="s">
        <v>43</v>
      </c>
    </row>
    <row r="344" spans="3:3" x14ac:dyDescent="0.35">
      <c r="C344" t="s">
        <v>34</v>
      </c>
    </row>
    <row r="345" spans="3:3" x14ac:dyDescent="0.35">
      <c r="C345" t="s">
        <v>67</v>
      </c>
    </row>
    <row r="346" spans="3:3" x14ac:dyDescent="0.35">
      <c r="C346" t="s">
        <v>146</v>
      </c>
    </row>
    <row r="347" spans="3:3" x14ac:dyDescent="0.35">
      <c r="C347" t="s">
        <v>67</v>
      </c>
    </row>
    <row r="348" spans="3:3" x14ac:dyDescent="0.35">
      <c r="C348" t="s">
        <v>26</v>
      </c>
    </row>
    <row r="349" spans="3:3" x14ac:dyDescent="0.35">
      <c r="C349" t="s">
        <v>67</v>
      </c>
    </row>
    <row r="350" spans="3:3" x14ac:dyDescent="0.35">
      <c r="C350" t="s">
        <v>56</v>
      </c>
    </row>
    <row r="351" spans="3:3" x14ac:dyDescent="0.35">
      <c r="C351" t="s">
        <v>43</v>
      </c>
    </row>
    <row r="352" spans="3:3" x14ac:dyDescent="0.35">
      <c r="C352" t="s">
        <v>56</v>
      </c>
    </row>
    <row r="353" spans="3:3" x14ac:dyDescent="0.35">
      <c r="C353" t="s">
        <v>50</v>
      </c>
    </row>
    <row r="354" spans="3:3" x14ac:dyDescent="0.35">
      <c r="C354" t="s">
        <v>67</v>
      </c>
    </row>
    <row r="355" spans="3:3" x14ac:dyDescent="0.35">
      <c r="C355" t="s">
        <v>43</v>
      </c>
    </row>
    <row r="356" spans="3:3" x14ac:dyDescent="0.35">
      <c r="C356" t="s">
        <v>43</v>
      </c>
    </row>
    <row r="357" spans="3:3" x14ac:dyDescent="0.35">
      <c r="C357" t="s">
        <v>43</v>
      </c>
    </row>
    <row r="358" spans="3:3" x14ac:dyDescent="0.35">
      <c r="C358" t="s">
        <v>67</v>
      </c>
    </row>
    <row r="359" spans="3:3" x14ac:dyDescent="0.35">
      <c r="C359" t="s">
        <v>67</v>
      </c>
    </row>
    <row r="360" spans="3:3" x14ac:dyDescent="0.35">
      <c r="C360" t="s">
        <v>50</v>
      </c>
    </row>
    <row r="361" spans="3:3" x14ac:dyDescent="0.35">
      <c r="C361" t="s">
        <v>43</v>
      </c>
    </row>
    <row r="362" spans="3:3" x14ac:dyDescent="0.35">
      <c r="C362" t="s">
        <v>67</v>
      </c>
    </row>
    <row r="363" spans="3:3" x14ac:dyDescent="0.35">
      <c r="C363" t="s">
        <v>34</v>
      </c>
    </row>
    <row r="364" spans="3:3" x14ac:dyDescent="0.35">
      <c r="C364" t="s">
        <v>67</v>
      </c>
    </row>
    <row r="365" spans="3:3" x14ac:dyDescent="0.35">
      <c r="C365" t="s">
        <v>43</v>
      </c>
    </row>
    <row r="366" spans="3:3" x14ac:dyDescent="0.35">
      <c r="C366" t="s">
        <v>34</v>
      </c>
    </row>
    <row r="367" spans="3:3" x14ac:dyDescent="0.35">
      <c r="C367" t="s">
        <v>43</v>
      </c>
    </row>
    <row r="368" spans="3:3" x14ac:dyDescent="0.35">
      <c r="C368" t="s">
        <v>50</v>
      </c>
    </row>
    <row r="369" spans="3:3" x14ac:dyDescent="0.35">
      <c r="C369" t="s">
        <v>67</v>
      </c>
    </row>
    <row r="370" spans="3:3" x14ac:dyDescent="0.35">
      <c r="C370" t="s">
        <v>43</v>
      </c>
    </row>
    <row r="371" spans="3:3" x14ac:dyDescent="0.35">
      <c r="C371" t="s">
        <v>43</v>
      </c>
    </row>
    <row r="372" spans="3:3" x14ac:dyDescent="0.35">
      <c r="C372" t="s">
        <v>56</v>
      </c>
    </row>
    <row r="373" spans="3:3" x14ac:dyDescent="0.35">
      <c r="C373" t="s">
        <v>50</v>
      </c>
    </row>
    <row r="374" spans="3:3" x14ac:dyDescent="0.35">
      <c r="C374" t="s">
        <v>56</v>
      </c>
    </row>
    <row r="375" spans="3:3" x14ac:dyDescent="0.35">
      <c r="C375" t="s">
        <v>43</v>
      </c>
    </row>
    <row r="376" spans="3:3" x14ac:dyDescent="0.35">
      <c r="C376" t="s">
        <v>26</v>
      </c>
    </row>
    <row r="377" spans="3:3" x14ac:dyDescent="0.35">
      <c r="C377" t="s">
        <v>50</v>
      </c>
    </row>
    <row r="378" spans="3:3" x14ac:dyDescent="0.35">
      <c r="C378" t="s">
        <v>34</v>
      </c>
    </row>
    <row r="379" spans="3:3" x14ac:dyDescent="0.35">
      <c r="C379" t="s">
        <v>50</v>
      </c>
    </row>
    <row r="380" spans="3:3" x14ac:dyDescent="0.35">
      <c r="C380" t="s">
        <v>146</v>
      </c>
    </row>
    <row r="381" spans="3:3" x14ac:dyDescent="0.35">
      <c r="C381" t="s">
        <v>56</v>
      </c>
    </row>
    <row r="382" spans="3:3" x14ac:dyDescent="0.35">
      <c r="C382" t="s">
        <v>56</v>
      </c>
    </row>
    <row r="383" spans="3:3" x14ac:dyDescent="0.35">
      <c r="C383" t="s">
        <v>43</v>
      </c>
    </row>
    <row r="384" spans="3:3" x14ac:dyDescent="0.35">
      <c r="C384" t="s">
        <v>50</v>
      </c>
    </row>
    <row r="385" spans="3:3" x14ac:dyDescent="0.35">
      <c r="C385" t="s">
        <v>50</v>
      </c>
    </row>
    <row r="386" spans="3:3" x14ac:dyDescent="0.35">
      <c r="C386" t="s">
        <v>34</v>
      </c>
    </row>
    <row r="387" spans="3:3" x14ac:dyDescent="0.35">
      <c r="C387" t="s">
        <v>34</v>
      </c>
    </row>
    <row r="388" spans="3:3" x14ac:dyDescent="0.35">
      <c r="C388" t="s">
        <v>34</v>
      </c>
    </row>
    <row r="389" spans="3:3" x14ac:dyDescent="0.35">
      <c r="C389" t="s">
        <v>43</v>
      </c>
    </row>
    <row r="390" spans="3:3" x14ac:dyDescent="0.35">
      <c r="C390" t="s">
        <v>56</v>
      </c>
    </row>
    <row r="391" spans="3:3" x14ac:dyDescent="0.35">
      <c r="C391" t="s">
        <v>56</v>
      </c>
    </row>
    <row r="392" spans="3:3" x14ac:dyDescent="0.35">
      <c r="C392" t="s">
        <v>67</v>
      </c>
    </row>
    <row r="393" spans="3:3" x14ac:dyDescent="0.35">
      <c r="C393" t="s">
        <v>34</v>
      </c>
    </row>
    <row r="394" spans="3:3" x14ac:dyDescent="0.35">
      <c r="C394" t="s">
        <v>56</v>
      </c>
    </row>
    <row r="395" spans="3:3" x14ac:dyDescent="0.35">
      <c r="C395" t="s">
        <v>67</v>
      </c>
    </row>
    <row r="396" spans="3:3" x14ac:dyDescent="0.35">
      <c r="C396" t="s">
        <v>50</v>
      </c>
    </row>
    <row r="397" spans="3:3" x14ac:dyDescent="0.35">
      <c r="C397" t="s">
        <v>67</v>
      </c>
    </row>
    <row r="398" spans="3:3" x14ac:dyDescent="0.35">
      <c r="C398" t="s">
        <v>43</v>
      </c>
    </row>
    <row r="399" spans="3:3" x14ac:dyDescent="0.35">
      <c r="C399" t="s">
        <v>146</v>
      </c>
    </row>
    <row r="400" spans="3:3" x14ac:dyDescent="0.35">
      <c r="C400" t="s">
        <v>50</v>
      </c>
    </row>
    <row r="401" spans="3:3" x14ac:dyDescent="0.35">
      <c r="C401" t="s">
        <v>26</v>
      </c>
    </row>
    <row r="402" spans="3:3" x14ac:dyDescent="0.35">
      <c r="C402" t="s">
        <v>43</v>
      </c>
    </row>
    <row r="403" spans="3:3" x14ac:dyDescent="0.35">
      <c r="C403" t="s">
        <v>56</v>
      </c>
    </row>
    <row r="404" spans="3:3" x14ac:dyDescent="0.35">
      <c r="C404" t="s">
        <v>34</v>
      </c>
    </row>
    <row r="405" spans="3:3" x14ac:dyDescent="0.35">
      <c r="C405" t="s">
        <v>43</v>
      </c>
    </row>
    <row r="406" spans="3:3" x14ac:dyDescent="0.35">
      <c r="C406" t="s">
        <v>50</v>
      </c>
    </row>
    <row r="407" spans="3:3" x14ac:dyDescent="0.35">
      <c r="C407" t="s">
        <v>43</v>
      </c>
    </row>
    <row r="408" spans="3:3" x14ac:dyDescent="0.35">
      <c r="C408" t="s">
        <v>43</v>
      </c>
    </row>
    <row r="409" spans="3:3" x14ac:dyDescent="0.35">
      <c r="C409" t="s">
        <v>43</v>
      </c>
    </row>
    <row r="410" spans="3:3" x14ac:dyDescent="0.35">
      <c r="C410" t="s">
        <v>56</v>
      </c>
    </row>
    <row r="411" spans="3:3" x14ac:dyDescent="0.35">
      <c r="C411" t="s">
        <v>43</v>
      </c>
    </row>
    <row r="412" spans="3:3" x14ac:dyDescent="0.35">
      <c r="C412" t="s">
        <v>50</v>
      </c>
    </row>
    <row r="413" spans="3:3" x14ac:dyDescent="0.35">
      <c r="C413" t="s">
        <v>43</v>
      </c>
    </row>
    <row r="414" spans="3:3" x14ac:dyDescent="0.35">
      <c r="C414" t="s">
        <v>34</v>
      </c>
    </row>
    <row r="415" spans="3:3" x14ac:dyDescent="0.35">
      <c r="C415" t="s">
        <v>43</v>
      </c>
    </row>
    <row r="416" spans="3:3" x14ac:dyDescent="0.35">
      <c r="C416" t="s">
        <v>43</v>
      </c>
    </row>
    <row r="417" spans="3:3" x14ac:dyDescent="0.35">
      <c r="C417" t="s">
        <v>56</v>
      </c>
    </row>
    <row r="418" spans="3:3" x14ac:dyDescent="0.35">
      <c r="C418" t="s">
        <v>50</v>
      </c>
    </row>
    <row r="419" spans="3:3" x14ac:dyDescent="0.35">
      <c r="C419" t="s">
        <v>67</v>
      </c>
    </row>
    <row r="420" spans="3:3" x14ac:dyDescent="0.35">
      <c r="C420" t="s">
        <v>50</v>
      </c>
    </row>
    <row r="421" spans="3:3" x14ac:dyDescent="0.35">
      <c r="C421" t="s">
        <v>43</v>
      </c>
    </row>
    <row r="422" spans="3:3" x14ac:dyDescent="0.35">
      <c r="C422" t="s">
        <v>43</v>
      </c>
    </row>
    <row r="423" spans="3:3" x14ac:dyDescent="0.35">
      <c r="C423" t="s">
        <v>34</v>
      </c>
    </row>
    <row r="424" spans="3:3" x14ac:dyDescent="0.35">
      <c r="C424" t="s">
        <v>34</v>
      </c>
    </row>
    <row r="425" spans="3:3" x14ac:dyDescent="0.35">
      <c r="C425" t="s">
        <v>50</v>
      </c>
    </row>
    <row r="426" spans="3:3" x14ac:dyDescent="0.35">
      <c r="C426" t="s">
        <v>56</v>
      </c>
    </row>
    <row r="427" spans="3:3" x14ac:dyDescent="0.35">
      <c r="C427" t="s">
        <v>56</v>
      </c>
    </row>
    <row r="428" spans="3:3" x14ac:dyDescent="0.35">
      <c r="C428" t="s">
        <v>56</v>
      </c>
    </row>
    <row r="429" spans="3:3" x14ac:dyDescent="0.35">
      <c r="C429" t="s">
        <v>34</v>
      </c>
    </row>
    <row r="430" spans="3:3" x14ac:dyDescent="0.35">
      <c r="C430" t="s">
        <v>43</v>
      </c>
    </row>
    <row r="431" spans="3:3" x14ac:dyDescent="0.35">
      <c r="C431" t="s">
        <v>43</v>
      </c>
    </row>
    <row r="432" spans="3:3" x14ac:dyDescent="0.35">
      <c r="C432" t="s">
        <v>67</v>
      </c>
    </row>
    <row r="433" spans="3:3" x14ac:dyDescent="0.35">
      <c r="C433" t="s">
        <v>43</v>
      </c>
    </row>
    <row r="434" spans="3:3" x14ac:dyDescent="0.35">
      <c r="C434" t="s">
        <v>56</v>
      </c>
    </row>
    <row r="435" spans="3:3" x14ac:dyDescent="0.35">
      <c r="C435" t="s">
        <v>67</v>
      </c>
    </row>
    <row r="436" spans="3:3" x14ac:dyDescent="0.35">
      <c r="C436" t="s">
        <v>50</v>
      </c>
    </row>
    <row r="437" spans="3:3" x14ac:dyDescent="0.35">
      <c r="C437" t="s">
        <v>34</v>
      </c>
    </row>
    <row r="438" spans="3:3" x14ac:dyDescent="0.35">
      <c r="C438" t="s">
        <v>43</v>
      </c>
    </row>
    <row r="439" spans="3:3" x14ac:dyDescent="0.35">
      <c r="C439" t="s">
        <v>26</v>
      </c>
    </row>
    <row r="440" spans="3:3" x14ac:dyDescent="0.35">
      <c r="C440" t="s">
        <v>50</v>
      </c>
    </row>
    <row r="441" spans="3:3" x14ac:dyDescent="0.35">
      <c r="C441" t="s">
        <v>26</v>
      </c>
    </row>
    <row r="442" spans="3:3" x14ac:dyDescent="0.35">
      <c r="C442" t="s">
        <v>43</v>
      </c>
    </row>
    <row r="443" spans="3:3" x14ac:dyDescent="0.35">
      <c r="C443" t="s">
        <v>43</v>
      </c>
    </row>
    <row r="444" spans="3:3" x14ac:dyDescent="0.35">
      <c r="C444" t="s">
        <v>67</v>
      </c>
    </row>
    <row r="445" spans="3:3" x14ac:dyDescent="0.35">
      <c r="C445" t="s">
        <v>56</v>
      </c>
    </row>
    <row r="446" spans="3:3" x14ac:dyDescent="0.35">
      <c r="C446" t="s">
        <v>50</v>
      </c>
    </row>
    <row r="447" spans="3:3" x14ac:dyDescent="0.35">
      <c r="C447" t="s">
        <v>43</v>
      </c>
    </row>
    <row r="448" spans="3:3" x14ac:dyDescent="0.35">
      <c r="C448" t="s">
        <v>34</v>
      </c>
    </row>
    <row r="449" spans="3:3" x14ac:dyDescent="0.35">
      <c r="C449" t="s">
        <v>50</v>
      </c>
    </row>
    <row r="450" spans="3:3" x14ac:dyDescent="0.35">
      <c r="C450" t="s">
        <v>67</v>
      </c>
    </row>
    <row r="451" spans="3:3" x14ac:dyDescent="0.35">
      <c r="C451" t="s">
        <v>34</v>
      </c>
    </row>
    <row r="452" spans="3:3" x14ac:dyDescent="0.35">
      <c r="C452" t="s">
        <v>50</v>
      </c>
    </row>
    <row r="453" spans="3:3" x14ac:dyDescent="0.35">
      <c r="C453" t="s">
        <v>43</v>
      </c>
    </row>
    <row r="454" spans="3:3" x14ac:dyDescent="0.35">
      <c r="C454" t="s">
        <v>67</v>
      </c>
    </row>
    <row r="455" spans="3:3" x14ac:dyDescent="0.35">
      <c r="C455" t="s">
        <v>67</v>
      </c>
    </row>
    <row r="456" spans="3:3" x14ac:dyDescent="0.35">
      <c r="C456" t="s">
        <v>50</v>
      </c>
    </row>
    <row r="457" spans="3:3" x14ac:dyDescent="0.35">
      <c r="C457" t="s">
        <v>146</v>
      </c>
    </row>
    <row r="458" spans="3:3" x14ac:dyDescent="0.35">
      <c r="C458" t="s">
        <v>43</v>
      </c>
    </row>
    <row r="459" spans="3:3" x14ac:dyDescent="0.35">
      <c r="C459" t="s">
        <v>50</v>
      </c>
    </row>
    <row r="460" spans="3:3" x14ac:dyDescent="0.35">
      <c r="C460" t="s">
        <v>34</v>
      </c>
    </row>
    <row r="461" spans="3:3" x14ac:dyDescent="0.35">
      <c r="C461" t="s">
        <v>56</v>
      </c>
    </row>
    <row r="462" spans="3:3" x14ac:dyDescent="0.35">
      <c r="C462" t="s">
        <v>56</v>
      </c>
    </row>
    <row r="463" spans="3:3" x14ac:dyDescent="0.35">
      <c r="C463" t="s">
        <v>43</v>
      </c>
    </row>
    <row r="464" spans="3:3" x14ac:dyDescent="0.35">
      <c r="C464" t="s">
        <v>34</v>
      </c>
    </row>
    <row r="465" spans="3:3" x14ac:dyDescent="0.35">
      <c r="C465" t="s">
        <v>43</v>
      </c>
    </row>
    <row r="466" spans="3:3" x14ac:dyDescent="0.35">
      <c r="C466" t="s">
        <v>67</v>
      </c>
    </row>
    <row r="467" spans="3:3" x14ac:dyDescent="0.35">
      <c r="C467" t="s">
        <v>34</v>
      </c>
    </row>
    <row r="468" spans="3:3" x14ac:dyDescent="0.35">
      <c r="C468" t="s">
        <v>67</v>
      </c>
    </row>
    <row r="469" spans="3:3" x14ac:dyDescent="0.35">
      <c r="C469" t="s">
        <v>34</v>
      </c>
    </row>
    <row r="470" spans="3:3" x14ac:dyDescent="0.35">
      <c r="C470" t="s">
        <v>67</v>
      </c>
    </row>
    <row r="471" spans="3:3" x14ac:dyDescent="0.35">
      <c r="C471" t="s">
        <v>34</v>
      </c>
    </row>
    <row r="472" spans="3:3" x14ac:dyDescent="0.35">
      <c r="C472" t="s">
        <v>50</v>
      </c>
    </row>
    <row r="473" spans="3:3" x14ac:dyDescent="0.35">
      <c r="C473" t="s">
        <v>43</v>
      </c>
    </row>
    <row r="474" spans="3:3" x14ac:dyDescent="0.35">
      <c r="C474" t="s">
        <v>43</v>
      </c>
    </row>
    <row r="475" spans="3:3" x14ac:dyDescent="0.35">
      <c r="C475" t="s">
        <v>34</v>
      </c>
    </row>
    <row r="476" spans="3:3" x14ac:dyDescent="0.35">
      <c r="C476" t="s">
        <v>34</v>
      </c>
    </row>
    <row r="477" spans="3:3" x14ac:dyDescent="0.35">
      <c r="C477" t="s">
        <v>34</v>
      </c>
    </row>
    <row r="478" spans="3:3" x14ac:dyDescent="0.35">
      <c r="C478" t="s">
        <v>43</v>
      </c>
    </row>
    <row r="479" spans="3:3" x14ac:dyDescent="0.35">
      <c r="C479" t="s">
        <v>43</v>
      </c>
    </row>
    <row r="480" spans="3:3" x14ac:dyDescent="0.35">
      <c r="C480" t="s">
        <v>50</v>
      </c>
    </row>
    <row r="481" spans="3:3" x14ac:dyDescent="0.35">
      <c r="C481" t="s">
        <v>43</v>
      </c>
    </row>
    <row r="482" spans="3:3" x14ac:dyDescent="0.35">
      <c r="C482" t="s">
        <v>50</v>
      </c>
    </row>
    <row r="483" spans="3:3" x14ac:dyDescent="0.35">
      <c r="C483" t="s">
        <v>43</v>
      </c>
    </row>
    <row r="484" spans="3:3" x14ac:dyDescent="0.35">
      <c r="C484" t="s">
        <v>34</v>
      </c>
    </row>
    <row r="485" spans="3:3" x14ac:dyDescent="0.35">
      <c r="C485" t="s">
        <v>56</v>
      </c>
    </row>
    <row r="486" spans="3:3" x14ac:dyDescent="0.35">
      <c r="C486" t="s">
        <v>56</v>
      </c>
    </row>
    <row r="487" spans="3:3" x14ac:dyDescent="0.35">
      <c r="C487" t="s">
        <v>43</v>
      </c>
    </row>
    <row r="488" spans="3:3" x14ac:dyDescent="0.35">
      <c r="C488" t="s">
        <v>56</v>
      </c>
    </row>
    <row r="489" spans="3:3" x14ac:dyDescent="0.35">
      <c r="C489" t="s">
        <v>34</v>
      </c>
    </row>
    <row r="490" spans="3:3" x14ac:dyDescent="0.35">
      <c r="C490" t="s">
        <v>43</v>
      </c>
    </row>
    <row r="491" spans="3:3" x14ac:dyDescent="0.35">
      <c r="C491" t="s">
        <v>43</v>
      </c>
    </row>
    <row r="492" spans="3:3" x14ac:dyDescent="0.35">
      <c r="C492" t="s">
        <v>43</v>
      </c>
    </row>
    <row r="493" spans="3:3" x14ac:dyDescent="0.35">
      <c r="C493" t="s">
        <v>67</v>
      </c>
    </row>
    <row r="494" spans="3:3" x14ac:dyDescent="0.35">
      <c r="C494" t="s">
        <v>56</v>
      </c>
    </row>
    <row r="495" spans="3:3" x14ac:dyDescent="0.35">
      <c r="C495" t="s">
        <v>34</v>
      </c>
    </row>
    <row r="496" spans="3:3" x14ac:dyDescent="0.35">
      <c r="C496" t="s">
        <v>43</v>
      </c>
    </row>
    <row r="497" spans="3:3" x14ac:dyDescent="0.35">
      <c r="C497" t="s">
        <v>146</v>
      </c>
    </row>
    <row r="498" spans="3:3" x14ac:dyDescent="0.35">
      <c r="C498" t="s">
        <v>50</v>
      </c>
    </row>
    <row r="499" spans="3:3" x14ac:dyDescent="0.35">
      <c r="C499" t="s">
        <v>67</v>
      </c>
    </row>
    <row r="500" spans="3:3" x14ac:dyDescent="0.35">
      <c r="C500" t="s">
        <v>50</v>
      </c>
    </row>
    <row r="501" spans="3:3" x14ac:dyDescent="0.35">
      <c r="C501" t="s">
        <v>67</v>
      </c>
    </row>
    <row r="502" spans="3:3" x14ac:dyDescent="0.35">
      <c r="C502" t="s">
        <v>146</v>
      </c>
    </row>
    <row r="503" spans="3:3" x14ac:dyDescent="0.35">
      <c r="C503" t="s">
        <v>34</v>
      </c>
    </row>
    <row r="504" spans="3:3" x14ac:dyDescent="0.35">
      <c r="C504" t="s">
        <v>50</v>
      </c>
    </row>
    <row r="505" spans="3:3" x14ac:dyDescent="0.35">
      <c r="C505" t="s">
        <v>26</v>
      </c>
    </row>
    <row r="506" spans="3:3" x14ac:dyDescent="0.35">
      <c r="C506" t="s">
        <v>34</v>
      </c>
    </row>
    <row r="507" spans="3:3" x14ac:dyDescent="0.35">
      <c r="C507" t="s">
        <v>34</v>
      </c>
    </row>
    <row r="508" spans="3:3" x14ac:dyDescent="0.35">
      <c r="C508" t="s">
        <v>43</v>
      </c>
    </row>
    <row r="509" spans="3:3" x14ac:dyDescent="0.35">
      <c r="C509" t="s">
        <v>43</v>
      </c>
    </row>
    <row r="510" spans="3:3" x14ac:dyDescent="0.35">
      <c r="C510" t="s">
        <v>146</v>
      </c>
    </row>
    <row r="511" spans="3:3" x14ac:dyDescent="0.35">
      <c r="C511" t="s">
        <v>34</v>
      </c>
    </row>
    <row r="512" spans="3:3" x14ac:dyDescent="0.35">
      <c r="C512" t="s">
        <v>67</v>
      </c>
    </row>
    <row r="513" spans="3:3" x14ac:dyDescent="0.35">
      <c r="C513" t="s">
        <v>67</v>
      </c>
    </row>
    <row r="514" spans="3:3" x14ac:dyDescent="0.35">
      <c r="C514" t="s">
        <v>43</v>
      </c>
    </row>
    <row r="515" spans="3:3" x14ac:dyDescent="0.35">
      <c r="C515" t="s">
        <v>26</v>
      </c>
    </row>
    <row r="516" spans="3:3" x14ac:dyDescent="0.35">
      <c r="C516" t="s">
        <v>50</v>
      </c>
    </row>
    <row r="517" spans="3:3" x14ac:dyDescent="0.35">
      <c r="C517" t="s">
        <v>43</v>
      </c>
    </row>
    <row r="518" spans="3:3" x14ac:dyDescent="0.35">
      <c r="C518" t="s">
        <v>43</v>
      </c>
    </row>
    <row r="519" spans="3:3" x14ac:dyDescent="0.35">
      <c r="C519" t="s">
        <v>34</v>
      </c>
    </row>
    <row r="520" spans="3:3" x14ac:dyDescent="0.35">
      <c r="C520" t="s">
        <v>67</v>
      </c>
    </row>
    <row r="521" spans="3:3" x14ac:dyDescent="0.35">
      <c r="C521" t="s">
        <v>50</v>
      </c>
    </row>
    <row r="522" spans="3:3" x14ac:dyDescent="0.35">
      <c r="C522" t="s">
        <v>43</v>
      </c>
    </row>
    <row r="523" spans="3:3" x14ac:dyDescent="0.35">
      <c r="C523" t="s">
        <v>34</v>
      </c>
    </row>
    <row r="524" spans="3:3" x14ac:dyDescent="0.35">
      <c r="C524" t="s">
        <v>34</v>
      </c>
    </row>
    <row r="525" spans="3:3" x14ac:dyDescent="0.35">
      <c r="C525" t="s">
        <v>43</v>
      </c>
    </row>
    <row r="526" spans="3:3" x14ac:dyDescent="0.35">
      <c r="C526" t="s">
        <v>43</v>
      </c>
    </row>
    <row r="527" spans="3:3" x14ac:dyDescent="0.35">
      <c r="C527" t="s">
        <v>43</v>
      </c>
    </row>
    <row r="528" spans="3:3" x14ac:dyDescent="0.35">
      <c r="C528" t="s">
        <v>26</v>
      </c>
    </row>
    <row r="529" spans="3:3" x14ac:dyDescent="0.35">
      <c r="C529" t="s">
        <v>34</v>
      </c>
    </row>
    <row r="530" spans="3:3" x14ac:dyDescent="0.35">
      <c r="C530" t="s">
        <v>43</v>
      </c>
    </row>
    <row r="531" spans="3:3" x14ac:dyDescent="0.35">
      <c r="C531" t="s">
        <v>43</v>
      </c>
    </row>
    <row r="532" spans="3:3" x14ac:dyDescent="0.35">
      <c r="C532" t="s">
        <v>56</v>
      </c>
    </row>
    <row r="533" spans="3:3" x14ac:dyDescent="0.35">
      <c r="C533" t="s">
        <v>34</v>
      </c>
    </row>
    <row r="534" spans="3:3" x14ac:dyDescent="0.35">
      <c r="C534" t="s">
        <v>50</v>
      </c>
    </row>
    <row r="535" spans="3:3" x14ac:dyDescent="0.35">
      <c r="C535" t="s">
        <v>43</v>
      </c>
    </row>
    <row r="536" spans="3:3" x14ac:dyDescent="0.35">
      <c r="C536" t="s">
        <v>50</v>
      </c>
    </row>
    <row r="537" spans="3:3" x14ac:dyDescent="0.35">
      <c r="C537" t="s">
        <v>26</v>
      </c>
    </row>
    <row r="538" spans="3:3" x14ac:dyDescent="0.35">
      <c r="C538" t="s">
        <v>50</v>
      </c>
    </row>
    <row r="539" spans="3:3" x14ac:dyDescent="0.35">
      <c r="C539" t="s">
        <v>43</v>
      </c>
    </row>
    <row r="540" spans="3:3" x14ac:dyDescent="0.35">
      <c r="C540" t="s">
        <v>56</v>
      </c>
    </row>
    <row r="541" spans="3:3" x14ac:dyDescent="0.35">
      <c r="C541" t="s">
        <v>50</v>
      </c>
    </row>
    <row r="542" spans="3:3" x14ac:dyDescent="0.35">
      <c r="C542" t="s">
        <v>34</v>
      </c>
    </row>
    <row r="543" spans="3:3" x14ac:dyDescent="0.35">
      <c r="C543" t="s">
        <v>34</v>
      </c>
    </row>
    <row r="544" spans="3:3" x14ac:dyDescent="0.35">
      <c r="C544" t="s">
        <v>50</v>
      </c>
    </row>
    <row r="545" spans="3:3" x14ac:dyDescent="0.35">
      <c r="C545" t="s">
        <v>43</v>
      </c>
    </row>
    <row r="546" spans="3:3" x14ac:dyDescent="0.35">
      <c r="C546" t="s">
        <v>67</v>
      </c>
    </row>
    <row r="547" spans="3:3" x14ac:dyDescent="0.35">
      <c r="C547" t="s">
        <v>50</v>
      </c>
    </row>
    <row r="548" spans="3:3" x14ac:dyDescent="0.35">
      <c r="C548" t="s">
        <v>43</v>
      </c>
    </row>
    <row r="549" spans="3:3" x14ac:dyDescent="0.35">
      <c r="C549" t="s">
        <v>56</v>
      </c>
    </row>
    <row r="550" spans="3:3" x14ac:dyDescent="0.35">
      <c r="C550" t="s">
        <v>50</v>
      </c>
    </row>
    <row r="551" spans="3:3" x14ac:dyDescent="0.35">
      <c r="C551" t="s">
        <v>67</v>
      </c>
    </row>
    <row r="552" spans="3:3" x14ac:dyDescent="0.35">
      <c r="C552" t="s">
        <v>56</v>
      </c>
    </row>
    <row r="553" spans="3:3" x14ac:dyDescent="0.35">
      <c r="C553" t="s">
        <v>56</v>
      </c>
    </row>
    <row r="554" spans="3:3" x14ac:dyDescent="0.35">
      <c r="C554" t="s">
        <v>43</v>
      </c>
    </row>
    <row r="555" spans="3:3" x14ac:dyDescent="0.35">
      <c r="C555" t="s">
        <v>67</v>
      </c>
    </row>
    <row r="556" spans="3:3" x14ac:dyDescent="0.35">
      <c r="C556" t="s">
        <v>67</v>
      </c>
    </row>
    <row r="557" spans="3:3" x14ac:dyDescent="0.35">
      <c r="C557" t="s">
        <v>43</v>
      </c>
    </row>
    <row r="558" spans="3:3" x14ac:dyDescent="0.35">
      <c r="C558" t="s">
        <v>34</v>
      </c>
    </row>
    <row r="559" spans="3:3" x14ac:dyDescent="0.35">
      <c r="C559" t="s">
        <v>34</v>
      </c>
    </row>
    <row r="560" spans="3:3" x14ac:dyDescent="0.35">
      <c r="C560" t="s">
        <v>56</v>
      </c>
    </row>
    <row r="561" spans="3:3" x14ac:dyDescent="0.35">
      <c r="C561" t="s">
        <v>43</v>
      </c>
    </row>
    <row r="562" spans="3:3" x14ac:dyDescent="0.35">
      <c r="C562" t="s">
        <v>67</v>
      </c>
    </row>
    <row r="563" spans="3:3" x14ac:dyDescent="0.35">
      <c r="C563" t="s">
        <v>34</v>
      </c>
    </row>
    <row r="564" spans="3:3" x14ac:dyDescent="0.35">
      <c r="C564" t="s">
        <v>50</v>
      </c>
    </row>
    <row r="565" spans="3:3" x14ac:dyDescent="0.35">
      <c r="C565" t="s">
        <v>43</v>
      </c>
    </row>
    <row r="566" spans="3:3" x14ac:dyDescent="0.35">
      <c r="C566" t="s">
        <v>43</v>
      </c>
    </row>
    <row r="567" spans="3:3" x14ac:dyDescent="0.35">
      <c r="C567" t="s">
        <v>43</v>
      </c>
    </row>
    <row r="568" spans="3:3" x14ac:dyDescent="0.35">
      <c r="C568" t="s">
        <v>26</v>
      </c>
    </row>
    <row r="569" spans="3:3" x14ac:dyDescent="0.35">
      <c r="C569" t="s">
        <v>34</v>
      </c>
    </row>
    <row r="570" spans="3:3" x14ac:dyDescent="0.35">
      <c r="C570" t="s">
        <v>67</v>
      </c>
    </row>
    <row r="571" spans="3:3" x14ac:dyDescent="0.35">
      <c r="C571" t="s">
        <v>34</v>
      </c>
    </row>
    <row r="572" spans="3:3" x14ac:dyDescent="0.35">
      <c r="C572" t="s">
        <v>50</v>
      </c>
    </row>
    <row r="573" spans="3:3" x14ac:dyDescent="0.35">
      <c r="C573" t="s">
        <v>43</v>
      </c>
    </row>
    <row r="574" spans="3:3" x14ac:dyDescent="0.35">
      <c r="C574" t="s">
        <v>43</v>
      </c>
    </row>
    <row r="575" spans="3:3" x14ac:dyDescent="0.35">
      <c r="C575" t="s">
        <v>43</v>
      </c>
    </row>
    <row r="576" spans="3:3" x14ac:dyDescent="0.35">
      <c r="C576" t="s">
        <v>26</v>
      </c>
    </row>
    <row r="577" spans="3:3" x14ac:dyDescent="0.35">
      <c r="C577" t="s">
        <v>56</v>
      </c>
    </row>
    <row r="578" spans="3:3" x14ac:dyDescent="0.35">
      <c r="C578" t="s">
        <v>50</v>
      </c>
    </row>
    <row r="579" spans="3:3" x14ac:dyDescent="0.35">
      <c r="C579" t="s">
        <v>34</v>
      </c>
    </row>
    <row r="580" spans="3:3" x14ac:dyDescent="0.35">
      <c r="C580" t="s">
        <v>56</v>
      </c>
    </row>
    <row r="581" spans="3:3" x14ac:dyDescent="0.35">
      <c r="C581" t="s">
        <v>34</v>
      </c>
    </row>
    <row r="582" spans="3:3" x14ac:dyDescent="0.35">
      <c r="C582" t="s">
        <v>26</v>
      </c>
    </row>
    <row r="583" spans="3:3" x14ac:dyDescent="0.35">
      <c r="C583" t="s">
        <v>56</v>
      </c>
    </row>
    <row r="584" spans="3:3" x14ac:dyDescent="0.35">
      <c r="C584" t="s">
        <v>67</v>
      </c>
    </row>
    <row r="585" spans="3:3" x14ac:dyDescent="0.35">
      <c r="C585" t="s">
        <v>43</v>
      </c>
    </row>
    <row r="586" spans="3:3" x14ac:dyDescent="0.35">
      <c r="C586" t="s">
        <v>34</v>
      </c>
    </row>
    <row r="587" spans="3:3" x14ac:dyDescent="0.35">
      <c r="C587" t="s">
        <v>50</v>
      </c>
    </row>
    <row r="588" spans="3:3" x14ac:dyDescent="0.35">
      <c r="C588" t="s">
        <v>43</v>
      </c>
    </row>
    <row r="589" spans="3:3" x14ac:dyDescent="0.35">
      <c r="C589" t="s">
        <v>34</v>
      </c>
    </row>
    <row r="590" spans="3:3" x14ac:dyDescent="0.35">
      <c r="C590" t="s">
        <v>43</v>
      </c>
    </row>
    <row r="591" spans="3:3" x14ac:dyDescent="0.35">
      <c r="C591" t="s">
        <v>34</v>
      </c>
    </row>
    <row r="592" spans="3:3" x14ac:dyDescent="0.35">
      <c r="C592" t="s">
        <v>50</v>
      </c>
    </row>
    <row r="593" spans="3:3" x14ac:dyDescent="0.35">
      <c r="C593" t="s">
        <v>50</v>
      </c>
    </row>
    <row r="594" spans="3:3" x14ac:dyDescent="0.35">
      <c r="C594" t="s">
        <v>43</v>
      </c>
    </row>
    <row r="595" spans="3:3" x14ac:dyDescent="0.35">
      <c r="C595" t="s">
        <v>34</v>
      </c>
    </row>
    <row r="596" spans="3:3" x14ac:dyDescent="0.35">
      <c r="C596" t="s">
        <v>43</v>
      </c>
    </row>
    <row r="597" spans="3:3" x14ac:dyDescent="0.35">
      <c r="C597" t="s">
        <v>56</v>
      </c>
    </row>
    <row r="598" spans="3:3" x14ac:dyDescent="0.35">
      <c r="C598" t="s">
        <v>43</v>
      </c>
    </row>
    <row r="599" spans="3:3" x14ac:dyDescent="0.35">
      <c r="C599" t="s">
        <v>34</v>
      </c>
    </row>
    <row r="600" spans="3:3" x14ac:dyDescent="0.35">
      <c r="C600" t="s">
        <v>43</v>
      </c>
    </row>
    <row r="601" spans="3:3" x14ac:dyDescent="0.35">
      <c r="C601" t="s">
        <v>50</v>
      </c>
    </row>
    <row r="602" spans="3:3" x14ac:dyDescent="0.35">
      <c r="C602" t="s">
        <v>67</v>
      </c>
    </row>
    <row r="603" spans="3:3" x14ac:dyDescent="0.35">
      <c r="C603" t="s">
        <v>146</v>
      </c>
    </row>
    <row r="604" spans="3:3" x14ac:dyDescent="0.35">
      <c r="C604" t="s">
        <v>50</v>
      </c>
    </row>
    <row r="605" spans="3:3" x14ac:dyDescent="0.35">
      <c r="C605" t="s">
        <v>34</v>
      </c>
    </row>
    <row r="606" spans="3:3" x14ac:dyDescent="0.35">
      <c r="C606" t="s">
        <v>50</v>
      </c>
    </row>
    <row r="607" spans="3:3" x14ac:dyDescent="0.35">
      <c r="C607" t="s">
        <v>43</v>
      </c>
    </row>
    <row r="608" spans="3:3" x14ac:dyDescent="0.35">
      <c r="C608" t="s">
        <v>67</v>
      </c>
    </row>
    <row r="609" spans="3:3" x14ac:dyDescent="0.35">
      <c r="C609" t="s">
        <v>56</v>
      </c>
    </row>
    <row r="610" spans="3:3" x14ac:dyDescent="0.35">
      <c r="C610" t="s">
        <v>43</v>
      </c>
    </row>
    <row r="611" spans="3:3" x14ac:dyDescent="0.35">
      <c r="C611" t="s">
        <v>146</v>
      </c>
    </row>
    <row r="612" spans="3:3" x14ac:dyDescent="0.35">
      <c r="C612" t="s">
        <v>56</v>
      </c>
    </row>
    <row r="613" spans="3:3" x14ac:dyDescent="0.35">
      <c r="C613" t="s">
        <v>34</v>
      </c>
    </row>
    <row r="614" spans="3:3" x14ac:dyDescent="0.35">
      <c r="C614" t="s">
        <v>43</v>
      </c>
    </row>
    <row r="615" spans="3:3" x14ac:dyDescent="0.35">
      <c r="C615" t="s">
        <v>50</v>
      </c>
    </row>
    <row r="616" spans="3:3" x14ac:dyDescent="0.35">
      <c r="C616" t="s">
        <v>67</v>
      </c>
    </row>
    <row r="617" spans="3:3" x14ac:dyDescent="0.35">
      <c r="C617" t="s">
        <v>43</v>
      </c>
    </row>
    <row r="618" spans="3:3" x14ac:dyDescent="0.35">
      <c r="C618" t="s">
        <v>67</v>
      </c>
    </row>
    <row r="619" spans="3:3" x14ac:dyDescent="0.35">
      <c r="C619" t="s">
        <v>34</v>
      </c>
    </row>
    <row r="620" spans="3:3" x14ac:dyDescent="0.35">
      <c r="C620" t="s">
        <v>26</v>
      </c>
    </row>
    <row r="621" spans="3:3" x14ac:dyDescent="0.35">
      <c r="C621" t="s">
        <v>56</v>
      </c>
    </row>
    <row r="622" spans="3:3" x14ac:dyDescent="0.35">
      <c r="C622" t="s">
        <v>43</v>
      </c>
    </row>
    <row r="623" spans="3:3" x14ac:dyDescent="0.35">
      <c r="C623" t="s">
        <v>56</v>
      </c>
    </row>
    <row r="624" spans="3:3" x14ac:dyDescent="0.35">
      <c r="C624" t="s">
        <v>56</v>
      </c>
    </row>
    <row r="625" spans="3:3" x14ac:dyDescent="0.35">
      <c r="C625" t="s">
        <v>67</v>
      </c>
    </row>
    <row r="626" spans="3:3" x14ac:dyDescent="0.35">
      <c r="C626" t="s">
        <v>50</v>
      </c>
    </row>
    <row r="627" spans="3:3" x14ac:dyDescent="0.35">
      <c r="C627" t="s">
        <v>50</v>
      </c>
    </row>
    <row r="628" spans="3:3" x14ac:dyDescent="0.35">
      <c r="C628" t="s">
        <v>56</v>
      </c>
    </row>
    <row r="629" spans="3:3" x14ac:dyDescent="0.35">
      <c r="C629" t="s">
        <v>34</v>
      </c>
    </row>
    <row r="630" spans="3:3" x14ac:dyDescent="0.35">
      <c r="C630" t="s">
        <v>43</v>
      </c>
    </row>
    <row r="631" spans="3:3" x14ac:dyDescent="0.35">
      <c r="C631" t="s">
        <v>43</v>
      </c>
    </row>
    <row r="632" spans="3:3" x14ac:dyDescent="0.35">
      <c r="C632" t="s">
        <v>43</v>
      </c>
    </row>
    <row r="633" spans="3:3" x14ac:dyDescent="0.35">
      <c r="C633" t="s">
        <v>26</v>
      </c>
    </row>
    <row r="634" spans="3:3" x14ac:dyDescent="0.35">
      <c r="C634" t="s">
        <v>67</v>
      </c>
    </row>
    <row r="635" spans="3:3" x14ac:dyDescent="0.35">
      <c r="C635" t="s">
        <v>67</v>
      </c>
    </row>
    <row r="636" spans="3:3" x14ac:dyDescent="0.35">
      <c r="C636" t="s">
        <v>50</v>
      </c>
    </row>
    <row r="637" spans="3:3" x14ac:dyDescent="0.35">
      <c r="C637" t="s">
        <v>50</v>
      </c>
    </row>
    <row r="638" spans="3:3" x14ac:dyDescent="0.35">
      <c r="C638" t="s">
        <v>43</v>
      </c>
    </row>
    <row r="639" spans="3:3" x14ac:dyDescent="0.35">
      <c r="C639" t="s">
        <v>43</v>
      </c>
    </row>
    <row r="640" spans="3:3" x14ac:dyDescent="0.35">
      <c r="C640" t="s">
        <v>43</v>
      </c>
    </row>
    <row r="641" spans="3:3" x14ac:dyDescent="0.35">
      <c r="C641" t="s">
        <v>146</v>
      </c>
    </row>
    <row r="642" spans="3:3" x14ac:dyDescent="0.35">
      <c r="C642" t="s">
        <v>43</v>
      </c>
    </row>
    <row r="643" spans="3:3" x14ac:dyDescent="0.35">
      <c r="C643" t="s">
        <v>43</v>
      </c>
    </row>
    <row r="644" spans="3:3" x14ac:dyDescent="0.35">
      <c r="C644" t="s">
        <v>34</v>
      </c>
    </row>
    <row r="645" spans="3:3" x14ac:dyDescent="0.35">
      <c r="C645" t="s">
        <v>34</v>
      </c>
    </row>
    <row r="646" spans="3:3" x14ac:dyDescent="0.35">
      <c r="C646" t="s">
        <v>34</v>
      </c>
    </row>
    <row r="647" spans="3:3" x14ac:dyDescent="0.35">
      <c r="C647" t="s">
        <v>56</v>
      </c>
    </row>
    <row r="648" spans="3:3" x14ac:dyDescent="0.35">
      <c r="C648" t="s">
        <v>67</v>
      </c>
    </row>
    <row r="649" spans="3:3" x14ac:dyDescent="0.35">
      <c r="C649" t="s">
        <v>56</v>
      </c>
    </row>
    <row r="650" spans="3:3" x14ac:dyDescent="0.35">
      <c r="C650" t="s">
        <v>43</v>
      </c>
    </row>
    <row r="651" spans="3:3" x14ac:dyDescent="0.35">
      <c r="C651" t="s">
        <v>43</v>
      </c>
    </row>
    <row r="652" spans="3:3" x14ac:dyDescent="0.35">
      <c r="C652" t="s">
        <v>56</v>
      </c>
    </row>
    <row r="653" spans="3:3" x14ac:dyDescent="0.35">
      <c r="C653" t="s">
        <v>43</v>
      </c>
    </row>
    <row r="654" spans="3:3" x14ac:dyDescent="0.35">
      <c r="C654" t="s">
        <v>43</v>
      </c>
    </row>
    <row r="655" spans="3:3" x14ac:dyDescent="0.35">
      <c r="C655" t="s">
        <v>26</v>
      </c>
    </row>
    <row r="656" spans="3:3" x14ac:dyDescent="0.35">
      <c r="C656" t="s">
        <v>34</v>
      </c>
    </row>
    <row r="657" spans="3:3" x14ac:dyDescent="0.35">
      <c r="C657" t="s">
        <v>56</v>
      </c>
    </row>
    <row r="658" spans="3:3" x14ac:dyDescent="0.35">
      <c r="C658" t="s">
        <v>43</v>
      </c>
    </row>
    <row r="659" spans="3:3" x14ac:dyDescent="0.35">
      <c r="C659" t="s">
        <v>34</v>
      </c>
    </row>
    <row r="660" spans="3:3" x14ac:dyDescent="0.35">
      <c r="C660" t="s">
        <v>67</v>
      </c>
    </row>
    <row r="661" spans="3:3" x14ac:dyDescent="0.35">
      <c r="C661" t="s">
        <v>56</v>
      </c>
    </row>
    <row r="662" spans="3:3" x14ac:dyDescent="0.35">
      <c r="C662" t="s">
        <v>56</v>
      </c>
    </row>
    <row r="663" spans="3:3" x14ac:dyDescent="0.35">
      <c r="C663" t="s">
        <v>67</v>
      </c>
    </row>
    <row r="664" spans="3:3" x14ac:dyDescent="0.35">
      <c r="C664" t="s">
        <v>43</v>
      </c>
    </row>
    <row r="665" spans="3:3" x14ac:dyDescent="0.35">
      <c r="C665" t="s">
        <v>50</v>
      </c>
    </row>
    <row r="666" spans="3:3" x14ac:dyDescent="0.35">
      <c r="C666" t="s">
        <v>50</v>
      </c>
    </row>
    <row r="667" spans="3:3" x14ac:dyDescent="0.35">
      <c r="C667" t="s">
        <v>34</v>
      </c>
    </row>
    <row r="668" spans="3:3" x14ac:dyDescent="0.35">
      <c r="C668" t="s">
        <v>34</v>
      </c>
    </row>
    <row r="669" spans="3:3" x14ac:dyDescent="0.35">
      <c r="C669" t="s">
        <v>43</v>
      </c>
    </row>
    <row r="670" spans="3:3" x14ac:dyDescent="0.35">
      <c r="C670" t="s">
        <v>43</v>
      </c>
    </row>
    <row r="671" spans="3:3" x14ac:dyDescent="0.35">
      <c r="C671" t="s">
        <v>50</v>
      </c>
    </row>
    <row r="672" spans="3:3" x14ac:dyDescent="0.35">
      <c r="C672" t="s">
        <v>67</v>
      </c>
    </row>
    <row r="673" spans="3:3" x14ac:dyDescent="0.35">
      <c r="C673" t="s">
        <v>43</v>
      </c>
    </row>
    <row r="674" spans="3:3" x14ac:dyDescent="0.35">
      <c r="C674" t="s">
        <v>50</v>
      </c>
    </row>
    <row r="675" spans="3:3" x14ac:dyDescent="0.35">
      <c r="C675" t="s">
        <v>43</v>
      </c>
    </row>
    <row r="676" spans="3:3" x14ac:dyDescent="0.35">
      <c r="C676" t="s">
        <v>67</v>
      </c>
    </row>
    <row r="677" spans="3:3" x14ac:dyDescent="0.35">
      <c r="C677" t="s">
        <v>67</v>
      </c>
    </row>
    <row r="678" spans="3:3" x14ac:dyDescent="0.35">
      <c r="C678" t="s">
        <v>34</v>
      </c>
    </row>
    <row r="679" spans="3:3" x14ac:dyDescent="0.35">
      <c r="C679" t="s">
        <v>34</v>
      </c>
    </row>
    <row r="680" spans="3:3" x14ac:dyDescent="0.35">
      <c r="C680" t="s">
        <v>56</v>
      </c>
    </row>
    <row r="681" spans="3:3" x14ac:dyDescent="0.35">
      <c r="C681" t="s">
        <v>34</v>
      </c>
    </row>
    <row r="682" spans="3:3" x14ac:dyDescent="0.35">
      <c r="C682" t="s">
        <v>56</v>
      </c>
    </row>
    <row r="683" spans="3:3" x14ac:dyDescent="0.35">
      <c r="C683" t="s">
        <v>43</v>
      </c>
    </row>
    <row r="684" spans="3:3" x14ac:dyDescent="0.35">
      <c r="C684" t="s">
        <v>43</v>
      </c>
    </row>
    <row r="685" spans="3:3" x14ac:dyDescent="0.35">
      <c r="C685" t="s">
        <v>67</v>
      </c>
    </row>
    <row r="686" spans="3:3" x14ac:dyDescent="0.35">
      <c r="C686" t="s">
        <v>43</v>
      </c>
    </row>
    <row r="687" spans="3:3" x14ac:dyDescent="0.35">
      <c r="C687" t="s">
        <v>56</v>
      </c>
    </row>
    <row r="688" spans="3:3" x14ac:dyDescent="0.35">
      <c r="C688" t="s">
        <v>56</v>
      </c>
    </row>
    <row r="689" spans="3:3" x14ac:dyDescent="0.35">
      <c r="C689" t="s">
        <v>56</v>
      </c>
    </row>
    <row r="690" spans="3:3" x14ac:dyDescent="0.35">
      <c r="C690" t="s">
        <v>56</v>
      </c>
    </row>
    <row r="691" spans="3:3" x14ac:dyDescent="0.35">
      <c r="C691" t="s">
        <v>50</v>
      </c>
    </row>
    <row r="692" spans="3:3" x14ac:dyDescent="0.35">
      <c r="C692" t="s">
        <v>43</v>
      </c>
    </row>
    <row r="693" spans="3:3" x14ac:dyDescent="0.35">
      <c r="C693" t="s">
        <v>146</v>
      </c>
    </row>
    <row r="694" spans="3:3" x14ac:dyDescent="0.35">
      <c r="C694" t="s">
        <v>43</v>
      </c>
    </row>
    <row r="695" spans="3:3" x14ac:dyDescent="0.35">
      <c r="C695" t="s">
        <v>50</v>
      </c>
    </row>
    <row r="696" spans="3:3" x14ac:dyDescent="0.35">
      <c r="C696" t="s">
        <v>34</v>
      </c>
    </row>
    <row r="697" spans="3:3" x14ac:dyDescent="0.35">
      <c r="C697" t="s">
        <v>34</v>
      </c>
    </row>
    <row r="698" spans="3:3" x14ac:dyDescent="0.35">
      <c r="C698" t="s">
        <v>67</v>
      </c>
    </row>
    <row r="699" spans="3:3" x14ac:dyDescent="0.35">
      <c r="C699" t="s">
        <v>56</v>
      </c>
    </row>
    <row r="700" spans="3:3" x14ac:dyDescent="0.35">
      <c r="C700" t="s">
        <v>43</v>
      </c>
    </row>
    <row r="701" spans="3:3" x14ac:dyDescent="0.35">
      <c r="C701" t="s">
        <v>43</v>
      </c>
    </row>
    <row r="702" spans="3:3" x14ac:dyDescent="0.35">
      <c r="C702" t="s">
        <v>43</v>
      </c>
    </row>
    <row r="703" spans="3:3" x14ac:dyDescent="0.35">
      <c r="C703" t="s">
        <v>56</v>
      </c>
    </row>
    <row r="704" spans="3:3" x14ac:dyDescent="0.35">
      <c r="C704" t="s">
        <v>50</v>
      </c>
    </row>
    <row r="705" spans="3:3" x14ac:dyDescent="0.35">
      <c r="C705" t="s">
        <v>43</v>
      </c>
    </row>
    <row r="706" spans="3:3" x14ac:dyDescent="0.35">
      <c r="C706" t="s">
        <v>56</v>
      </c>
    </row>
    <row r="707" spans="3:3" x14ac:dyDescent="0.35">
      <c r="C707" t="s">
        <v>56</v>
      </c>
    </row>
    <row r="708" spans="3:3" x14ac:dyDescent="0.35">
      <c r="C708" t="s">
        <v>50</v>
      </c>
    </row>
    <row r="709" spans="3:3" x14ac:dyDescent="0.35">
      <c r="C709" t="s">
        <v>67</v>
      </c>
    </row>
    <row r="710" spans="3:3" x14ac:dyDescent="0.35">
      <c r="C710" t="s">
        <v>67</v>
      </c>
    </row>
    <row r="711" spans="3:3" x14ac:dyDescent="0.35">
      <c r="C711" t="s">
        <v>67</v>
      </c>
    </row>
    <row r="712" spans="3:3" x14ac:dyDescent="0.35">
      <c r="C712" t="s">
        <v>50</v>
      </c>
    </row>
    <row r="713" spans="3:3" x14ac:dyDescent="0.35">
      <c r="C713" t="s">
        <v>67</v>
      </c>
    </row>
    <row r="714" spans="3:3" x14ac:dyDescent="0.35">
      <c r="C714" t="s">
        <v>50</v>
      </c>
    </row>
    <row r="715" spans="3:3" x14ac:dyDescent="0.35">
      <c r="C715" t="s">
        <v>34</v>
      </c>
    </row>
    <row r="716" spans="3:3" x14ac:dyDescent="0.35">
      <c r="C716" t="s">
        <v>43</v>
      </c>
    </row>
    <row r="717" spans="3:3" x14ac:dyDescent="0.35">
      <c r="C717" t="s">
        <v>50</v>
      </c>
    </row>
    <row r="718" spans="3:3" x14ac:dyDescent="0.35">
      <c r="C718" t="s">
        <v>34</v>
      </c>
    </row>
    <row r="719" spans="3:3" x14ac:dyDescent="0.35">
      <c r="C719" t="s">
        <v>34</v>
      </c>
    </row>
    <row r="720" spans="3:3" x14ac:dyDescent="0.35">
      <c r="C720" t="s">
        <v>56</v>
      </c>
    </row>
    <row r="721" spans="3:3" x14ac:dyDescent="0.35">
      <c r="C721" t="s">
        <v>34</v>
      </c>
    </row>
    <row r="722" spans="3:3" x14ac:dyDescent="0.35">
      <c r="C722" t="s">
        <v>67</v>
      </c>
    </row>
    <row r="723" spans="3:3" x14ac:dyDescent="0.35">
      <c r="C723" t="s">
        <v>56</v>
      </c>
    </row>
    <row r="724" spans="3:3" x14ac:dyDescent="0.35">
      <c r="C724" t="s">
        <v>43</v>
      </c>
    </row>
    <row r="725" spans="3:3" x14ac:dyDescent="0.35">
      <c r="C725" t="s">
        <v>43</v>
      </c>
    </row>
    <row r="726" spans="3:3" x14ac:dyDescent="0.35">
      <c r="C726" t="s">
        <v>50</v>
      </c>
    </row>
    <row r="727" spans="3:3" x14ac:dyDescent="0.35">
      <c r="C727" t="s">
        <v>50</v>
      </c>
    </row>
    <row r="728" spans="3:3" x14ac:dyDescent="0.35">
      <c r="C728" t="s">
        <v>50</v>
      </c>
    </row>
    <row r="729" spans="3:3" x14ac:dyDescent="0.35">
      <c r="C729" t="s">
        <v>43</v>
      </c>
    </row>
    <row r="730" spans="3:3" x14ac:dyDescent="0.35">
      <c r="C730" t="s">
        <v>67</v>
      </c>
    </row>
    <row r="731" spans="3:3" x14ac:dyDescent="0.35">
      <c r="C731" t="s">
        <v>34</v>
      </c>
    </row>
    <row r="732" spans="3:3" x14ac:dyDescent="0.35">
      <c r="C732" t="s">
        <v>67</v>
      </c>
    </row>
    <row r="733" spans="3:3" x14ac:dyDescent="0.35">
      <c r="C733" t="s">
        <v>43</v>
      </c>
    </row>
    <row r="734" spans="3:3" x14ac:dyDescent="0.35">
      <c r="C734" t="s">
        <v>34</v>
      </c>
    </row>
    <row r="735" spans="3:3" x14ac:dyDescent="0.35">
      <c r="C735" t="s">
        <v>67</v>
      </c>
    </row>
    <row r="736" spans="3:3" x14ac:dyDescent="0.35">
      <c r="C736" t="s">
        <v>56</v>
      </c>
    </row>
    <row r="737" spans="3:3" x14ac:dyDescent="0.35">
      <c r="C737" t="s">
        <v>34</v>
      </c>
    </row>
    <row r="738" spans="3:3" x14ac:dyDescent="0.35">
      <c r="C738" t="s">
        <v>43</v>
      </c>
    </row>
    <row r="739" spans="3:3" x14ac:dyDescent="0.35">
      <c r="C739" t="s">
        <v>34</v>
      </c>
    </row>
    <row r="740" spans="3:3" x14ac:dyDescent="0.35">
      <c r="C740" t="s">
        <v>50</v>
      </c>
    </row>
    <row r="741" spans="3:3" x14ac:dyDescent="0.35">
      <c r="C741" t="s">
        <v>34</v>
      </c>
    </row>
    <row r="742" spans="3:3" x14ac:dyDescent="0.35">
      <c r="C742" t="s">
        <v>56</v>
      </c>
    </row>
    <row r="743" spans="3:3" x14ac:dyDescent="0.35">
      <c r="C743" t="s">
        <v>43</v>
      </c>
    </row>
    <row r="744" spans="3:3" x14ac:dyDescent="0.35">
      <c r="C744" t="s">
        <v>67</v>
      </c>
    </row>
    <row r="745" spans="3:3" x14ac:dyDescent="0.35">
      <c r="C745" t="s">
        <v>43</v>
      </c>
    </row>
    <row r="746" spans="3:3" x14ac:dyDescent="0.35">
      <c r="C746" t="s">
        <v>67</v>
      </c>
    </row>
    <row r="747" spans="3:3" x14ac:dyDescent="0.35">
      <c r="C747" t="s">
        <v>34</v>
      </c>
    </row>
    <row r="748" spans="3:3" x14ac:dyDescent="0.35">
      <c r="C748" t="s">
        <v>26</v>
      </c>
    </row>
    <row r="749" spans="3:3" x14ac:dyDescent="0.35">
      <c r="C749" t="s">
        <v>67</v>
      </c>
    </row>
    <row r="750" spans="3:3" x14ac:dyDescent="0.35">
      <c r="C750" t="s">
        <v>56</v>
      </c>
    </row>
    <row r="751" spans="3:3" x14ac:dyDescent="0.35">
      <c r="C751" t="s">
        <v>50</v>
      </c>
    </row>
    <row r="752" spans="3:3" x14ac:dyDescent="0.35">
      <c r="C752" t="s">
        <v>26</v>
      </c>
    </row>
    <row r="753" spans="3:3" x14ac:dyDescent="0.35">
      <c r="C753" t="s">
        <v>67</v>
      </c>
    </row>
    <row r="754" spans="3:3" x14ac:dyDescent="0.35">
      <c r="C754" t="s">
        <v>67</v>
      </c>
    </row>
    <row r="755" spans="3:3" x14ac:dyDescent="0.35">
      <c r="C755" t="s">
        <v>43</v>
      </c>
    </row>
    <row r="756" spans="3:3" x14ac:dyDescent="0.35">
      <c r="C756" t="s">
        <v>34</v>
      </c>
    </row>
    <row r="757" spans="3:3" x14ac:dyDescent="0.35">
      <c r="C757" t="s">
        <v>34</v>
      </c>
    </row>
    <row r="758" spans="3:3" x14ac:dyDescent="0.35">
      <c r="C758" t="s">
        <v>43</v>
      </c>
    </row>
    <row r="759" spans="3:3" x14ac:dyDescent="0.35">
      <c r="C759" t="s">
        <v>56</v>
      </c>
    </row>
    <row r="760" spans="3:3" x14ac:dyDescent="0.35">
      <c r="C760" t="s">
        <v>34</v>
      </c>
    </row>
    <row r="761" spans="3:3" x14ac:dyDescent="0.35">
      <c r="C761" t="s">
        <v>56</v>
      </c>
    </row>
    <row r="762" spans="3:3" x14ac:dyDescent="0.35">
      <c r="C762" t="s">
        <v>50</v>
      </c>
    </row>
    <row r="763" spans="3:3" x14ac:dyDescent="0.35">
      <c r="C763" t="s">
        <v>34</v>
      </c>
    </row>
    <row r="764" spans="3:3" x14ac:dyDescent="0.35">
      <c r="C764" t="s">
        <v>43</v>
      </c>
    </row>
    <row r="765" spans="3:3" x14ac:dyDescent="0.35">
      <c r="C765" t="s">
        <v>50</v>
      </c>
    </row>
    <row r="766" spans="3:3" x14ac:dyDescent="0.35">
      <c r="C766" t="s">
        <v>50</v>
      </c>
    </row>
    <row r="767" spans="3:3" x14ac:dyDescent="0.35">
      <c r="C767" t="s">
        <v>34</v>
      </c>
    </row>
    <row r="768" spans="3:3" x14ac:dyDescent="0.35">
      <c r="C768" t="s">
        <v>43</v>
      </c>
    </row>
    <row r="769" spans="3:3" x14ac:dyDescent="0.35">
      <c r="C769" t="s">
        <v>67</v>
      </c>
    </row>
    <row r="770" spans="3:3" x14ac:dyDescent="0.35">
      <c r="C770" t="s">
        <v>56</v>
      </c>
    </row>
    <row r="771" spans="3:3" x14ac:dyDescent="0.35">
      <c r="C771" t="s">
        <v>56</v>
      </c>
    </row>
    <row r="772" spans="3:3" x14ac:dyDescent="0.35">
      <c r="C772" t="s">
        <v>43</v>
      </c>
    </row>
    <row r="773" spans="3:3" x14ac:dyDescent="0.35">
      <c r="C773" t="s">
        <v>146</v>
      </c>
    </row>
    <row r="774" spans="3:3" x14ac:dyDescent="0.35">
      <c r="C774" t="s">
        <v>43</v>
      </c>
    </row>
    <row r="775" spans="3:3" x14ac:dyDescent="0.35">
      <c r="C775" t="s">
        <v>26</v>
      </c>
    </row>
    <row r="776" spans="3:3" x14ac:dyDescent="0.35">
      <c r="C776" t="s">
        <v>43</v>
      </c>
    </row>
    <row r="777" spans="3:3" x14ac:dyDescent="0.35">
      <c r="C777" t="s">
        <v>67</v>
      </c>
    </row>
    <row r="778" spans="3:3" x14ac:dyDescent="0.35">
      <c r="C778" t="s">
        <v>43</v>
      </c>
    </row>
    <row r="779" spans="3:3" x14ac:dyDescent="0.35">
      <c r="C779" t="s">
        <v>56</v>
      </c>
    </row>
    <row r="780" spans="3:3" x14ac:dyDescent="0.35">
      <c r="C780" t="s">
        <v>56</v>
      </c>
    </row>
    <row r="781" spans="3:3" x14ac:dyDescent="0.35">
      <c r="C781" t="s">
        <v>34</v>
      </c>
    </row>
    <row r="782" spans="3:3" x14ac:dyDescent="0.35">
      <c r="C782" t="s">
        <v>56</v>
      </c>
    </row>
    <row r="783" spans="3:3" x14ac:dyDescent="0.35">
      <c r="C783" t="s">
        <v>26</v>
      </c>
    </row>
    <row r="784" spans="3:3" x14ac:dyDescent="0.35">
      <c r="C784" t="s">
        <v>43</v>
      </c>
    </row>
    <row r="785" spans="3:3" x14ac:dyDescent="0.35">
      <c r="C785" t="s">
        <v>43</v>
      </c>
    </row>
    <row r="786" spans="3:3" x14ac:dyDescent="0.35">
      <c r="C786" t="s">
        <v>50</v>
      </c>
    </row>
    <row r="787" spans="3:3" x14ac:dyDescent="0.35">
      <c r="C787" t="s">
        <v>34</v>
      </c>
    </row>
    <row r="788" spans="3:3" x14ac:dyDescent="0.35">
      <c r="C788" t="s">
        <v>56</v>
      </c>
    </row>
    <row r="789" spans="3:3" x14ac:dyDescent="0.35">
      <c r="C789" t="s">
        <v>67</v>
      </c>
    </row>
    <row r="790" spans="3:3" x14ac:dyDescent="0.35">
      <c r="C790" t="s">
        <v>50</v>
      </c>
    </row>
    <row r="791" spans="3:3" x14ac:dyDescent="0.35">
      <c r="C791" t="s">
        <v>67</v>
      </c>
    </row>
    <row r="792" spans="3:3" x14ac:dyDescent="0.35">
      <c r="C792" t="s">
        <v>34</v>
      </c>
    </row>
    <row r="793" spans="3:3" x14ac:dyDescent="0.35">
      <c r="C793" t="s">
        <v>56</v>
      </c>
    </row>
    <row r="794" spans="3:3" x14ac:dyDescent="0.35">
      <c r="C794" t="s">
        <v>50</v>
      </c>
    </row>
    <row r="795" spans="3:3" x14ac:dyDescent="0.35">
      <c r="C795" t="s">
        <v>56</v>
      </c>
    </row>
    <row r="796" spans="3:3" x14ac:dyDescent="0.35">
      <c r="C796" t="s">
        <v>50</v>
      </c>
    </row>
    <row r="797" spans="3:3" x14ac:dyDescent="0.35">
      <c r="C797" t="s">
        <v>56</v>
      </c>
    </row>
    <row r="798" spans="3:3" x14ac:dyDescent="0.35">
      <c r="C798" t="s">
        <v>34</v>
      </c>
    </row>
    <row r="799" spans="3:3" x14ac:dyDescent="0.35">
      <c r="C799" t="s">
        <v>43</v>
      </c>
    </row>
    <row r="800" spans="3:3" x14ac:dyDescent="0.35">
      <c r="C800" t="s">
        <v>43</v>
      </c>
    </row>
    <row r="801" spans="3:3" x14ac:dyDescent="0.35">
      <c r="C801" t="s">
        <v>67</v>
      </c>
    </row>
    <row r="802" spans="3:3" x14ac:dyDescent="0.35">
      <c r="C802" t="s">
        <v>50</v>
      </c>
    </row>
    <row r="803" spans="3:3" x14ac:dyDescent="0.35">
      <c r="C803" t="s">
        <v>34</v>
      </c>
    </row>
    <row r="804" spans="3:3" x14ac:dyDescent="0.35">
      <c r="C804" t="s">
        <v>56</v>
      </c>
    </row>
    <row r="805" spans="3:3" x14ac:dyDescent="0.35">
      <c r="C805" t="s">
        <v>50</v>
      </c>
    </row>
    <row r="806" spans="3:3" x14ac:dyDescent="0.35">
      <c r="C806" t="s">
        <v>67</v>
      </c>
    </row>
    <row r="807" spans="3:3" x14ac:dyDescent="0.35">
      <c r="C807" t="s">
        <v>43</v>
      </c>
    </row>
    <row r="808" spans="3:3" x14ac:dyDescent="0.35">
      <c r="C808" t="s">
        <v>43</v>
      </c>
    </row>
    <row r="809" spans="3:3" x14ac:dyDescent="0.35">
      <c r="C809" t="s">
        <v>50</v>
      </c>
    </row>
    <row r="810" spans="3:3" x14ac:dyDescent="0.35">
      <c r="C810" t="s">
        <v>34</v>
      </c>
    </row>
    <row r="811" spans="3:3" x14ac:dyDescent="0.35">
      <c r="C811" t="s">
        <v>43</v>
      </c>
    </row>
    <row r="812" spans="3:3" x14ac:dyDescent="0.35">
      <c r="C812" t="s">
        <v>50</v>
      </c>
    </row>
    <row r="813" spans="3:3" x14ac:dyDescent="0.35">
      <c r="C813" t="s">
        <v>56</v>
      </c>
    </row>
    <row r="814" spans="3:3" x14ac:dyDescent="0.35">
      <c r="C814" t="s">
        <v>50</v>
      </c>
    </row>
    <row r="815" spans="3:3" x14ac:dyDescent="0.35">
      <c r="C815" t="s">
        <v>26</v>
      </c>
    </row>
    <row r="816" spans="3:3" x14ac:dyDescent="0.35">
      <c r="C816" t="s">
        <v>34</v>
      </c>
    </row>
    <row r="817" spans="3:3" x14ac:dyDescent="0.35">
      <c r="C817" t="s">
        <v>67</v>
      </c>
    </row>
    <row r="818" spans="3:3" x14ac:dyDescent="0.35">
      <c r="C818" t="s">
        <v>56</v>
      </c>
    </row>
    <row r="819" spans="3:3" x14ac:dyDescent="0.35">
      <c r="C819" t="s">
        <v>67</v>
      </c>
    </row>
    <row r="820" spans="3:3" x14ac:dyDescent="0.35">
      <c r="C820" t="s">
        <v>67</v>
      </c>
    </row>
    <row r="821" spans="3:3" x14ac:dyDescent="0.35">
      <c r="C821" t="s">
        <v>50</v>
      </c>
    </row>
    <row r="822" spans="3:3" x14ac:dyDescent="0.35">
      <c r="C822" t="s">
        <v>56</v>
      </c>
    </row>
    <row r="823" spans="3:3" x14ac:dyDescent="0.35">
      <c r="C823" t="s">
        <v>56</v>
      </c>
    </row>
    <row r="824" spans="3:3" x14ac:dyDescent="0.35">
      <c r="C824" t="s">
        <v>26</v>
      </c>
    </row>
    <row r="825" spans="3:3" x14ac:dyDescent="0.35">
      <c r="C825" t="s">
        <v>56</v>
      </c>
    </row>
    <row r="826" spans="3:3" x14ac:dyDescent="0.35">
      <c r="C826" t="s">
        <v>56</v>
      </c>
    </row>
    <row r="827" spans="3:3" x14ac:dyDescent="0.35">
      <c r="C827" t="s">
        <v>34</v>
      </c>
    </row>
    <row r="828" spans="3:3" x14ac:dyDescent="0.35">
      <c r="C828" t="s">
        <v>43</v>
      </c>
    </row>
    <row r="829" spans="3:3" x14ac:dyDescent="0.35">
      <c r="C829" t="s">
        <v>67</v>
      </c>
    </row>
    <row r="830" spans="3:3" x14ac:dyDescent="0.35">
      <c r="C830" t="s">
        <v>67</v>
      </c>
    </row>
    <row r="831" spans="3:3" x14ac:dyDescent="0.35">
      <c r="C831" t="s">
        <v>26</v>
      </c>
    </row>
    <row r="832" spans="3:3" x14ac:dyDescent="0.35">
      <c r="C832" t="s">
        <v>50</v>
      </c>
    </row>
    <row r="833" spans="3:3" x14ac:dyDescent="0.35">
      <c r="C833" t="s">
        <v>56</v>
      </c>
    </row>
    <row r="834" spans="3:3" x14ac:dyDescent="0.35">
      <c r="C834" t="s">
        <v>43</v>
      </c>
    </row>
    <row r="835" spans="3:3" x14ac:dyDescent="0.35">
      <c r="C835" t="s">
        <v>43</v>
      </c>
    </row>
    <row r="836" spans="3:3" x14ac:dyDescent="0.35">
      <c r="C836" t="s">
        <v>56</v>
      </c>
    </row>
    <row r="837" spans="3:3" x14ac:dyDescent="0.35">
      <c r="C837" t="s">
        <v>56</v>
      </c>
    </row>
    <row r="838" spans="3:3" x14ac:dyDescent="0.35">
      <c r="C838" t="s">
        <v>43</v>
      </c>
    </row>
    <row r="839" spans="3:3" x14ac:dyDescent="0.35">
      <c r="C839" t="s">
        <v>50</v>
      </c>
    </row>
    <row r="840" spans="3:3" x14ac:dyDescent="0.35">
      <c r="C840" t="s">
        <v>34</v>
      </c>
    </row>
    <row r="841" spans="3:3" x14ac:dyDescent="0.35">
      <c r="C841" t="s">
        <v>67</v>
      </c>
    </row>
    <row r="842" spans="3:3" x14ac:dyDescent="0.35">
      <c r="C842" t="s">
        <v>56</v>
      </c>
    </row>
    <row r="843" spans="3:3" x14ac:dyDescent="0.35">
      <c r="C843" t="s">
        <v>67</v>
      </c>
    </row>
    <row r="844" spans="3:3" x14ac:dyDescent="0.35">
      <c r="C844" t="s">
        <v>34</v>
      </c>
    </row>
    <row r="845" spans="3:3" x14ac:dyDescent="0.35">
      <c r="C845" t="s">
        <v>43</v>
      </c>
    </row>
    <row r="846" spans="3:3" x14ac:dyDescent="0.35">
      <c r="C846" t="s">
        <v>67</v>
      </c>
    </row>
    <row r="847" spans="3:3" x14ac:dyDescent="0.35">
      <c r="C847" t="s">
        <v>26</v>
      </c>
    </row>
    <row r="848" spans="3:3" x14ac:dyDescent="0.35">
      <c r="C848" t="s">
        <v>34</v>
      </c>
    </row>
    <row r="849" spans="3:3" x14ac:dyDescent="0.35">
      <c r="C849" t="s">
        <v>43</v>
      </c>
    </row>
    <row r="850" spans="3:3" x14ac:dyDescent="0.35">
      <c r="C850" t="s">
        <v>34</v>
      </c>
    </row>
    <row r="851" spans="3:3" x14ac:dyDescent="0.35">
      <c r="C851" t="s">
        <v>43</v>
      </c>
    </row>
    <row r="852" spans="3:3" x14ac:dyDescent="0.35">
      <c r="C852" t="s">
        <v>67</v>
      </c>
    </row>
    <row r="853" spans="3:3" x14ac:dyDescent="0.35">
      <c r="C853" t="s">
        <v>34</v>
      </c>
    </row>
    <row r="854" spans="3:3" x14ac:dyDescent="0.35">
      <c r="C854" t="s">
        <v>34</v>
      </c>
    </row>
    <row r="855" spans="3:3" x14ac:dyDescent="0.35">
      <c r="C855" t="s">
        <v>43</v>
      </c>
    </row>
    <row r="856" spans="3:3" x14ac:dyDescent="0.35">
      <c r="C856" t="s">
        <v>67</v>
      </c>
    </row>
    <row r="857" spans="3:3" x14ac:dyDescent="0.35">
      <c r="C857" t="s">
        <v>34</v>
      </c>
    </row>
    <row r="858" spans="3:3" x14ac:dyDescent="0.35">
      <c r="C858" t="s">
        <v>26</v>
      </c>
    </row>
    <row r="859" spans="3:3" x14ac:dyDescent="0.35">
      <c r="C859" t="s">
        <v>34</v>
      </c>
    </row>
    <row r="860" spans="3:3" x14ac:dyDescent="0.35">
      <c r="C860" t="s">
        <v>34</v>
      </c>
    </row>
    <row r="861" spans="3:3" x14ac:dyDescent="0.35">
      <c r="C861" t="s">
        <v>34</v>
      </c>
    </row>
    <row r="862" spans="3:3" x14ac:dyDescent="0.35">
      <c r="C862" t="s">
        <v>43</v>
      </c>
    </row>
    <row r="863" spans="3:3" x14ac:dyDescent="0.35">
      <c r="C863" t="s">
        <v>67</v>
      </c>
    </row>
    <row r="864" spans="3:3" x14ac:dyDescent="0.35">
      <c r="C864" t="s">
        <v>50</v>
      </c>
    </row>
    <row r="865" spans="3:3" x14ac:dyDescent="0.35">
      <c r="C865" t="s">
        <v>56</v>
      </c>
    </row>
    <row r="866" spans="3:3" x14ac:dyDescent="0.35">
      <c r="C866" t="s">
        <v>43</v>
      </c>
    </row>
    <row r="867" spans="3:3" x14ac:dyDescent="0.35">
      <c r="C867" t="s">
        <v>43</v>
      </c>
    </row>
    <row r="868" spans="3:3" x14ac:dyDescent="0.35">
      <c r="C868" t="s">
        <v>43</v>
      </c>
    </row>
    <row r="869" spans="3:3" x14ac:dyDescent="0.35">
      <c r="C869" t="s">
        <v>50</v>
      </c>
    </row>
    <row r="870" spans="3:3" x14ac:dyDescent="0.35">
      <c r="C870" t="s">
        <v>67</v>
      </c>
    </row>
    <row r="871" spans="3:3" x14ac:dyDescent="0.35">
      <c r="C871" t="s">
        <v>43</v>
      </c>
    </row>
    <row r="872" spans="3:3" x14ac:dyDescent="0.35">
      <c r="C872" t="s">
        <v>43</v>
      </c>
    </row>
    <row r="873" spans="3:3" x14ac:dyDescent="0.35">
      <c r="C873" t="s">
        <v>26</v>
      </c>
    </row>
    <row r="874" spans="3:3" x14ac:dyDescent="0.35">
      <c r="C874" t="s">
        <v>67</v>
      </c>
    </row>
    <row r="875" spans="3:3" x14ac:dyDescent="0.35">
      <c r="C875" t="s">
        <v>50</v>
      </c>
    </row>
    <row r="876" spans="3:3" x14ac:dyDescent="0.35">
      <c r="C876" t="s">
        <v>56</v>
      </c>
    </row>
    <row r="877" spans="3:3" x14ac:dyDescent="0.35">
      <c r="C877" t="s">
        <v>26</v>
      </c>
    </row>
    <row r="878" spans="3:3" x14ac:dyDescent="0.35">
      <c r="C878" t="s">
        <v>43</v>
      </c>
    </row>
    <row r="879" spans="3:3" x14ac:dyDescent="0.35">
      <c r="C879" t="s">
        <v>67</v>
      </c>
    </row>
    <row r="880" spans="3:3" x14ac:dyDescent="0.35">
      <c r="C880" t="s">
        <v>43</v>
      </c>
    </row>
    <row r="881" spans="3:3" x14ac:dyDescent="0.35">
      <c r="C881" t="s">
        <v>67</v>
      </c>
    </row>
    <row r="882" spans="3:3" x14ac:dyDescent="0.35">
      <c r="C882" t="s">
        <v>56</v>
      </c>
    </row>
    <row r="883" spans="3:3" x14ac:dyDescent="0.35">
      <c r="C883" t="s">
        <v>67</v>
      </c>
    </row>
    <row r="884" spans="3:3" x14ac:dyDescent="0.35">
      <c r="C884" t="s">
        <v>67</v>
      </c>
    </row>
    <row r="885" spans="3:3" x14ac:dyDescent="0.35">
      <c r="C885" t="s">
        <v>56</v>
      </c>
    </row>
    <row r="886" spans="3:3" x14ac:dyDescent="0.35">
      <c r="C886" t="s">
        <v>26</v>
      </c>
    </row>
    <row r="887" spans="3:3" x14ac:dyDescent="0.35">
      <c r="C887" t="s">
        <v>34</v>
      </c>
    </row>
    <row r="888" spans="3:3" x14ac:dyDescent="0.35">
      <c r="C888" t="s">
        <v>50</v>
      </c>
    </row>
    <row r="889" spans="3:3" x14ac:dyDescent="0.35">
      <c r="C889" t="s">
        <v>67</v>
      </c>
    </row>
    <row r="890" spans="3:3" x14ac:dyDescent="0.35">
      <c r="C890" t="s">
        <v>43</v>
      </c>
    </row>
    <row r="891" spans="3:3" x14ac:dyDescent="0.35">
      <c r="C891" t="s">
        <v>67</v>
      </c>
    </row>
    <row r="892" spans="3:3" x14ac:dyDescent="0.35">
      <c r="C892" t="s">
        <v>43</v>
      </c>
    </row>
    <row r="893" spans="3:3" x14ac:dyDescent="0.35">
      <c r="C893" t="s">
        <v>67</v>
      </c>
    </row>
    <row r="894" spans="3:3" x14ac:dyDescent="0.35">
      <c r="C894" t="s">
        <v>67</v>
      </c>
    </row>
    <row r="895" spans="3:3" x14ac:dyDescent="0.35">
      <c r="C895" t="s">
        <v>34</v>
      </c>
    </row>
    <row r="896" spans="3:3" x14ac:dyDescent="0.35">
      <c r="C896" t="s">
        <v>146</v>
      </c>
    </row>
    <row r="897" spans="3:3" x14ac:dyDescent="0.35">
      <c r="C897" t="s">
        <v>43</v>
      </c>
    </row>
    <row r="898" spans="3:3" x14ac:dyDescent="0.35">
      <c r="C898" t="s">
        <v>43</v>
      </c>
    </row>
    <row r="899" spans="3:3" x14ac:dyDescent="0.35">
      <c r="C899" t="s">
        <v>67</v>
      </c>
    </row>
    <row r="900" spans="3:3" x14ac:dyDescent="0.35">
      <c r="C900" t="s">
        <v>67</v>
      </c>
    </row>
    <row r="901" spans="3:3" x14ac:dyDescent="0.35">
      <c r="C901" t="s">
        <v>43</v>
      </c>
    </row>
    <row r="902" spans="3:3" x14ac:dyDescent="0.35">
      <c r="C902" t="s">
        <v>34</v>
      </c>
    </row>
    <row r="903" spans="3:3" x14ac:dyDescent="0.35">
      <c r="C903" t="s">
        <v>26</v>
      </c>
    </row>
    <row r="904" spans="3:3" x14ac:dyDescent="0.35">
      <c r="C904" t="s">
        <v>67</v>
      </c>
    </row>
    <row r="905" spans="3:3" x14ac:dyDescent="0.35">
      <c r="C905" t="s">
        <v>34</v>
      </c>
    </row>
    <row r="906" spans="3:3" x14ac:dyDescent="0.35">
      <c r="C906" t="s">
        <v>67</v>
      </c>
    </row>
    <row r="907" spans="3:3" x14ac:dyDescent="0.35">
      <c r="C907" t="s">
        <v>67</v>
      </c>
    </row>
    <row r="908" spans="3:3" x14ac:dyDescent="0.35">
      <c r="C908" t="s">
        <v>67</v>
      </c>
    </row>
    <row r="909" spans="3:3" x14ac:dyDescent="0.35">
      <c r="C909" t="s">
        <v>34</v>
      </c>
    </row>
    <row r="910" spans="3:3" x14ac:dyDescent="0.35">
      <c r="C910" t="s">
        <v>56</v>
      </c>
    </row>
    <row r="911" spans="3:3" x14ac:dyDescent="0.35">
      <c r="C911" t="s">
        <v>67</v>
      </c>
    </row>
    <row r="912" spans="3:3" x14ac:dyDescent="0.35">
      <c r="C912" t="s">
        <v>67</v>
      </c>
    </row>
    <row r="913" spans="3:3" x14ac:dyDescent="0.35">
      <c r="C913" t="s">
        <v>34</v>
      </c>
    </row>
    <row r="914" spans="3:3" x14ac:dyDescent="0.35">
      <c r="C914" t="s">
        <v>43</v>
      </c>
    </row>
    <row r="915" spans="3:3" x14ac:dyDescent="0.35">
      <c r="C915" t="s">
        <v>34</v>
      </c>
    </row>
    <row r="916" spans="3:3" x14ac:dyDescent="0.35">
      <c r="C916" t="s">
        <v>146</v>
      </c>
    </row>
    <row r="917" spans="3:3" x14ac:dyDescent="0.35">
      <c r="C917" t="s">
        <v>34</v>
      </c>
    </row>
    <row r="918" spans="3:3" x14ac:dyDescent="0.35">
      <c r="C918" t="s">
        <v>67</v>
      </c>
    </row>
    <row r="919" spans="3:3" x14ac:dyDescent="0.35">
      <c r="C919" t="s">
        <v>34</v>
      </c>
    </row>
    <row r="920" spans="3:3" x14ac:dyDescent="0.35">
      <c r="C920" t="s">
        <v>26</v>
      </c>
    </row>
    <row r="921" spans="3:3" x14ac:dyDescent="0.35">
      <c r="C921" t="s">
        <v>34</v>
      </c>
    </row>
    <row r="922" spans="3:3" x14ac:dyDescent="0.35">
      <c r="C922" t="s">
        <v>56</v>
      </c>
    </row>
    <row r="923" spans="3:3" x14ac:dyDescent="0.35">
      <c r="C923" t="s">
        <v>56</v>
      </c>
    </row>
    <row r="924" spans="3:3" x14ac:dyDescent="0.35">
      <c r="C924" t="s">
        <v>26</v>
      </c>
    </row>
    <row r="925" spans="3:3" x14ac:dyDescent="0.35">
      <c r="C925" t="s">
        <v>34</v>
      </c>
    </row>
    <row r="926" spans="3:3" x14ac:dyDescent="0.35">
      <c r="C926" t="s">
        <v>56</v>
      </c>
    </row>
    <row r="927" spans="3:3" x14ac:dyDescent="0.35">
      <c r="C927" t="s">
        <v>67</v>
      </c>
    </row>
    <row r="928" spans="3:3" x14ac:dyDescent="0.35">
      <c r="C928" t="s">
        <v>67</v>
      </c>
    </row>
    <row r="929" spans="3:3" x14ac:dyDescent="0.35">
      <c r="C929" t="s">
        <v>34</v>
      </c>
    </row>
    <row r="930" spans="3:3" x14ac:dyDescent="0.35">
      <c r="C930" t="s">
        <v>67</v>
      </c>
    </row>
    <row r="931" spans="3:3" x14ac:dyDescent="0.35">
      <c r="C931" t="s">
        <v>34</v>
      </c>
    </row>
    <row r="932" spans="3:3" x14ac:dyDescent="0.35">
      <c r="C932" t="s">
        <v>43</v>
      </c>
    </row>
    <row r="933" spans="3:3" x14ac:dyDescent="0.35">
      <c r="C933" t="s">
        <v>67</v>
      </c>
    </row>
    <row r="934" spans="3:3" x14ac:dyDescent="0.35">
      <c r="C934" t="s">
        <v>43</v>
      </c>
    </row>
    <row r="935" spans="3:3" x14ac:dyDescent="0.35">
      <c r="C935" t="s">
        <v>34</v>
      </c>
    </row>
    <row r="936" spans="3:3" x14ac:dyDescent="0.35">
      <c r="C936" t="s">
        <v>43</v>
      </c>
    </row>
    <row r="937" spans="3:3" x14ac:dyDescent="0.35">
      <c r="C937" t="s">
        <v>50</v>
      </c>
    </row>
    <row r="938" spans="3:3" x14ac:dyDescent="0.35">
      <c r="C938" t="s">
        <v>67</v>
      </c>
    </row>
    <row r="939" spans="3:3" x14ac:dyDescent="0.35">
      <c r="C939" t="s">
        <v>56</v>
      </c>
    </row>
    <row r="940" spans="3:3" x14ac:dyDescent="0.35">
      <c r="C940" t="s">
        <v>43</v>
      </c>
    </row>
    <row r="941" spans="3:3" x14ac:dyDescent="0.35">
      <c r="C941" t="s">
        <v>146</v>
      </c>
    </row>
    <row r="942" spans="3:3" x14ac:dyDescent="0.35">
      <c r="C942" t="s">
        <v>56</v>
      </c>
    </row>
    <row r="943" spans="3:3" x14ac:dyDescent="0.35">
      <c r="C943" t="s">
        <v>50</v>
      </c>
    </row>
    <row r="944" spans="3:3" x14ac:dyDescent="0.35">
      <c r="C944" t="s">
        <v>50</v>
      </c>
    </row>
    <row r="945" spans="3:3" x14ac:dyDescent="0.35">
      <c r="C945" t="s">
        <v>56</v>
      </c>
    </row>
    <row r="946" spans="3:3" x14ac:dyDescent="0.35">
      <c r="C946" t="s">
        <v>56</v>
      </c>
    </row>
    <row r="947" spans="3:3" x14ac:dyDescent="0.35">
      <c r="C947" t="s">
        <v>43</v>
      </c>
    </row>
    <row r="948" spans="3:3" x14ac:dyDescent="0.35">
      <c r="C948" t="s">
        <v>67</v>
      </c>
    </row>
    <row r="949" spans="3:3" x14ac:dyDescent="0.35">
      <c r="C949" t="s">
        <v>67</v>
      </c>
    </row>
    <row r="950" spans="3:3" x14ac:dyDescent="0.35">
      <c r="C950" t="s">
        <v>26</v>
      </c>
    </row>
    <row r="951" spans="3:3" x14ac:dyDescent="0.35">
      <c r="C951" t="s">
        <v>26</v>
      </c>
    </row>
    <row r="952" spans="3:3" x14ac:dyDescent="0.35">
      <c r="C952" t="s">
        <v>67</v>
      </c>
    </row>
    <row r="953" spans="3:3" x14ac:dyDescent="0.35">
      <c r="C953" t="s">
        <v>56</v>
      </c>
    </row>
    <row r="954" spans="3:3" x14ac:dyDescent="0.35">
      <c r="C954" t="s">
        <v>43</v>
      </c>
    </row>
    <row r="955" spans="3:3" x14ac:dyDescent="0.35">
      <c r="C955" t="s">
        <v>43</v>
      </c>
    </row>
    <row r="956" spans="3:3" x14ac:dyDescent="0.35">
      <c r="C956" t="s">
        <v>26</v>
      </c>
    </row>
    <row r="957" spans="3:3" x14ac:dyDescent="0.35">
      <c r="C957" t="s">
        <v>26</v>
      </c>
    </row>
    <row r="958" spans="3:3" x14ac:dyDescent="0.35">
      <c r="C958" t="s">
        <v>43</v>
      </c>
    </row>
    <row r="959" spans="3:3" x14ac:dyDescent="0.35">
      <c r="C959" t="s">
        <v>146</v>
      </c>
    </row>
    <row r="960" spans="3:3" x14ac:dyDescent="0.35">
      <c r="C960" t="s">
        <v>67</v>
      </c>
    </row>
    <row r="961" spans="3:3" x14ac:dyDescent="0.35">
      <c r="C961" t="s">
        <v>56</v>
      </c>
    </row>
    <row r="962" spans="3:3" x14ac:dyDescent="0.35">
      <c r="C962" t="s">
        <v>67</v>
      </c>
    </row>
    <row r="963" spans="3:3" x14ac:dyDescent="0.35">
      <c r="C963" t="s">
        <v>34</v>
      </c>
    </row>
    <row r="964" spans="3:3" x14ac:dyDescent="0.35">
      <c r="C964" t="s">
        <v>43</v>
      </c>
    </row>
    <row r="965" spans="3:3" x14ac:dyDescent="0.35">
      <c r="C965" t="s">
        <v>56</v>
      </c>
    </row>
    <row r="966" spans="3:3" x14ac:dyDescent="0.35">
      <c r="C966" t="s">
        <v>43</v>
      </c>
    </row>
    <row r="967" spans="3:3" x14ac:dyDescent="0.35">
      <c r="C967" t="s">
        <v>34</v>
      </c>
    </row>
    <row r="968" spans="3:3" x14ac:dyDescent="0.35">
      <c r="C968" t="s">
        <v>43</v>
      </c>
    </row>
    <row r="969" spans="3:3" x14ac:dyDescent="0.35">
      <c r="C969" t="s">
        <v>50</v>
      </c>
    </row>
    <row r="970" spans="3:3" x14ac:dyDescent="0.35">
      <c r="C970" t="s">
        <v>34</v>
      </c>
    </row>
    <row r="971" spans="3:3" x14ac:dyDescent="0.35">
      <c r="C971" t="s">
        <v>50</v>
      </c>
    </row>
    <row r="972" spans="3:3" x14ac:dyDescent="0.35">
      <c r="C972" t="s">
        <v>43</v>
      </c>
    </row>
    <row r="973" spans="3:3" x14ac:dyDescent="0.35">
      <c r="C973" t="s">
        <v>67</v>
      </c>
    </row>
    <row r="974" spans="3:3" x14ac:dyDescent="0.35">
      <c r="C974" t="s">
        <v>67</v>
      </c>
    </row>
    <row r="975" spans="3:3" x14ac:dyDescent="0.35">
      <c r="C975" t="s">
        <v>56</v>
      </c>
    </row>
    <row r="976" spans="3:3" x14ac:dyDescent="0.35">
      <c r="C976" t="s">
        <v>26</v>
      </c>
    </row>
    <row r="977" spans="3:3" x14ac:dyDescent="0.35">
      <c r="C977" t="s">
        <v>43</v>
      </c>
    </row>
    <row r="978" spans="3:3" x14ac:dyDescent="0.35">
      <c r="C978" t="s">
        <v>67</v>
      </c>
    </row>
    <row r="979" spans="3:3" x14ac:dyDescent="0.35">
      <c r="C979" t="s">
        <v>43</v>
      </c>
    </row>
    <row r="980" spans="3:3" x14ac:dyDescent="0.35">
      <c r="C980" t="s">
        <v>50</v>
      </c>
    </row>
    <row r="981" spans="3:3" x14ac:dyDescent="0.35">
      <c r="C981" t="s">
        <v>56</v>
      </c>
    </row>
    <row r="982" spans="3:3" x14ac:dyDescent="0.35">
      <c r="C982" t="s">
        <v>50</v>
      </c>
    </row>
    <row r="983" spans="3:3" x14ac:dyDescent="0.35">
      <c r="C983" t="s">
        <v>56</v>
      </c>
    </row>
    <row r="984" spans="3:3" x14ac:dyDescent="0.35">
      <c r="C984" t="s">
        <v>67</v>
      </c>
    </row>
    <row r="985" spans="3:3" x14ac:dyDescent="0.35">
      <c r="C985" t="s">
        <v>67</v>
      </c>
    </row>
    <row r="986" spans="3:3" x14ac:dyDescent="0.35">
      <c r="C986" t="s">
        <v>43</v>
      </c>
    </row>
    <row r="987" spans="3:3" x14ac:dyDescent="0.35">
      <c r="C987" t="s">
        <v>43</v>
      </c>
    </row>
    <row r="988" spans="3:3" x14ac:dyDescent="0.35">
      <c r="C988" t="s">
        <v>56</v>
      </c>
    </row>
    <row r="989" spans="3:3" x14ac:dyDescent="0.35">
      <c r="C989" t="s">
        <v>50</v>
      </c>
    </row>
    <row r="990" spans="3:3" x14ac:dyDescent="0.35">
      <c r="C990" t="s">
        <v>56</v>
      </c>
    </row>
    <row r="991" spans="3:3" x14ac:dyDescent="0.35">
      <c r="C991" t="s">
        <v>50</v>
      </c>
    </row>
    <row r="992" spans="3:3" x14ac:dyDescent="0.35">
      <c r="C992" t="s">
        <v>67</v>
      </c>
    </row>
    <row r="993" spans="3:3" x14ac:dyDescent="0.35">
      <c r="C993" t="s">
        <v>50</v>
      </c>
    </row>
    <row r="994" spans="3:3" x14ac:dyDescent="0.35">
      <c r="C994" t="s">
        <v>67</v>
      </c>
    </row>
    <row r="995" spans="3:3" x14ac:dyDescent="0.35">
      <c r="C995" t="s">
        <v>43</v>
      </c>
    </row>
    <row r="996" spans="3:3" x14ac:dyDescent="0.35">
      <c r="C996" t="s">
        <v>67</v>
      </c>
    </row>
    <row r="997" spans="3:3" x14ac:dyDescent="0.35">
      <c r="C997" t="s">
        <v>34</v>
      </c>
    </row>
    <row r="998" spans="3:3" x14ac:dyDescent="0.35">
      <c r="C998" t="s">
        <v>43</v>
      </c>
    </row>
    <row r="999" spans="3:3" x14ac:dyDescent="0.35">
      <c r="C999" t="s">
        <v>43</v>
      </c>
    </row>
    <row r="1000" spans="3:3" x14ac:dyDescent="0.35">
      <c r="C1000" t="s">
        <v>34</v>
      </c>
    </row>
    <row r="1001" spans="3:3" x14ac:dyDescent="0.35">
      <c r="C1001" t="s">
        <v>34</v>
      </c>
    </row>
    <row r="1002" spans="3:3" x14ac:dyDescent="0.35">
      <c r="C1002" t="s">
        <v>34</v>
      </c>
    </row>
    <row r="1003" spans="3:3" x14ac:dyDescent="0.35">
      <c r="C1003" t="s">
        <v>34</v>
      </c>
    </row>
    <row r="1004" spans="3:3" x14ac:dyDescent="0.35">
      <c r="C1004" t="s">
        <v>56</v>
      </c>
    </row>
    <row r="1005" spans="3:3" x14ac:dyDescent="0.35">
      <c r="C1005" t="s">
        <v>146</v>
      </c>
    </row>
    <row r="1006" spans="3:3" x14ac:dyDescent="0.35">
      <c r="C1006" t="s">
        <v>56</v>
      </c>
    </row>
    <row r="1007" spans="3:3" x14ac:dyDescent="0.35">
      <c r="C1007" t="s">
        <v>43</v>
      </c>
    </row>
    <row r="1008" spans="3:3" x14ac:dyDescent="0.35">
      <c r="C1008" t="s">
        <v>43</v>
      </c>
    </row>
    <row r="1009" spans="3:3" x14ac:dyDescent="0.35">
      <c r="C1009" t="s">
        <v>56</v>
      </c>
    </row>
    <row r="1010" spans="3:3" x14ac:dyDescent="0.35">
      <c r="C1010" t="s">
        <v>67</v>
      </c>
    </row>
    <row r="1011" spans="3:3" x14ac:dyDescent="0.35">
      <c r="C1011" t="s">
        <v>67</v>
      </c>
    </row>
    <row r="1012" spans="3:3" x14ac:dyDescent="0.35">
      <c r="C1012" t="s">
        <v>56</v>
      </c>
    </row>
    <row r="1013" spans="3:3" x14ac:dyDescent="0.35">
      <c r="C1013" t="s">
        <v>56</v>
      </c>
    </row>
    <row r="1014" spans="3:3" x14ac:dyDescent="0.35">
      <c r="C1014" t="s">
        <v>34</v>
      </c>
    </row>
    <row r="1015" spans="3:3" x14ac:dyDescent="0.35">
      <c r="C1015" t="s">
        <v>43</v>
      </c>
    </row>
    <row r="1016" spans="3:3" x14ac:dyDescent="0.35">
      <c r="C1016" t="s">
        <v>34</v>
      </c>
    </row>
    <row r="1017" spans="3:3" x14ac:dyDescent="0.35">
      <c r="C1017" t="s">
        <v>34</v>
      </c>
    </row>
    <row r="1018" spans="3:3" x14ac:dyDescent="0.35">
      <c r="C1018" t="s">
        <v>26</v>
      </c>
    </row>
    <row r="1019" spans="3:3" x14ac:dyDescent="0.35">
      <c r="C1019" t="s">
        <v>56</v>
      </c>
    </row>
    <row r="1020" spans="3:3" x14ac:dyDescent="0.35">
      <c r="C1020" t="s">
        <v>26</v>
      </c>
    </row>
    <row r="1021" spans="3:3" x14ac:dyDescent="0.35">
      <c r="C1021" t="s">
        <v>43</v>
      </c>
    </row>
    <row r="1022" spans="3:3" x14ac:dyDescent="0.35">
      <c r="C1022" t="s">
        <v>34</v>
      </c>
    </row>
    <row r="1023" spans="3:3" x14ac:dyDescent="0.35">
      <c r="C1023" t="s">
        <v>43</v>
      </c>
    </row>
    <row r="1024" spans="3:3" x14ac:dyDescent="0.35">
      <c r="C1024" t="s">
        <v>50</v>
      </c>
    </row>
    <row r="1025" spans="3:3" x14ac:dyDescent="0.35">
      <c r="C1025" t="s">
        <v>67</v>
      </c>
    </row>
    <row r="1026" spans="3:3" x14ac:dyDescent="0.35">
      <c r="C1026" t="s">
        <v>26</v>
      </c>
    </row>
    <row r="1027" spans="3:3" x14ac:dyDescent="0.35">
      <c r="C1027" t="s">
        <v>56</v>
      </c>
    </row>
    <row r="1028" spans="3:3" x14ac:dyDescent="0.35">
      <c r="C1028" t="s">
        <v>43</v>
      </c>
    </row>
    <row r="1029" spans="3:3" x14ac:dyDescent="0.35">
      <c r="C1029" t="s">
        <v>50</v>
      </c>
    </row>
    <row r="1030" spans="3:3" x14ac:dyDescent="0.35">
      <c r="C1030" t="s">
        <v>26</v>
      </c>
    </row>
    <row r="1031" spans="3:3" x14ac:dyDescent="0.35">
      <c r="C1031" t="s">
        <v>34</v>
      </c>
    </row>
    <row r="1032" spans="3:3" x14ac:dyDescent="0.35">
      <c r="C1032" t="s">
        <v>67</v>
      </c>
    </row>
    <row r="1033" spans="3:3" x14ac:dyDescent="0.35">
      <c r="C1033" t="s">
        <v>34</v>
      </c>
    </row>
    <row r="1034" spans="3:3" x14ac:dyDescent="0.35">
      <c r="C1034" t="s">
        <v>43</v>
      </c>
    </row>
    <row r="1035" spans="3:3" x14ac:dyDescent="0.35">
      <c r="C1035" t="s">
        <v>43</v>
      </c>
    </row>
    <row r="1036" spans="3:3" x14ac:dyDescent="0.35">
      <c r="C1036" t="s">
        <v>146</v>
      </c>
    </row>
    <row r="1037" spans="3:3" x14ac:dyDescent="0.35">
      <c r="C1037" t="s">
        <v>56</v>
      </c>
    </row>
    <row r="1038" spans="3:3" x14ac:dyDescent="0.35">
      <c r="C1038" t="s">
        <v>43</v>
      </c>
    </row>
    <row r="1039" spans="3:3" x14ac:dyDescent="0.35">
      <c r="C1039" t="s">
        <v>50</v>
      </c>
    </row>
    <row r="1040" spans="3:3" x14ac:dyDescent="0.35">
      <c r="C1040" t="s">
        <v>67</v>
      </c>
    </row>
    <row r="1041" spans="3:3" x14ac:dyDescent="0.35">
      <c r="C1041" t="s">
        <v>43</v>
      </c>
    </row>
    <row r="1042" spans="3:3" x14ac:dyDescent="0.35">
      <c r="C1042" t="s">
        <v>146</v>
      </c>
    </row>
    <row r="1043" spans="3:3" x14ac:dyDescent="0.35">
      <c r="C1043" t="s">
        <v>56</v>
      </c>
    </row>
    <row r="1044" spans="3:3" x14ac:dyDescent="0.35">
      <c r="C1044" t="s">
        <v>26</v>
      </c>
    </row>
    <row r="1045" spans="3:3" x14ac:dyDescent="0.35">
      <c r="C1045" t="s">
        <v>146</v>
      </c>
    </row>
    <row r="1046" spans="3:3" x14ac:dyDescent="0.35">
      <c r="C1046" t="s">
        <v>34</v>
      </c>
    </row>
    <row r="1047" spans="3:3" x14ac:dyDescent="0.35">
      <c r="C1047" t="s">
        <v>50</v>
      </c>
    </row>
    <row r="1048" spans="3:3" x14ac:dyDescent="0.35">
      <c r="C1048" t="s">
        <v>34</v>
      </c>
    </row>
    <row r="1049" spans="3:3" x14ac:dyDescent="0.35">
      <c r="C1049" t="s">
        <v>34</v>
      </c>
    </row>
    <row r="1050" spans="3:3" x14ac:dyDescent="0.35">
      <c r="C1050" t="s">
        <v>67</v>
      </c>
    </row>
    <row r="1051" spans="3:3" x14ac:dyDescent="0.35">
      <c r="C1051" t="s">
        <v>50</v>
      </c>
    </row>
    <row r="1052" spans="3:3" x14ac:dyDescent="0.35">
      <c r="C1052" t="s">
        <v>67</v>
      </c>
    </row>
    <row r="1053" spans="3:3" x14ac:dyDescent="0.35">
      <c r="C1053" t="s">
        <v>50</v>
      </c>
    </row>
    <row r="1054" spans="3:3" x14ac:dyDescent="0.35">
      <c r="C1054" t="s">
        <v>67</v>
      </c>
    </row>
    <row r="1055" spans="3:3" x14ac:dyDescent="0.35">
      <c r="C1055" t="s">
        <v>50</v>
      </c>
    </row>
    <row r="1056" spans="3:3" x14ac:dyDescent="0.35">
      <c r="C1056" t="s">
        <v>67</v>
      </c>
    </row>
    <row r="1057" spans="3:3" x14ac:dyDescent="0.35">
      <c r="C1057" t="s">
        <v>146</v>
      </c>
    </row>
    <row r="1058" spans="3:3" x14ac:dyDescent="0.35">
      <c r="C1058" t="s">
        <v>56</v>
      </c>
    </row>
    <row r="1059" spans="3:3" x14ac:dyDescent="0.35">
      <c r="C1059" t="s">
        <v>56</v>
      </c>
    </row>
    <row r="1060" spans="3:3" x14ac:dyDescent="0.35">
      <c r="C1060" t="s">
        <v>34</v>
      </c>
    </row>
    <row r="1061" spans="3:3" x14ac:dyDescent="0.35">
      <c r="C1061" t="s">
        <v>56</v>
      </c>
    </row>
    <row r="1062" spans="3:3" x14ac:dyDescent="0.35">
      <c r="C1062" t="s">
        <v>34</v>
      </c>
    </row>
    <row r="1063" spans="3:3" x14ac:dyDescent="0.35">
      <c r="C1063" t="s">
        <v>43</v>
      </c>
    </row>
    <row r="1064" spans="3:3" x14ac:dyDescent="0.35">
      <c r="C1064" t="s">
        <v>43</v>
      </c>
    </row>
    <row r="1065" spans="3:3" x14ac:dyDescent="0.35">
      <c r="C1065" t="s">
        <v>43</v>
      </c>
    </row>
    <row r="1066" spans="3:3" x14ac:dyDescent="0.35">
      <c r="C1066" t="s">
        <v>43</v>
      </c>
    </row>
    <row r="1067" spans="3:3" x14ac:dyDescent="0.35">
      <c r="C1067" t="s">
        <v>26</v>
      </c>
    </row>
    <row r="1068" spans="3:3" x14ac:dyDescent="0.35">
      <c r="C1068" t="s">
        <v>67</v>
      </c>
    </row>
    <row r="1069" spans="3:3" x14ac:dyDescent="0.35">
      <c r="C1069" t="s">
        <v>34</v>
      </c>
    </row>
    <row r="1070" spans="3:3" x14ac:dyDescent="0.35">
      <c r="C1070" t="s">
        <v>67</v>
      </c>
    </row>
    <row r="1071" spans="3:3" x14ac:dyDescent="0.35">
      <c r="C1071" t="s">
        <v>56</v>
      </c>
    </row>
    <row r="1072" spans="3:3" x14ac:dyDescent="0.35">
      <c r="C1072" t="s">
        <v>56</v>
      </c>
    </row>
    <row r="1073" spans="3:3" x14ac:dyDescent="0.35">
      <c r="C1073" t="s">
        <v>34</v>
      </c>
    </row>
    <row r="1074" spans="3:3" x14ac:dyDescent="0.35">
      <c r="C1074" t="s">
        <v>43</v>
      </c>
    </row>
    <row r="1075" spans="3:3" x14ac:dyDescent="0.35">
      <c r="C1075" t="s">
        <v>43</v>
      </c>
    </row>
    <row r="1076" spans="3:3" x14ac:dyDescent="0.35">
      <c r="C1076" t="s">
        <v>26</v>
      </c>
    </row>
    <row r="1077" spans="3:3" x14ac:dyDescent="0.35">
      <c r="C1077" t="s">
        <v>67</v>
      </c>
    </row>
    <row r="1078" spans="3:3" x14ac:dyDescent="0.35">
      <c r="C1078" t="s">
        <v>56</v>
      </c>
    </row>
    <row r="1079" spans="3:3" x14ac:dyDescent="0.35">
      <c r="C1079" t="s">
        <v>56</v>
      </c>
    </row>
    <row r="1080" spans="3:3" x14ac:dyDescent="0.35">
      <c r="C1080" t="s">
        <v>56</v>
      </c>
    </row>
    <row r="1081" spans="3:3" x14ac:dyDescent="0.35">
      <c r="C1081" t="s">
        <v>67</v>
      </c>
    </row>
    <row r="1082" spans="3:3" x14ac:dyDescent="0.35">
      <c r="C1082" t="s">
        <v>43</v>
      </c>
    </row>
    <row r="1083" spans="3:3" x14ac:dyDescent="0.35">
      <c r="C1083" t="s">
        <v>67</v>
      </c>
    </row>
    <row r="1084" spans="3:3" x14ac:dyDescent="0.35">
      <c r="C1084" t="s">
        <v>146</v>
      </c>
    </row>
    <row r="1085" spans="3:3" x14ac:dyDescent="0.35">
      <c r="C1085" t="s">
        <v>67</v>
      </c>
    </row>
    <row r="1086" spans="3:3" x14ac:dyDescent="0.35">
      <c r="C1086" t="s">
        <v>50</v>
      </c>
    </row>
    <row r="1087" spans="3:3" x14ac:dyDescent="0.35">
      <c r="C1087" t="s">
        <v>50</v>
      </c>
    </row>
    <row r="1088" spans="3:3" x14ac:dyDescent="0.35">
      <c r="C1088" t="s">
        <v>56</v>
      </c>
    </row>
    <row r="1089" spans="3:3" x14ac:dyDescent="0.35">
      <c r="C1089" t="s">
        <v>67</v>
      </c>
    </row>
    <row r="1090" spans="3:3" x14ac:dyDescent="0.35">
      <c r="C1090" t="s">
        <v>43</v>
      </c>
    </row>
    <row r="1091" spans="3:3" x14ac:dyDescent="0.35">
      <c r="C1091" t="s">
        <v>56</v>
      </c>
    </row>
    <row r="1092" spans="3:3" x14ac:dyDescent="0.35">
      <c r="C1092" t="s">
        <v>67</v>
      </c>
    </row>
    <row r="1093" spans="3:3" x14ac:dyDescent="0.35">
      <c r="C1093" t="s">
        <v>43</v>
      </c>
    </row>
    <row r="1094" spans="3:3" x14ac:dyDescent="0.35">
      <c r="C1094" t="s">
        <v>43</v>
      </c>
    </row>
    <row r="1095" spans="3:3" x14ac:dyDescent="0.35">
      <c r="C1095" t="s">
        <v>26</v>
      </c>
    </row>
    <row r="1096" spans="3:3" x14ac:dyDescent="0.35">
      <c r="C1096" t="s">
        <v>34</v>
      </c>
    </row>
    <row r="1097" spans="3:3" x14ac:dyDescent="0.35">
      <c r="C1097" t="s">
        <v>56</v>
      </c>
    </row>
    <row r="1098" spans="3:3" x14ac:dyDescent="0.35">
      <c r="C1098" t="s">
        <v>34</v>
      </c>
    </row>
    <row r="1099" spans="3:3" x14ac:dyDescent="0.35">
      <c r="C1099" t="s">
        <v>67</v>
      </c>
    </row>
    <row r="1100" spans="3:3" x14ac:dyDescent="0.35">
      <c r="C1100" t="s">
        <v>50</v>
      </c>
    </row>
    <row r="1101" spans="3:3" x14ac:dyDescent="0.35">
      <c r="C1101" t="s">
        <v>26</v>
      </c>
    </row>
    <row r="1102" spans="3:3" x14ac:dyDescent="0.35">
      <c r="C1102" t="s">
        <v>50</v>
      </c>
    </row>
    <row r="1103" spans="3:3" x14ac:dyDescent="0.35">
      <c r="C1103" t="s">
        <v>56</v>
      </c>
    </row>
    <row r="1104" spans="3:3" x14ac:dyDescent="0.35">
      <c r="C1104" t="s">
        <v>67</v>
      </c>
    </row>
    <row r="1105" spans="3:3" x14ac:dyDescent="0.35">
      <c r="C1105" t="s">
        <v>50</v>
      </c>
    </row>
    <row r="1106" spans="3:3" x14ac:dyDescent="0.35">
      <c r="C1106" t="s">
        <v>26</v>
      </c>
    </row>
    <row r="1107" spans="3:3" x14ac:dyDescent="0.35">
      <c r="C1107" t="s">
        <v>67</v>
      </c>
    </row>
    <row r="1108" spans="3:3" x14ac:dyDescent="0.35">
      <c r="C1108" t="s">
        <v>50</v>
      </c>
    </row>
    <row r="1109" spans="3:3" x14ac:dyDescent="0.35">
      <c r="C1109" t="s">
        <v>56</v>
      </c>
    </row>
    <row r="1110" spans="3:3" x14ac:dyDescent="0.35">
      <c r="C1110" t="s">
        <v>146</v>
      </c>
    </row>
    <row r="1111" spans="3:3" x14ac:dyDescent="0.35">
      <c r="C1111" t="s">
        <v>50</v>
      </c>
    </row>
    <row r="1112" spans="3:3" x14ac:dyDescent="0.35">
      <c r="C1112" t="s">
        <v>26</v>
      </c>
    </row>
    <row r="1113" spans="3:3" x14ac:dyDescent="0.35">
      <c r="C1113" t="s">
        <v>50</v>
      </c>
    </row>
    <row r="1114" spans="3:3" x14ac:dyDescent="0.35">
      <c r="C1114" t="s">
        <v>43</v>
      </c>
    </row>
    <row r="1115" spans="3:3" x14ac:dyDescent="0.35">
      <c r="C1115" t="s">
        <v>67</v>
      </c>
    </row>
    <row r="1116" spans="3:3" x14ac:dyDescent="0.35">
      <c r="C1116" t="s">
        <v>43</v>
      </c>
    </row>
    <row r="1117" spans="3:3" x14ac:dyDescent="0.35">
      <c r="C1117" t="s">
        <v>67</v>
      </c>
    </row>
    <row r="1118" spans="3:3" x14ac:dyDescent="0.35">
      <c r="C1118" t="s">
        <v>56</v>
      </c>
    </row>
    <row r="1119" spans="3:3" x14ac:dyDescent="0.35">
      <c r="C1119" t="s">
        <v>34</v>
      </c>
    </row>
    <row r="1120" spans="3:3" x14ac:dyDescent="0.35">
      <c r="C1120" t="s">
        <v>26</v>
      </c>
    </row>
    <row r="1121" spans="3:3" x14ac:dyDescent="0.35">
      <c r="C1121" t="s">
        <v>43</v>
      </c>
    </row>
    <row r="1122" spans="3:3" x14ac:dyDescent="0.35">
      <c r="C1122" t="s">
        <v>67</v>
      </c>
    </row>
    <row r="1123" spans="3:3" x14ac:dyDescent="0.35">
      <c r="C1123" t="s">
        <v>67</v>
      </c>
    </row>
    <row r="1124" spans="3:3" x14ac:dyDescent="0.35">
      <c r="C1124" t="s">
        <v>43</v>
      </c>
    </row>
    <row r="1125" spans="3:3" x14ac:dyDescent="0.35">
      <c r="C1125" t="s">
        <v>67</v>
      </c>
    </row>
    <row r="1126" spans="3:3" x14ac:dyDescent="0.35">
      <c r="C1126" t="s">
        <v>43</v>
      </c>
    </row>
    <row r="1127" spans="3:3" x14ac:dyDescent="0.35">
      <c r="C1127" t="s">
        <v>26</v>
      </c>
    </row>
    <row r="1128" spans="3:3" x14ac:dyDescent="0.35">
      <c r="C1128" t="s">
        <v>50</v>
      </c>
    </row>
    <row r="1129" spans="3:3" x14ac:dyDescent="0.35">
      <c r="C1129" t="s">
        <v>67</v>
      </c>
    </row>
    <row r="1130" spans="3:3" x14ac:dyDescent="0.35">
      <c r="C1130" t="s">
        <v>67</v>
      </c>
    </row>
    <row r="1131" spans="3:3" x14ac:dyDescent="0.35">
      <c r="C1131" t="s">
        <v>146</v>
      </c>
    </row>
    <row r="1132" spans="3:3" x14ac:dyDescent="0.35">
      <c r="C1132" t="s">
        <v>34</v>
      </c>
    </row>
    <row r="1133" spans="3:3" x14ac:dyDescent="0.35">
      <c r="C1133" t="s">
        <v>43</v>
      </c>
    </row>
    <row r="1134" spans="3:3" x14ac:dyDescent="0.35">
      <c r="C1134" t="s">
        <v>50</v>
      </c>
    </row>
    <row r="1135" spans="3:3" x14ac:dyDescent="0.35">
      <c r="C1135" t="s">
        <v>67</v>
      </c>
    </row>
    <row r="1136" spans="3:3" x14ac:dyDescent="0.35">
      <c r="C1136" t="s">
        <v>34</v>
      </c>
    </row>
    <row r="1137" spans="3:3" x14ac:dyDescent="0.35">
      <c r="C1137" t="s">
        <v>50</v>
      </c>
    </row>
    <row r="1138" spans="3:3" x14ac:dyDescent="0.35">
      <c r="C1138" t="s">
        <v>43</v>
      </c>
    </row>
    <row r="1139" spans="3:3" x14ac:dyDescent="0.35">
      <c r="C1139" t="s">
        <v>67</v>
      </c>
    </row>
    <row r="1140" spans="3:3" x14ac:dyDescent="0.35">
      <c r="C1140" t="s">
        <v>34</v>
      </c>
    </row>
    <row r="1141" spans="3:3" x14ac:dyDescent="0.35">
      <c r="C1141" t="s">
        <v>67</v>
      </c>
    </row>
    <row r="1142" spans="3:3" x14ac:dyDescent="0.35">
      <c r="C1142" t="s">
        <v>26</v>
      </c>
    </row>
    <row r="1143" spans="3:3" x14ac:dyDescent="0.35">
      <c r="C1143" t="s">
        <v>50</v>
      </c>
    </row>
    <row r="1144" spans="3:3" x14ac:dyDescent="0.35">
      <c r="C1144" t="s">
        <v>67</v>
      </c>
    </row>
    <row r="1145" spans="3:3" x14ac:dyDescent="0.35">
      <c r="C1145" t="s">
        <v>56</v>
      </c>
    </row>
    <row r="1146" spans="3:3" x14ac:dyDescent="0.35">
      <c r="C1146" t="s">
        <v>43</v>
      </c>
    </row>
    <row r="1147" spans="3:3" x14ac:dyDescent="0.35">
      <c r="C1147" t="s">
        <v>50</v>
      </c>
    </row>
    <row r="1148" spans="3:3" x14ac:dyDescent="0.35">
      <c r="C1148" t="s">
        <v>34</v>
      </c>
    </row>
    <row r="1149" spans="3:3" x14ac:dyDescent="0.35">
      <c r="C1149" t="s">
        <v>67</v>
      </c>
    </row>
    <row r="1150" spans="3:3" x14ac:dyDescent="0.35">
      <c r="C1150" t="s">
        <v>67</v>
      </c>
    </row>
    <row r="1151" spans="3:3" x14ac:dyDescent="0.35">
      <c r="C1151" t="s">
        <v>67</v>
      </c>
    </row>
    <row r="1152" spans="3:3" x14ac:dyDescent="0.35">
      <c r="C1152" t="s">
        <v>50</v>
      </c>
    </row>
    <row r="1153" spans="3:3" x14ac:dyDescent="0.35">
      <c r="C1153" t="s">
        <v>43</v>
      </c>
    </row>
    <row r="1154" spans="3:3" x14ac:dyDescent="0.35">
      <c r="C1154" t="s">
        <v>43</v>
      </c>
    </row>
    <row r="1155" spans="3:3" x14ac:dyDescent="0.35">
      <c r="C1155" t="s">
        <v>26</v>
      </c>
    </row>
    <row r="1156" spans="3:3" x14ac:dyDescent="0.35">
      <c r="C1156" t="s">
        <v>67</v>
      </c>
    </row>
    <row r="1157" spans="3:3" x14ac:dyDescent="0.35">
      <c r="C1157" t="s">
        <v>34</v>
      </c>
    </row>
    <row r="1158" spans="3:3" x14ac:dyDescent="0.35">
      <c r="C1158" t="s">
        <v>43</v>
      </c>
    </row>
    <row r="1159" spans="3:3" x14ac:dyDescent="0.35">
      <c r="C1159" t="s">
        <v>43</v>
      </c>
    </row>
    <row r="1160" spans="3:3" x14ac:dyDescent="0.35">
      <c r="C1160" t="s">
        <v>56</v>
      </c>
    </row>
    <row r="1161" spans="3:3" x14ac:dyDescent="0.35">
      <c r="C1161" t="s">
        <v>43</v>
      </c>
    </row>
    <row r="1162" spans="3:3" x14ac:dyDescent="0.35">
      <c r="C1162" t="s">
        <v>67</v>
      </c>
    </row>
    <row r="1163" spans="3:3" x14ac:dyDescent="0.35">
      <c r="C1163" t="s">
        <v>34</v>
      </c>
    </row>
    <row r="1164" spans="3:3" x14ac:dyDescent="0.35">
      <c r="C1164" t="s">
        <v>50</v>
      </c>
    </row>
    <row r="1165" spans="3:3" x14ac:dyDescent="0.35">
      <c r="C1165" t="s">
        <v>56</v>
      </c>
    </row>
    <row r="1166" spans="3:3" x14ac:dyDescent="0.35">
      <c r="C1166" t="s">
        <v>56</v>
      </c>
    </row>
    <row r="1167" spans="3:3" x14ac:dyDescent="0.35">
      <c r="C1167" t="s">
        <v>43</v>
      </c>
    </row>
    <row r="1168" spans="3:3" x14ac:dyDescent="0.35">
      <c r="C1168" t="s">
        <v>50</v>
      </c>
    </row>
    <row r="1169" spans="3:3" x14ac:dyDescent="0.35">
      <c r="C1169" t="s">
        <v>43</v>
      </c>
    </row>
    <row r="1170" spans="3:3" x14ac:dyDescent="0.35">
      <c r="C1170" t="s">
        <v>34</v>
      </c>
    </row>
    <row r="1171" spans="3:3" x14ac:dyDescent="0.35">
      <c r="C1171" t="s">
        <v>67</v>
      </c>
    </row>
    <row r="1172" spans="3:3" x14ac:dyDescent="0.35">
      <c r="C1172" t="s">
        <v>50</v>
      </c>
    </row>
    <row r="1173" spans="3:3" x14ac:dyDescent="0.35">
      <c r="C1173" t="s">
        <v>50</v>
      </c>
    </row>
    <row r="1174" spans="3:3" x14ac:dyDescent="0.35">
      <c r="C1174" t="s">
        <v>67</v>
      </c>
    </row>
    <row r="1175" spans="3:3" x14ac:dyDescent="0.35">
      <c r="C1175" t="s">
        <v>26</v>
      </c>
    </row>
    <row r="1176" spans="3:3" x14ac:dyDescent="0.35">
      <c r="C1176" t="s">
        <v>67</v>
      </c>
    </row>
    <row r="1177" spans="3:3" x14ac:dyDescent="0.35">
      <c r="C1177" t="s">
        <v>67</v>
      </c>
    </row>
    <row r="1178" spans="3:3" x14ac:dyDescent="0.35">
      <c r="C1178" t="s">
        <v>34</v>
      </c>
    </row>
    <row r="1179" spans="3:3" x14ac:dyDescent="0.35">
      <c r="C1179" t="s">
        <v>56</v>
      </c>
    </row>
    <row r="1180" spans="3:3" x14ac:dyDescent="0.35">
      <c r="C1180" t="s">
        <v>67</v>
      </c>
    </row>
    <row r="1181" spans="3:3" x14ac:dyDescent="0.35">
      <c r="C1181" t="s">
        <v>43</v>
      </c>
    </row>
    <row r="1182" spans="3:3" x14ac:dyDescent="0.35">
      <c r="C1182" t="s">
        <v>50</v>
      </c>
    </row>
    <row r="1183" spans="3:3" x14ac:dyDescent="0.35">
      <c r="C1183" t="s">
        <v>50</v>
      </c>
    </row>
    <row r="1184" spans="3:3" x14ac:dyDescent="0.35">
      <c r="C1184" t="s">
        <v>67</v>
      </c>
    </row>
    <row r="1185" spans="3:3" x14ac:dyDescent="0.35">
      <c r="C1185" t="s">
        <v>34</v>
      </c>
    </row>
    <row r="1186" spans="3:3" x14ac:dyDescent="0.35">
      <c r="C1186" t="s">
        <v>67</v>
      </c>
    </row>
    <row r="1187" spans="3:3" x14ac:dyDescent="0.35">
      <c r="C1187" t="s">
        <v>67</v>
      </c>
    </row>
    <row r="1188" spans="3:3" x14ac:dyDescent="0.35">
      <c r="C1188" t="s">
        <v>26</v>
      </c>
    </row>
    <row r="1189" spans="3:3" x14ac:dyDescent="0.35">
      <c r="C1189" t="s">
        <v>67</v>
      </c>
    </row>
    <row r="1190" spans="3:3" x14ac:dyDescent="0.35">
      <c r="C1190" t="s">
        <v>56</v>
      </c>
    </row>
    <row r="1191" spans="3:3" x14ac:dyDescent="0.35">
      <c r="C1191" t="s">
        <v>67</v>
      </c>
    </row>
    <row r="1192" spans="3:3" x14ac:dyDescent="0.35">
      <c r="C1192" t="s">
        <v>43</v>
      </c>
    </row>
    <row r="1193" spans="3:3" x14ac:dyDescent="0.35">
      <c r="C1193" t="s">
        <v>50</v>
      </c>
    </row>
    <row r="1194" spans="3:3" x14ac:dyDescent="0.35">
      <c r="C1194" t="s">
        <v>50</v>
      </c>
    </row>
    <row r="1195" spans="3:3" x14ac:dyDescent="0.35">
      <c r="C1195" t="s">
        <v>43</v>
      </c>
    </row>
    <row r="1196" spans="3:3" x14ac:dyDescent="0.35">
      <c r="C1196" t="s">
        <v>43</v>
      </c>
    </row>
    <row r="1197" spans="3:3" x14ac:dyDescent="0.35">
      <c r="C1197" t="s">
        <v>43</v>
      </c>
    </row>
    <row r="1198" spans="3:3" x14ac:dyDescent="0.35">
      <c r="C1198" t="s">
        <v>50</v>
      </c>
    </row>
    <row r="1199" spans="3:3" x14ac:dyDescent="0.35">
      <c r="C1199" t="s">
        <v>43</v>
      </c>
    </row>
    <row r="1200" spans="3:3" x14ac:dyDescent="0.35">
      <c r="C1200" t="s">
        <v>43</v>
      </c>
    </row>
    <row r="1201" spans="3:3" x14ac:dyDescent="0.35">
      <c r="C1201" t="s">
        <v>43</v>
      </c>
    </row>
    <row r="1202" spans="3:3" x14ac:dyDescent="0.35">
      <c r="C1202" t="s">
        <v>43</v>
      </c>
    </row>
    <row r="1203" spans="3:3" x14ac:dyDescent="0.35">
      <c r="C1203" t="s">
        <v>34</v>
      </c>
    </row>
    <row r="1204" spans="3:3" x14ac:dyDescent="0.35">
      <c r="C1204" t="s">
        <v>43</v>
      </c>
    </row>
    <row r="1205" spans="3:3" x14ac:dyDescent="0.35">
      <c r="C1205" t="s">
        <v>43</v>
      </c>
    </row>
    <row r="1206" spans="3:3" x14ac:dyDescent="0.35">
      <c r="C1206" t="s">
        <v>26</v>
      </c>
    </row>
    <row r="1207" spans="3:3" x14ac:dyDescent="0.35">
      <c r="C1207" t="s">
        <v>67</v>
      </c>
    </row>
    <row r="1208" spans="3:3" x14ac:dyDescent="0.35">
      <c r="C1208" t="s">
        <v>34</v>
      </c>
    </row>
    <row r="1209" spans="3:3" x14ac:dyDescent="0.35">
      <c r="C1209" t="s">
        <v>43</v>
      </c>
    </row>
    <row r="1210" spans="3:3" x14ac:dyDescent="0.35">
      <c r="C1210" t="s">
        <v>56</v>
      </c>
    </row>
    <row r="1211" spans="3:3" x14ac:dyDescent="0.35">
      <c r="C1211" t="s">
        <v>43</v>
      </c>
    </row>
    <row r="1212" spans="3:3" x14ac:dyDescent="0.35">
      <c r="C1212" t="s">
        <v>43</v>
      </c>
    </row>
    <row r="1213" spans="3:3" x14ac:dyDescent="0.35">
      <c r="C1213" t="s">
        <v>50</v>
      </c>
    </row>
    <row r="1214" spans="3:3" x14ac:dyDescent="0.35">
      <c r="C1214" t="s">
        <v>56</v>
      </c>
    </row>
    <row r="1215" spans="3:3" x14ac:dyDescent="0.35">
      <c r="C1215" t="s">
        <v>67</v>
      </c>
    </row>
    <row r="1216" spans="3:3" x14ac:dyDescent="0.35">
      <c r="C1216" t="s">
        <v>43</v>
      </c>
    </row>
    <row r="1217" spans="3:3" x14ac:dyDescent="0.35">
      <c r="C1217" t="s">
        <v>34</v>
      </c>
    </row>
    <row r="1218" spans="3:3" x14ac:dyDescent="0.35">
      <c r="C1218" t="s">
        <v>50</v>
      </c>
    </row>
    <row r="1219" spans="3:3" x14ac:dyDescent="0.35">
      <c r="C1219" t="s">
        <v>43</v>
      </c>
    </row>
    <row r="1220" spans="3:3" x14ac:dyDescent="0.35">
      <c r="C1220" t="s">
        <v>34</v>
      </c>
    </row>
    <row r="1221" spans="3:3" x14ac:dyDescent="0.35">
      <c r="C1221" t="s">
        <v>56</v>
      </c>
    </row>
    <row r="1222" spans="3:3" x14ac:dyDescent="0.35">
      <c r="C1222" t="s">
        <v>56</v>
      </c>
    </row>
    <row r="1223" spans="3:3" x14ac:dyDescent="0.35">
      <c r="C1223" t="s">
        <v>43</v>
      </c>
    </row>
    <row r="1224" spans="3:3" x14ac:dyDescent="0.35">
      <c r="C1224" t="s">
        <v>34</v>
      </c>
    </row>
    <row r="1225" spans="3:3" x14ac:dyDescent="0.35">
      <c r="C1225" t="s">
        <v>56</v>
      </c>
    </row>
    <row r="1226" spans="3:3" x14ac:dyDescent="0.35">
      <c r="C1226" t="s">
        <v>43</v>
      </c>
    </row>
    <row r="1227" spans="3:3" x14ac:dyDescent="0.35">
      <c r="C1227" t="s">
        <v>56</v>
      </c>
    </row>
    <row r="1228" spans="3:3" x14ac:dyDescent="0.35">
      <c r="C1228" t="s">
        <v>34</v>
      </c>
    </row>
    <row r="1229" spans="3:3" x14ac:dyDescent="0.35">
      <c r="C1229" t="s">
        <v>43</v>
      </c>
    </row>
    <row r="1230" spans="3:3" x14ac:dyDescent="0.35">
      <c r="C1230" t="s">
        <v>67</v>
      </c>
    </row>
    <row r="1231" spans="3:3" x14ac:dyDescent="0.35">
      <c r="C1231" t="s">
        <v>67</v>
      </c>
    </row>
    <row r="1232" spans="3:3" x14ac:dyDescent="0.35">
      <c r="C1232" t="s">
        <v>67</v>
      </c>
    </row>
    <row r="1233" spans="3:3" x14ac:dyDescent="0.35">
      <c r="C1233" t="s">
        <v>67</v>
      </c>
    </row>
    <row r="1234" spans="3:3" x14ac:dyDescent="0.35">
      <c r="C1234" t="s">
        <v>34</v>
      </c>
    </row>
    <row r="1235" spans="3:3" x14ac:dyDescent="0.35">
      <c r="C1235" t="s">
        <v>50</v>
      </c>
    </row>
    <row r="1236" spans="3:3" x14ac:dyDescent="0.35">
      <c r="C1236" t="s">
        <v>50</v>
      </c>
    </row>
    <row r="1237" spans="3:3" x14ac:dyDescent="0.35">
      <c r="C1237" t="s">
        <v>43</v>
      </c>
    </row>
    <row r="1238" spans="3:3" x14ac:dyDescent="0.35">
      <c r="C1238" t="s">
        <v>34</v>
      </c>
    </row>
    <row r="1239" spans="3:3" x14ac:dyDescent="0.35">
      <c r="C1239" t="s">
        <v>34</v>
      </c>
    </row>
    <row r="1240" spans="3:3" x14ac:dyDescent="0.35">
      <c r="C1240" t="s">
        <v>56</v>
      </c>
    </row>
    <row r="1241" spans="3:3" x14ac:dyDescent="0.35">
      <c r="C1241" t="s">
        <v>43</v>
      </c>
    </row>
    <row r="1242" spans="3:3" x14ac:dyDescent="0.35">
      <c r="C1242" t="s">
        <v>34</v>
      </c>
    </row>
    <row r="1243" spans="3:3" x14ac:dyDescent="0.35">
      <c r="C1243" t="s">
        <v>43</v>
      </c>
    </row>
    <row r="1244" spans="3:3" x14ac:dyDescent="0.35">
      <c r="C1244" t="s">
        <v>26</v>
      </c>
    </row>
    <row r="1245" spans="3:3" x14ac:dyDescent="0.35">
      <c r="C1245" t="s">
        <v>50</v>
      </c>
    </row>
    <row r="1246" spans="3:3" x14ac:dyDescent="0.35">
      <c r="C1246" t="s">
        <v>50</v>
      </c>
    </row>
    <row r="1247" spans="3:3" x14ac:dyDescent="0.35">
      <c r="C1247" t="s">
        <v>34</v>
      </c>
    </row>
    <row r="1248" spans="3:3" x14ac:dyDescent="0.35">
      <c r="C1248" t="s">
        <v>43</v>
      </c>
    </row>
    <row r="1249" spans="3:3" x14ac:dyDescent="0.35">
      <c r="C1249" t="s">
        <v>43</v>
      </c>
    </row>
    <row r="1250" spans="3:3" x14ac:dyDescent="0.35">
      <c r="C1250" t="s">
        <v>26</v>
      </c>
    </row>
    <row r="1251" spans="3:3" x14ac:dyDescent="0.35">
      <c r="C1251" t="s">
        <v>43</v>
      </c>
    </row>
    <row r="1252" spans="3:3" x14ac:dyDescent="0.35">
      <c r="C1252" t="s">
        <v>56</v>
      </c>
    </row>
    <row r="1253" spans="3:3" x14ac:dyDescent="0.35">
      <c r="C1253" t="s">
        <v>56</v>
      </c>
    </row>
    <row r="1254" spans="3:3" x14ac:dyDescent="0.35">
      <c r="C1254" t="s">
        <v>50</v>
      </c>
    </row>
    <row r="1255" spans="3:3" x14ac:dyDescent="0.35">
      <c r="C1255" t="s">
        <v>50</v>
      </c>
    </row>
    <row r="1256" spans="3:3" x14ac:dyDescent="0.35">
      <c r="C1256" t="s">
        <v>67</v>
      </c>
    </row>
    <row r="1257" spans="3:3" x14ac:dyDescent="0.35">
      <c r="C1257" t="s">
        <v>43</v>
      </c>
    </row>
    <row r="1258" spans="3:3" x14ac:dyDescent="0.35">
      <c r="C1258" t="s">
        <v>50</v>
      </c>
    </row>
    <row r="1259" spans="3:3" x14ac:dyDescent="0.35">
      <c r="C1259" t="s">
        <v>56</v>
      </c>
    </row>
    <row r="1260" spans="3:3" x14ac:dyDescent="0.35">
      <c r="C1260" t="s">
        <v>43</v>
      </c>
    </row>
    <row r="1261" spans="3:3" x14ac:dyDescent="0.35">
      <c r="C1261" t="s">
        <v>67</v>
      </c>
    </row>
    <row r="1262" spans="3:3" x14ac:dyDescent="0.35">
      <c r="C1262" t="s">
        <v>43</v>
      </c>
    </row>
    <row r="1263" spans="3:3" x14ac:dyDescent="0.35">
      <c r="C1263" t="s">
        <v>34</v>
      </c>
    </row>
    <row r="1264" spans="3:3" x14ac:dyDescent="0.35">
      <c r="C1264" t="s">
        <v>67</v>
      </c>
    </row>
    <row r="1265" spans="3:3" x14ac:dyDescent="0.35">
      <c r="C1265" t="s">
        <v>67</v>
      </c>
    </row>
    <row r="1266" spans="3:3" x14ac:dyDescent="0.35">
      <c r="C1266" t="s">
        <v>56</v>
      </c>
    </row>
    <row r="1267" spans="3:3" x14ac:dyDescent="0.35">
      <c r="C1267" t="s">
        <v>43</v>
      </c>
    </row>
    <row r="1268" spans="3:3" x14ac:dyDescent="0.35">
      <c r="C1268" t="s">
        <v>43</v>
      </c>
    </row>
    <row r="1269" spans="3:3" x14ac:dyDescent="0.35">
      <c r="C1269" t="s">
        <v>67</v>
      </c>
    </row>
    <row r="1270" spans="3:3" x14ac:dyDescent="0.35">
      <c r="C1270" t="s">
        <v>56</v>
      </c>
    </row>
    <row r="1271" spans="3:3" x14ac:dyDescent="0.35">
      <c r="C1271" t="s">
        <v>43</v>
      </c>
    </row>
    <row r="1272" spans="3:3" x14ac:dyDescent="0.35">
      <c r="C1272" t="s">
        <v>67</v>
      </c>
    </row>
    <row r="1273" spans="3:3" x14ac:dyDescent="0.35">
      <c r="C1273" t="s">
        <v>43</v>
      </c>
    </row>
    <row r="1274" spans="3:3" x14ac:dyDescent="0.35">
      <c r="C1274" t="s">
        <v>56</v>
      </c>
    </row>
    <row r="1275" spans="3:3" x14ac:dyDescent="0.35">
      <c r="C1275" t="s">
        <v>67</v>
      </c>
    </row>
    <row r="1276" spans="3:3" x14ac:dyDescent="0.35">
      <c r="C1276" t="s">
        <v>43</v>
      </c>
    </row>
    <row r="1277" spans="3:3" x14ac:dyDescent="0.35">
      <c r="C1277" t="s">
        <v>34</v>
      </c>
    </row>
    <row r="1278" spans="3:3" x14ac:dyDescent="0.35">
      <c r="C1278" t="s">
        <v>43</v>
      </c>
    </row>
    <row r="1279" spans="3:3" x14ac:dyDescent="0.35">
      <c r="C1279" t="s">
        <v>34</v>
      </c>
    </row>
    <row r="1280" spans="3:3" x14ac:dyDescent="0.35">
      <c r="C1280" t="s">
        <v>56</v>
      </c>
    </row>
    <row r="1281" spans="3:3" x14ac:dyDescent="0.35">
      <c r="C1281" t="s">
        <v>146</v>
      </c>
    </row>
    <row r="1282" spans="3:3" x14ac:dyDescent="0.35">
      <c r="C1282" t="s">
        <v>67</v>
      </c>
    </row>
    <row r="1283" spans="3:3" x14ac:dyDescent="0.35">
      <c r="C1283" t="s">
        <v>67</v>
      </c>
    </row>
    <row r="1284" spans="3:3" x14ac:dyDescent="0.35">
      <c r="C1284" t="s">
        <v>26</v>
      </c>
    </row>
    <row r="1285" spans="3:3" x14ac:dyDescent="0.35">
      <c r="C1285" t="s">
        <v>34</v>
      </c>
    </row>
    <row r="1286" spans="3:3" x14ac:dyDescent="0.35">
      <c r="C1286" t="s">
        <v>146</v>
      </c>
    </row>
    <row r="1287" spans="3:3" x14ac:dyDescent="0.35">
      <c r="C1287" t="s">
        <v>56</v>
      </c>
    </row>
    <row r="1288" spans="3:3" x14ac:dyDescent="0.35">
      <c r="C1288" t="s">
        <v>43</v>
      </c>
    </row>
    <row r="1289" spans="3:3" x14ac:dyDescent="0.35">
      <c r="C1289" t="s">
        <v>50</v>
      </c>
    </row>
    <row r="1290" spans="3:3" x14ac:dyDescent="0.35">
      <c r="C1290" t="s">
        <v>43</v>
      </c>
    </row>
    <row r="1291" spans="3:3" x14ac:dyDescent="0.35">
      <c r="C1291" t="s">
        <v>50</v>
      </c>
    </row>
    <row r="1292" spans="3:3" x14ac:dyDescent="0.35">
      <c r="C1292" t="s">
        <v>43</v>
      </c>
    </row>
    <row r="1293" spans="3:3" x14ac:dyDescent="0.35">
      <c r="C1293" t="s">
        <v>43</v>
      </c>
    </row>
    <row r="1294" spans="3:3" x14ac:dyDescent="0.35">
      <c r="C1294" t="s">
        <v>50</v>
      </c>
    </row>
    <row r="1295" spans="3:3" x14ac:dyDescent="0.35">
      <c r="C1295" t="s">
        <v>43</v>
      </c>
    </row>
    <row r="1296" spans="3:3" x14ac:dyDescent="0.35">
      <c r="C1296" t="s">
        <v>34</v>
      </c>
    </row>
    <row r="1297" spans="3:3" x14ac:dyDescent="0.35">
      <c r="C1297" t="s">
        <v>56</v>
      </c>
    </row>
    <row r="1298" spans="3:3" x14ac:dyDescent="0.35">
      <c r="C1298" t="s">
        <v>34</v>
      </c>
    </row>
    <row r="1299" spans="3:3" x14ac:dyDescent="0.35">
      <c r="C1299" t="s">
        <v>67</v>
      </c>
    </row>
    <row r="1300" spans="3:3" x14ac:dyDescent="0.35">
      <c r="C1300" t="s">
        <v>67</v>
      </c>
    </row>
    <row r="1301" spans="3:3" x14ac:dyDescent="0.35">
      <c r="C1301" t="s">
        <v>34</v>
      </c>
    </row>
    <row r="1302" spans="3:3" x14ac:dyDescent="0.35">
      <c r="C1302" t="s">
        <v>67</v>
      </c>
    </row>
    <row r="1303" spans="3:3" x14ac:dyDescent="0.35">
      <c r="C1303" t="s">
        <v>67</v>
      </c>
    </row>
    <row r="1304" spans="3:3" x14ac:dyDescent="0.35">
      <c r="C1304" t="s">
        <v>56</v>
      </c>
    </row>
    <row r="1305" spans="3:3" x14ac:dyDescent="0.35">
      <c r="C1305" t="s">
        <v>50</v>
      </c>
    </row>
    <row r="1306" spans="3:3" x14ac:dyDescent="0.35">
      <c r="C1306" t="s">
        <v>56</v>
      </c>
    </row>
    <row r="1307" spans="3:3" x14ac:dyDescent="0.35">
      <c r="C1307" t="s">
        <v>67</v>
      </c>
    </row>
    <row r="1308" spans="3:3" x14ac:dyDescent="0.35">
      <c r="C1308" t="s">
        <v>146</v>
      </c>
    </row>
    <row r="1309" spans="3:3" x14ac:dyDescent="0.35">
      <c r="C1309" t="s">
        <v>34</v>
      </c>
    </row>
    <row r="1310" spans="3:3" x14ac:dyDescent="0.35">
      <c r="C1310" t="s">
        <v>56</v>
      </c>
    </row>
    <row r="1311" spans="3:3" x14ac:dyDescent="0.35">
      <c r="C1311" t="s">
        <v>43</v>
      </c>
    </row>
    <row r="1312" spans="3:3" x14ac:dyDescent="0.35">
      <c r="C1312" t="s">
        <v>56</v>
      </c>
    </row>
    <row r="1313" spans="3:3" x14ac:dyDescent="0.35">
      <c r="C1313" t="s">
        <v>43</v>
      </c>
    </row>
    <row r="1314" spans="3:3" x14ac:dyDescent="0.35">
      <c r="C1314" t="s">
        <v>43</v>
      </c>
    </row>
    <row r="1315" spans="3:3" x14ac:dyDescent="0.35">
      <c r="C1315" t="s">
        <v>34</v>
      </c>
    </row>
    <row r="1316" spans="3:3" x14ac:dyDescent="0.35">
      <c r="C1316" t="s">
        <v>43</v>
      </c>
    </row>
    <row r="1317" spans="3:3" x14ac:dyDescent="0.35">
      <c r="C1317" t="s">
        <v>56</v>
      </c>
    </row>
    <row r="1318" spans="3:3" x14ac:dyDescent="0.35">
      <c r="C1318" t="s">
        <v>67</v>
      </c>
    </row>
    <row r="1319" spans="3:3" x14ac:dyDescent="0.35">
      <c r="C1319" t="s">
        <v>67</v>
      </c>
    </row>
    <row r="1320" spans="3:3" x14ac:dyDescent="0.35">
      <c r="C1320" t="s">
        <v>43</v>
      </c>
    </row>
    <row r="1321" spans="3:3" x14ac:dyDescent="0.35">
      <c r="C1321" t="s">
        <v>67</v>
      </c>
    </row>
    <row r="1322" spans="3:3" x14ac:dyDescent="0.35">
      <c r="C1322" t="s">
        <v>43</v>
      </c>
    </row>
    <row r="1323" spans="3:3" x14ac:dyDescent="0.35">
      <c r="C1323" t="s">
        <v>67</v>
      </c>
    </row>
    <row r="1324" spans="3:3" x14ac:dyDescent="0.35">
      <c r="C1324" t="s">
        <v>43</v>
      </c>
    </row>
    <row r="1325" spans="3:3" x14ac:dyDescent="0.35">
      <c r="C1325" t="s">
        <v>67</v>
      </c>
    </row>
    <row r="1326" spans="3:3" x14ac:dyDescent="0.35">
      <c r="C1326" t="s">
        <v>43</v>
      </c>
    </row>
    <row r="1327" spans="3:3" x14ac:dyDescent="0.35">
      <c r="C1327" t="s">
        <v>43</v>
      </c>
    </row>
    <row r="1328" spans="3:3" x14ac:dyDescent="0.35">
      <c r="C1328" t="s">
        <v>34</v>
      </c>
    </row>
    <row r="1329" spans="3:3" x14ac:dyDescent="0.35">
      <c r="C1329" t="s">
        <v>67</v>
      </c>
    </row>
    <row r="1330" spans="3:3" x14ac:dyDescent="0.35">
      <c r="C1330" t="s">
        <v>67</v>
      </c>
    </row>
    <row r="1331" spans="3:3" x14ac:dyDescent="0.35">
      <c r="C1331" t="s">
        <v>50</v>
      </c>
    </row>
    <row r="1332" spans="3:3" x14ac:dyDescent="0.35">
      <c r="C1332" t="s">
        <v>56</v>
      </c>
    </row>
    <row r="1333" spans="3:3" x14ac:dyDescent="0.35">
      <c r="C1333" t="s">
        <v>67</v>
      </c>
    </row>
    <row r="1334" spans="3:3" x14ac:dyDescent="0.35">
      <c r="C1334" t="s">
        <v>146</v>
      </c>
    </row>
    <row r="1335" spans="3:3" x14ac:dyDescent="0.35">
      <c r="C1335" t="s">
        <v>67</v>
      </c>
    </row>
    <row r="1336" spans="3:3" x14ac:dyDescent="0.35">
      <c r="C1336" t="s">
        <v>34</v>
      </c>
    </row>
    <row r="1337" spans="3:3" x14ac:dyDescent="0.35">
      <c r="C1337" t="s">
        <v>34</v>
      </c>
    </row>
    <row r="1338" spans="3:3" x14ac:dyDescent="0.35">
      <c r="C1338" t="s">
        <v>56</v>
      </c>
    </row>
    <row r="1339" spans="3:3" x14ac:dyDescent="0.35">
      <c r="C1339" t="s">
        <v>34</v>
      </c>
    </row>
    <row r="1340" spans="3:3" x14ac:dyDescent="0.35">
      <c r="C1340" t="s">
        <v>43</v>
      </c>
    </row>
    <row r="1341" spans="3:3" x14ac:dyDescent="0.35">
      <c r="C1341" t="s">
        <v>34</v>
      </c>
    </row>
    <row r="1342" spans="3:3" x14ac:dyDescent="0.35">
      <c r="C1342" t="s">
        <v>50</v>
      </c>
    </row>
    <row r="1343" spans="3:3" x14ac:dyDescent="0.35">
      <c r="C1343" t="s">
        <v>67</v>
      </c>
    </row>
    <row r="1344" spans="3:3" x14ac:dyDescent="0.35">
      <c r="C1344" t="s">
        <v>34</v>
      </c>
    </row>
    <row r="1345" spans="3:3" x14ac:dyDescent="0.35">
      <c r="C1345" t="s">
        <v>67</v>
      </c>
    </row>
    <row r="1346" spans="3:3" x14ac:dyDescent="0.35">
      <c r="C1346" t="s">
        <v>43</v>
      </c>
    </row>
    <row r="1347" spans="3:3" x14ac:dyDescent="0.35">
      <c r="C1347" t="s">
        <v>26</v>
      </c>
    </row>
    <row r="1348" spans="3:3" x14ac:dyDescent="0.35">
      <c r="C1348" t="s">
        <v>43</v>
      </c>
    </row>
    <row r="1349" spans="3:3" x14ac:dyDescent="0.35">
      <c r="C1349" t="s">
        <v>56</v>
      </c>
    </row>
    <row r="1350" spans="3:3" x14ac:dyDescent="0.35">
      <c r="C1350" t="s">
        <v>34</v>
      </c>
    </row>
    <row r="1351" spans="3:3" x14ac:dyDescent="0.35">
      <c r="C1351" t="s">
        <v>43</v>
      </c>
    </row>
    <row r="1352" spans="3:3" x14ac:dyDescent="0.35">
      <c r="C1352" t="s">
        <v>43</v>
      </c>
    </row>
    <row r="1353" spans="3:3" x14ac:dyDescent="0.35">
      <c r="C1353" t="s">
        <v>43</v>
      </c>
    </row>
    <row r="1354" spans="3:3" x14ac:dyDescent="0.35">
      <c r="C1354" t="s">
        <v>56</v>
      </c>
    </row>
    <row r="1355" spans="3:3" x14ac:dyDescent="0.35">
      <c r="C1355" t="s">
        <v>56</v>
      </c>
    </row>
    <row r="1356" spans="3:3" x14ac:dyDescent="0.35">
      <c r="C1356" t="s">
        <v>67</v>
      </c>
    </row>
    <row r="1357" spans="3:3" x14ac:dyDescent="0.35">
      <c r="C1357" t="s">
        <v>26</v>
      </c>
    </row>
    <row r="1358" spans="3:3" x14ac:dyDescent="0.35">
      <c r="C1358" t="s">
        <v>43</v>
      </c>
    </row>
    <row r="1359" spans="3:3" x14ac:dyDescent="0.35">
      <c r="C1359" t="s">
        <v>26</v>
      </c>
    </row>
    <row r="1360" spans="3:3" x14ac:dyDescent="0.35">
      <c r="C1360" t="s">
        <v>56</v>
      </c>
    </row>
    <row r="1361" spans="3:3" x14ac:dyDescent="0.35">
      <c r="C1361" t="s">
        <v>67</v>
      </c>
    </row>
    <row r="1362" spans="3:3" x14ac:dyDescent="0.35">
      <c r="C1362" t="s">
        <v>56</v>
      </c>
    </row>
    <row r="1363" spans="3:3" x14ac:dyDescent="0.35">
      <c r="C1363" t="s">
        <v>43</v>
      </c>
    </row>
    <row r="1364" spans="3:3" x14ac:dyDescent="0.35">
      <c r="C1364" t="s">
        <v>67</v>
      </c>
    </row>
    <row r="1365" spans="3:3" x14ac:dyDescent="0.35">
      <c r="C1365" t="s">
        <v>26</v>
      </c>
    </row>
    <row r="1366" spans="3:3" x14ac:dyDescent="0.35">
      <c r="C1366" t="s">
        <v>43</v>
      </c>
    </row>
    <row r="1367" spans="3:3" x14ac:dyDescent="0.35">
      <c r="C1367" t="s">
        <v>34</v>
      </c>
    </row>
    <row r="1368" spans="3:3" x14ac:dyDescent="0.35">
      <c r="C1368" t="s">
        <v>43</v>
      </c>
    </row>
    <row r="1369" spans="3:3" x14ac:dyDescent="0.35">
      <c r="C1369" t="s">
        <v>43</v>
      </c>
    </row>
    <row r="1370" spans="3:3" x14ac:dyDescent="0.35">
      <c r="C1370" t="s">
        <v>50</v>
      </c>
    </row>
    <row r="1371" spans="3:3" x14ac:dyDescent="0.35">
      <c r="C1371" t="s">
        <v>67</v>
      </c>
    </row>
    <row r="1372" spans="3:3" x14ac:dyDescent="0.35">
      <c r="C1372" t="s">
        <v>56</v>
      </c>
    </row>
    <row r="1373" spans="3:3" x14ac:dyDescent="0.35">
      <c r="C1373" t="s">
        <v>43</v>
      </c>
    </row>
    <row r="1374" spans="3:3" x14ac:dyDescent="0.35">
      <c r="C1374" t="s">
        <v>50</v>
      </c>
    </row>
    <row r="1375" spans="3:3" x14ac:dyDescent="0.35">
      <c r="C1375" t="s">
        <v>67</v>
      </c>
    </row>
    <row r="1376" spans="3:3" x14ac:dyDescent="0.35">
      <c r="C1376" t="s">
        <v>56</v>
      </c>
    </row>
    <row r="1377" spans="3:3" x14ac:dyDescent="0.35">
      <c r="C1377" t="s">
        <v>43</v>
      </c>
    </row>
    <row r="1378" spans="3:3" x14ac:dyDescent="0.35">
      <c r="C1378" t="s">
        <v>43</v>
      </c>
    </row>
    <row r="1379" spans="3:3" x14ac:dyDescent="0.35">
      <c r="C1379" t="s">
        <v>26</v>
      </c>
    </row>
    <row r="1380" spans="3:3" x14ac:dyDescent="0.35">
      <c r="C1380" t="s">
        <v>34</v>
      </c>
    </row>
    <row r="1381" spans="3:3" x14ac:dyDescent="0.35">
      <c r="C1381" t="s">
        <v>67</v>
      </c>
    </row>
    <row r="1382" spans="3:3" x14ac:dyDescent="0.35">
      <c r="C1382" t="s">
        <v>26</v>
      </c>
    </row>
    <row r="1383" spans="3:3" x14ac:dyDescent="0.35">
      <c r="C1383" t="s">
        <v>50</v>
      </c>
    </row>
    <row r="1384" spans="3:3" x14ac:dyDescent="0.35">
      <c r="C1384" t="s">
        <v>26</v>
      </c>
    </row>
    <row r="1385" spans="3:3" x14ac:dyDescent="0.35">
      <c r="C1385" t="s">
        <v>50</v>
      </c>
    </row>
    <row r="1386" spans="3:3" x14ac:dyDescent="0.35">
      <c r="C1386" t="s">
        <v>34</v>
      </c>
    </row>
    <row r="1387" spans="3:3" x14ac:dyDescent="0.35">
      <c r="C1387" t="s">
        <v>67</v>
      </c>
    </row>
    <row r="1388" spans="3:3" x14ac:dyDescent="0.35">
      <c r="C1388" t="s">
        <v>67</v>
      </c>
    </row>
    <row r="1389" spans="3:3" x14ac:dyDescent="0.35">
      <c r="C1389" t="s">
        <v>67</v>
      </c>
    </row>
    <row r="1390" spans="3:3" x14ac:dyDescent="0.35">
      <c r="C1390" t="s">
        <v>26</v>
      </c>
    </row>
    <row r="1391" spans="3:3" x14ac:dyDescent="0.35">
      <c r="C1391" t="s">
        <v>67</v>
      </c>
    </row>
    <row r="1392" spans="3:3" x14ac:dyDescent="0.35">
      <c r="C1392" t="s">
        <v>43</v>
      </c>
    </row>
    <row r="1393" spans="3:3" x14ac:dyDescent="0.35">
      <c r="C1393" t="s">
        <v>43</v>
      </c>
    </row>
    <row r="1394" spans="3:3" x14ac:dyDescent="0.35">
      <c r="C1394" t="s">
        <v>34</v>
      </c>
    </row>
    <row r="1395" spans="3:3" x14ac:dyDescent="0.35">
      <c r="C1395" t="s">
        <v>34</v>
      </c>
    </row>
    <row r="1396" spans="3:3" x14ac:dyDescent="0.35">
      <c r="C1396" t="s">
        <v>56</v>
      </c>
    </row>
    <row r="1397" spans="3:3" x14ac:dyDescent="0.35">
      <c r="C1397" t="s">
        <v>56</v>
      </c>
    </row>
    <row r="1398" spans="3:3" x14ac:dyDescent="0.35">
      <c r="C1398" t="s">
        <v>43</v>
      </c>
    </row>
    <row r="1399" spans="3:3" x14ac:dyDescent="0.35">
      <c r="C1399" t="s">
        <v>67</v>
      </c>
    </row>
    <row r="1400" spans="3:3" x14ac:dyDescent="0.35">
      <c r="C1400" t="s">
        <v>56</v>
      </c>
    </row>
    <row r="1401" spans="3:3" x14ac:dyDescent="0.35">
      <c r="C1401" t="s">
        <v>50</v>
      </c>
    </row>
    <row r="1402" spans="3:3" x14ac:dyDescent="0.35">
      <c r="C1402" t="s">
        <v>43</v>
      </c>
    </row>
    <row r="1403" spans="3:3" x14ac:dyDescent="0.35">
      <c r="C1403" t="s">
        <v>67</v>
      </c>
    </row>
    <row r="1404" spans="3:3" x14ac:dyDescent="0.35">
      <c r="C1404" t="s">
        <v>50</v>
      </c>
    </row>
    <row r="1405" spans="3:3" x14ac:dyDescent="0.35">
      <c r="C1405" t="s">
        <v>67</v>
      </c>
    </row>
    <row r="1406" spans="3:3" x14ac:dyDescent="0.35">
      <c r="C1406" t="s">
        <v>67</v>
      </c>
    </row>
    <row r="1407" spans="3:3" x14ac:dyDescent="0.35">
      <c r="C1407" t="s">
        <v>43</v>
      </c>
    </row>
    <row r="1408" spans="3:3" x14ac:dyDescent="0.35">
      <c r="C1408" t="s">
        <v>26</v>
      </c>
    </row>
    <row r="1409" spans="3:3" x14ac:dyDescent="0.35">
      <c r="C1409" t="s">
        <v>50</v>
      </c>
    </row>
    <row r="1410" spans="3:3" x14ac:dyDescent="0.35">
      <c r="C1410" t="s">
        <v>26</v>
      </c>
    </row>
    <row r="1411" spans="3:3" x14ac:dyDescent="0.35">
      <c r="C1411" t="s">
        <v>50</v>
      </c>
    </row>
    <row r="1412" spans="3:3" x14ac:dyDescent="0.35">
      <c r="C1412" t="s">
        <v>67</v>
      </c>
    </row>
    <row r="1413" spans="3:3" x14ac:dyDescent="0.35">
      <c r="C1413" t="s">
        <v>56</v>
      </c>
    </row>
    <row r="1414" spans="3:3" x14ac:dyDescent="0.35">
      <c r="C1414" t="s">
        <v>34</v>
      </c>
    </row>
    <row r="1415" spans="3:3" x14ac:dyDescent="0.35">
      <c r="C1415" t="s">
        <v>43</v>
      </c>
    </row>
    <row r="1416" spans="3:3" x14ac:dyDescent="0.35">
      <c r="C1416" t="s">
        <v>50</v>
      </c>
    </row>
    <row r="1417" spans="3:3" x14ac:dyDescent="0.35">
      <c r="C1417" t="s">
        <v>34</v>
      </c>
    </row>
    <row r="1418" spans="3:3" x14ac:dyDescent="0.35">
      <c r="C1418" t="s">
        <v>43</v>
      </c>
    </row>
    <row r="1419" spans="3:3" x14ac:dyDescent="0.35">
      <c r="C1419" t="s">
        <v>26</v>
      </c>
    </row>
    <row r="1420" spans="3:3" x14ac:dyDescent="0.35">
      <c r="C1420" t="s">
        <v>146</v>
      </c>
    </row>
    <row r="1421" spans="3:3" x14ac:dyDescent="0.35">
      <c r="C1421" t="s">
        <v>67</v>
      </c>
    </row>
    <row r="1422" spans="3:3" x14ac:dyDescent="0.35">
      <c r="C1422" t="s">
        <v>43</v>
      </c>
    </row>
    <row r="1423" spans="3:3" x14ac:dyDescent="0.35">
      <c r="C1423" t="s">
        <v>43</v>
      </c>
    </row>
    <row r="1424" spans="3:3" x14ac:dyDescent="0.35">
      <c r="C1424" t="s">
        <v>67</v>
      </c>
    </row>
    <row r="1425" spans="3:3" x14ac:dyDescent="0.35">
      <c r="C1425" t="s">
        <v>67</v>
      </c>
    </row>
    <row r="1426" spans="3:3" x14ac:dyDescent="0.35">
      <c r="C1426" t="s">
        <v>34</v>
      </c>
    </row>
    <row r="1427" spans="3:3" x14ac:dyDescent="0.35">
      <c r="C1427" t="s">
        <v>67</v>
      </c>
    </row>
    <row r="1428" spans="3:3" x14ac:dyDescent="0.35">
      <c r="C1428" t="s">
        <v>43</v>
      </c>
    </row>
    <row r="1429" spans="3:3" x14ac:dyDescent="0.35">
      <c r="C1429" t="s">
        <v>34</v>
      </c>
    </row>
    <row r="1430" spans="3:3" x14ac:dyDescent="0.35">
      <c r="C1430" t="s">
        <v>43</v>
      </c>
    </row>
    <row r="1431" spans="3:3" x14ac:dyDescent="0.35">
      <c r="C1431" t="s">
        <v>56</v>
      </c>
    </row>
    <row r="1432" spans="3:3" x14ac:dyDescent="0.35">
      <c r="C1432" t="s">
        <v>67</v>
      </c>
    </row>
    <row r="1433" spans="3:3" x14ac:dyDescent="0.35">
      <c r="C1433" t="s">
        <v>26</v>
      </c>
    </row>
    <row r="1434" spans="3:3" x14ac:dyDescent="0.35">
      <c r="C1434" t="s">
        <v>34</v>
      </c>
    </row>
    <row r="1435" spans="3:3" x14ac:dyDescent="0.35">
      <c r="C1435" t="s">
        <v>34</v>
      </c>
    </row>
    <row r="1436" spans="3:3" x14ac:dyDescent="0.35">
      <c r="C1436" t="s">
        <v>43</v>
      </c>
    </row>
    <row r="1437" spans="3:3" x14ac:dyDescent="0.35">
      <c r="C1437" t="s">
        <v>146</v>
      </c>
    </row>
    <row r="1438" spans="3:3" x14ac:dyDescent="0.35">
      <c r="C1438" t="s">
        <v>50</v>
      </c>
    </row>
    <row r="1439" spans="3:3" x14ac:dyDescent="0.35">
      <c r="C1439" t="s">
        <v>43</v>
      </c>
    </row>
    <row r="1440" spans="3:3" x14ac:dyDescent="0.35">
      <c r="C1440" t="s">
        <v>26</v>
      </c>
    </row>
    <row r="1441" spans="3:3" x14ac:dyDescent="0.35">
      <c r="C1441" t="s">
        <v>67</v>
      </c>
    </row>
    <row r="1442" spans="3:3" x14ac:dyDescent="0.35">
      <c r="C1442" t="s">
        <v>56</v>
      </c>
    </row>
    <row r="1443" spans="3:3" x14ac:dyDescent="0.35">
      <c r="C1443" t="s">
        <v>67</v>
      </c>
    </row>
    <row r="1444" spans="3:3" x14ac:dyDescent="0.35">
      <c r="C1444" t="s">
        <v>43</v>
      </c>
    </row>
    <row r="1445" spans="3:3" x14ac:dyDescent="0.35">
      <c r="C1445" t="s">
        <v>67</v>
      </c>
    </row>
    <row r="1446" spans="3:3" x14ac:dyDescent="0.35">
      <c r="C1446" t="s">
        <v>43</v>
      </c>
    </row>
    <row r="1447" spans="3:3" x14ac:dyDescent="0.35">
      <c r="C1447" t="s">
        <v>43</v>
      </c>
    </row>
    <row r="1448" spans="3:3" x14ac:dyDescent="0.35">
      <c r="C1448" t="s">
        <v>43</v>
      </c>
    </row>
    <row r="1449" spans="3:3" x14ac:dyDescent="0.35">
      <c r="C1449" t="s">
        <v>43</v>
      </c>
    </row>
    <row r="1450" spans="3:3" x14ac:dyDescent="0.35">
      <c r="C1450" t="s">
        <v>43</v>
      </c>
    </row>
    <row r="1451" spans="3:3" x14ac:dyDescent="0.35">
      <c r="C1451" t="s">
        <v>26</v>
      </c>
    </row>
    <row r="1452" spans="3:3" x14ac:dyDescent="0.35">
      <c r="C1452" t="s">
        <v>56</v>
      </c>
    </row>
    <row r="1453" spans="3:3" x14ac:dyDescent="0.35">
      <c r="C1453" t="s">
        <v>50</v>
      </c>
    </row>
    <row r="1454" spans="3:3" x14ac:dyDescent="0.35">
      <c r="C1454" t="s">
        <v>67</v>
      </c>
    </row>
    <row r="1455" spans="3:3" x14ac:dyDescent="0.35">
      <c r="C1455" t="s">
        <v>50</v>
      </c>
    </row>
    <row r="1456" spans="3:3" x14ac:dyDescent="0.35">
      <c r="C1456" t="s">
        <v>56</v>
      </c>
    </row>
    <row r="1457" spans="3:3" x14ac:dyDescent="0.35">
      <c r="C1457" t="s">
        <v>34</v>
      </c>
    </row>
    <row r="1458" spans="3:3" x14ac:dyDescent="0.35">
      <c r="C1458" t="s">
        <v>67</v>
      </c>
    </row>
    <row r="1459" spans="3:3" x14ac:dyDescent="0.35">
      <c r="C1459" t="s">
        <v>56</v>
      </c>
    </row>
    <row r="1460" spans="3:3" x14ac:dyDescent="0.35">
      <c r="C1460" t="s">
        <v>67</v>
      </c>
    </row>
    <row r="1461" spans="3:3" x14ac:dyDescent="0.35">
      <c r="C1461" t="s">
        <v>43</v>
      </c>
    </row>
    <row r="1462" spans="3:3" x14ac:dyDescent="0.35">
      <c r="C1462" t="s">
        <v>146</v>
      </c>
    </row>
    <row r="1463" spans="3:3" x14ac:dyDescent="0.35">
      <c r="C1463" t="s">
        <v>50</v>
      </c>
    </row>
    <row r="1464" spans="3:3" x14ac:dyDescent="0.35">
      <c r="C1464" t="s">
        <v>56</v>
      </c>
    </row>
    <row r="1465" spans="3:3" x14ac:dyDescent="0.35">
      <c r="C1465" t="s">
        <v>67</v>
      </c>
    </row>
    <row r="1466" spans="3:3" x14ac:dyDescent="0.35">
      <c r="C1466" t="s">
        <v>67</v>
      </c>
    </row>
    <row r="1467" spans="3:3" x14ac:dyDescent="0.35">
      <c r="C1467" t="s">
        <v>34</v>
      </c>
    </row>
    <row r="1468" spans="3:3" x14ac:dyDescent="0.35">
      <c r="C1468" t="s">
        <v>43</v>
      </c>
    </row>
    <row r="1469" spans="3:3" x14ac:dyDescent="0.35">
      <c r="C1469" t="s">
        <v>34</v>
      </c>
    </row>
    <row r="1470" spans="3:3" x14ac:dyDescent="0.35">
      <c r="C1470" t="s">
        <v>67</v>
      </c>
    </row>
    <row r="1471" spans="3:3" x14ac:dyDescent="0.35">
      <c r="C1471" t="s">
        <v>43</v>
      </c>
    </row>
    <row r="1472" spans="3:3" x14ac:dyDescent="0.35">
      <c r="C1472" t="s">
        <v>67</v>
      </c>
    </row>
    <row r="1473" spans="3:3" x14ac:dyDescent="0.35">
      <c r="C1473" t="s">
        <v>43</v>
      </c>
    </row>
    <row r="1474" spans="3:3" x14ac:dyDescent="0.35">
      <c r="C1474" t="s">
        <v>43</v>
      </c>
    </row>
    <row r="1475" spans="3:3" x14ac:dyDescent="0.35">
      <c r="C1475" t="s">
        <v>34</v>
      </c>
    </row>
    <row r="1476" spans="3:3" x14ac:dyDescent="0.35">
      <c r="C1476" t="s">
        <v>43</v>
      </c>
    </row>
    <row r="1477" spans="3:3" x14ac:dyDescent="0.35">
      <c r="C1477" t="s">
        <v>146</v>
      </c>
    </row>
    <row r="1478" spans="3:3" x14ac:dyDescent="0.35">
      <c r="C1478" t="s">
        <v>56</v>
      </c>
    </row>
    <row r="1479" spans="3:3" x14ac:dyDescent="0.35">
      <c r="C1479" t="s">
        <v>43</v>
      </c>
    </row>
    <row r="1480" spans="3:3" x14ac:dyDescent="0.35">
      <c r="C1480" t="s">
        <v>67</v>
      </c>
    </row>
    <row r="1481" spans="3:3" x14ac:dyDescent="0.35">
      <c r="C1481" t="s">
        <v>43</v>
      </c>
    </row>
    <row r="1482" spans="3:3" x14ac:dyDescent="0.35">
      <c r="C1482" t="s">
        <v>67</v>
      </c>
    </row>
    <row r="1483" spans="3:3" x14ac:dyDescent="0.35">
      <c r="C1483" t="s">
        <v>67</v>
      </c>
    </row>
    <row r="1484" spans="3:3" x14ac:dyDescent="0.35">
      <c r="C1484" t="s">
        <v>67</v>
      </c>
    </row>
    <row r="1485" spans="3:3" x14ac:dyDescent="0.35">
      <c r="C1485" t="s">
        <v>26</v>
      </c>
    </row>
    <row r="1486" spans="3:3" x14ac:dyDescent="0.35">
      <c r="C1486" t="s">
        <v>43</v>
      </c>
    </row>
    <row r="1487" spans="3:3" x14ac:dyDescent="0.35">
      <c r="C1487" t="s">
        <v>56</v>
      </c>
    </row>
    <row r="1488" spans="3:3" x14ac:dyDescent="0.35">
      <c r="C1488" t="s">
        <v>56</v>
      </c>
    </row>
    <row r="1489" spans="3:3" x14ac:dyDescent="0.35">
      <c r="C1489" t="s">
        <v>43</v>
      </c>
    </row>
    <row r="1490" spans="3:3" x14ac:dyDescent="0.35">
      <c r="C1490" t="s">
        <v>56</v>
      </c>
    </row>
    <row r="1491" spans="3:3" x14ac:dyDescent="0.35">
      <c r="C1491" t="s">
        <v>56</v>
      </c>
    </row>
    <row r="1492" spans="3:3" x14ac:dyDescent="0.35">
      <c r="C1492" t="s">
        <v>34</v>
      </c>
    </row>
    <row r="1493" spans="3:3" x14ac:dyDescent="0.35">
      <c r="C1493" t="s">
        <v>67</v>
      </c>
    </row>
    <row r="1494" spans="3:3" x14ac:dyDescent="0.35">
      <c r="C1494" t="s">
        <v>43</v>
      </c>
    </row>
    <row r="1495" spans="3:3" x14ac:dyDescent="0.35">
      <c r="C1495" t="s">
        <v>56</v>
      </c>
    </row>
    <row r="1496" spans="3:3" x14ac:dyDescent="0.35">
      <c r="C1496" t="s">
        <v>67</v>
      </c>
    </row>
    <row r="1497" spans="3:3" x14ac:dyDescent="0.35">
      <c r="C1497" t="s">
        <v>67</v>
      </c>
    </row>
    <row r="1498" spans="3:3" x14ac:dyDescent="0.35">
      <c r="C1498" t="s">
        <v>43</v>
      </c>
    </row>
    <row r="1499" spans="3:3" x14ac:dyDescent="0.35">
      <c r="C1499" t="s">
        <v>50</v>
      </c>
    </row>
    <row r="1500" spans="3:3" x14ac:dyDescent="0.35">
      <c r="C1500" t="s">
        <v>67</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E7400-B0F2-4696-A9DB-C3F8F0EDC69F}">
  <sheetPr codeName="Sheet4"/>
  <dimension ref="A1:L31"/>
  <sheetViews>
    <sheetView zoomScale="81" workbookViewId="0">
      <selection activeCell="G31" sqref="G31"/>
    </sheetView>
  </sheetViews>
  <sheetFormatPr defaultRowHeight="14.5" x14ac:dyDescent="0.35"/>
  <cols>
    <col min="1" max="1" width="13.08984375" bestFit="1" customWidth="1"/>
    <col min="2" max="2" width="20.6328125" bestFit="1" customWidth="1"/>
    <col min="5" max="5" width="13.1796875" bestFit="1" customWidth="1"/>
    <col min="6" max="6" width="20.36328125" bestFit="1" customWidth="1"/>
    <col min="7" max="7" width="22.6328125" bestFit="1" customWidth="1"/>
    <col min="8" max="8" width="4.81640625" bestFit="1" customWidth="1"/>
    <col min="9" max="9" width="10.7265625" bestFit="1" customWidth="1"/>
    <col min="10" max="10" width="4.54296875" bestFit="1" customWidth="1"/>
    <col min="11" max="11" width="4.81640625" bestFit="1" customWidth="1"/>
    <col min="12" max="12" width="4.08984375" bestFit="1" customWidth="1"/>
    <col min="13" max="13" width="6.6328125" bestFit="1" customWidth="1"/>
    <col min="14" max="14" width="10.08984375" bestFit="1" customWidth="1"/>
    <col min="15" max="15" width="7.7265625" bestFit="1" customWidth="1"/>
    <col min="16" max="16" width="9.6328125" bestFit="1" customWidth="1"/>
    <col min="17" max="17" width="9.54296875" bestFit="1" customWidth="1"/>
    <col min="18" max="18" width="10.7265625" bestFit="1" customWidth="1"/>
    <col min="19" max="25" width="3.81640625" bestFit="1" customWidth="1"/>
    <col min="26" max="26" width="1.81640625" bestFit="1" customWidth="1"/>
    <col min="27" max="27" width="3.90625" bestFit="1" customWidth="1"/>
    <col min="28" max="28" width="10.7265625" bestFit="1" customWidth="1"/>
    <col min="29" max="29" width="11.81640625" bestFit="1" customWidth="1"/>
    <col min="30" max="30" width="14.81640625" bestFit="1" customWidth="1"/>
    <col min="31" max="31" width="12.08984375" bestFit="1" customWidth="1"/>
    <col min="32" max="32" width="15.08984375" bestFit="1" customWidth="1"/>
    <col min="33" max="33" width="16.36328125" bestFit="1" customWidth="1"/>
    <col min="34" max="34" width="19.36328125" bestFit="1" customWidth="1"/>
    <col min="35" max="35" width="10.7265625" bestFit="1" customWidth="1"/>
  </cols>
  <sheetData>
    <row r="1" spans="1:12" ht="26" x14ac:dyDescent="0.6">
      <c r="A1" s="11" t="s">
        <v>3250</v>
      </c>
      <c r="B1" s="11"/>
      <c r="C1" s="11"/>
      <c r="D1" s="11"/>
      <c r="E1" s="11"/>
      <c r="F1" s="11"/>
      <c r="G1" s="11"/>
      <c r="H1" s="11"/>
      <c r="I1" s="11"/>
    </row>
    <row r="3" spans="1:12" x14ac:dyDescent="0.35">
      <c r="A3" s="7" t="s">
        <v>4</v>
      </c>
      <c r="B3" t="s">
        <v>41</v>
      </c>
    </row>
    <row r="4" spans="1:12" x14ac:dyDescent="0.35">
      <c r="E4" s="7" t="s">
        <v>3251</v>
      </c>
      <c r="F4" s="7" t="s">
        <v>3253</v>
      </c>
    </row>
    <row r="5" spans="1:12" x14ac:dyDescent="0.35">
      <c r="A5" s="7" t="s">
        <v>3247</v>
      </c>
      <c r="B5" t="s">
        <v>3249</v>
      </c>
      <c r="E5" s="7" t="s">
        <v>3252</v>
      </c>
      <c r="F5" t="s">
        <v>150</v>
      </c>
      <c r="G5" t="s">
        <v>22</v>
      </c>
      <c r="H5" t="s">
        <v>154</v>
      </c>
      <c r="I5" t="s">
        <v>3248</v>
      </c>
    </row>
    <row r="6" spans="1:12" x14ac:dyDescent="0.35">
      <c r="A6" s="8" t="s">
        <v>59</v>
      </c>
      <c r="B6" s="21">
        <v>81</v>
      </c>
      <c r="E6" s="8" t="s">
        <v>56</v>
      </c>
      <c r="F6" s="21">
        <v>2</v>
      </c>
      <c r="G6" s="21">
        <v>2</v>
      </c>
      <c r="H6" s="21">
        <v>6</v>
      </c>
      <c r="I6" s="21">
        <v>10</v>
      </c>
    </row>
    <row r="7" spans="1:12" x14ac:dyDescent="0.35">
      <c r="A7" s="8" t="s">
        <v>22</v>
      </c>
      <c r="B7" s="21">
        <v>84</v>
      </c>
      <c r="E7" s="8" t="s">
        <v>26</v>
      </c>
      <c r="F7" s="21">
        <v>1</v>
      </c>
      <c r="G7" s="21">
        <v>2</v>
      </c>
      <c r="H7" s="21"/>
      <c r="I7" s="21">
        <v>3</v>
      </c>
    </row>
    <row r="8" spans="1:12" x14ac:dyDescent="0.35">
      <c r="A8" s="8" t="s">
        <v>3248</v>
      </c>
      <c r="B8" s="21">
        <v>165</v>
      </c>
      <c r="E8" s="8" t="s">
        <v>3248</v>
      </c>
      <c r="F8" s="21">
        <v>3</v>
      </c>
      <c r="G8" s="21">
        <v>4</v>
      </c>
      <c r="H8" s="21">
        <v>6</v>
      </c>
      <c r="I8" s="21">
        <v>13</v>
      </c>
    </row>
    <row r="14" spans="1:12" x14ac:dyDescent="0.35">
      <c r="E14" s="7" t="s">
        <v>3247</v>
      </c>
      <c r="F14" t="s">
        <v>3254</v>
      </c>
      <c r="G14" t="s">
        <v>3255</v>
      </c>
      <c r="J14" s="12"/>
      <c r="K14" s="13"/>
      <c r="L14" s="14"/>
    </row>
    <row r="15" spans="1:12" x14ac:dyDescent="0.35">
      <c r="E15" s="8" t="s">
        <v>150</v>
      </c>
      <c r="F15" s="21">
        <v>118</v>
      </c>
      <c r="G15" s="21">
        <v>4.1112903225806443</v>
      </c>
      <c r="J15" s="15"/>
      <c r="K15" s="16"/>
      <c r="L15" s="17"/>
    </row>
    <row r="16" spans="1:12" x14ac:dyDescent="0.35">
      <c r="E16" s="8" t="s">
        <v>59</v>
      </c>
      <c r="F16" s="21">
        <v>125</v>
      </c>
      <c r="G16" s="21">
        <v>4.1456790123456777</v>
      </c>
      <c r="J16" s="15"/>
      <c r="K16" s="16"/>
      <c r="L16" s="17"/>
    </row>
    <row r="17" spans="5:12" x14ac:dyDescent="0.35">
      <c r="E17" s="8" t="s">
        <v>154</v>
      </c>
      <c r="F17" s="21">
        <v>113</v>
      </c>
      <c r="G17" s="21">
        <v>4.1730769230769225</v>
      </c>
      <c r="J17" s="15"/>
      <c r="K17" s="16"/>
      <c r="L17" s="17"/>
    </row>
    <row r="18" spans="5:12" x14ac:dyDescent="0.35">
      <c r="E18" s="8" t="s">
        <v>122</v>
      </c>
      <c r="F18" s="21">
        <v>147</v>
      </c>
      <c r="G18" s="21">
        <v>4.2531249999999998</v>
      </c>
      <c r="J18" s="15"/>
      <c r="K18" s="16"/>
      <c r="L18" s="17"/>
    </row>
    <row r="19" spans="5:12" x14ac:dyDescent="0.35">
      <c r="E19" s="8" t="s">
        <v>64</v>
      </c>
      <c r="F19" s="21">
        <v>137</v>
      </c>
      <c r="G19" s="21">
        <v>4.1737864077669915</v>
      </c>
      <c r="J19" s="15"/>
      <c r="K19" s="16"/>
      <c r="L19" s="17"/>
    </row>
    <row r="20" spans="5:12" x14ac:dyDescent="0.35">
      <c r="E20" s="8" t="s">
        <v>3248</v>
      </c>
      <c r="F20" s="21">
        <v>640</v>
      </c>
      <c r="G20" s="21">
        <v>4.1771428571428562</v>
      </c>
      <c r="J20" s="15"/>
      <c r="K20" s="16"/>
      <c r="L20" s="17"/>
    </row>
    <row r="21" spans="5:12" x14ac:dyDescent="0.35">
      <c r="J21" s="15"/>
      <c r="K21" s="16"/>
      <c r="L21" s="17"/>
    </row>
    <row r="22" spans="5:12" x14ac:dyDescent="0.35">
      <c r="J22" s="15"/>
      <c r="K22" s="16"/>
      <c r="L22" s="17"/>
    </row>
    <row r="23" spans="5:12" x14ac:dyDescent="0.35">
      <c r="J23" s="15"/>
      <c r="K23" s="16"/>
      <c r="L23" s="17"/>
    </row>
    <row r="24" spans="5:12" x14ac:dyDescent="0.35">
      <c r="J24" s="15"/>
      <c r="K24" s="16"/>
      <c r="L24" s="17"/>
    </row>
    <row r="25" spans="5:12" x14ac:dyDescent="0.35">
      <c r="J25" s="15"/>
      <c r="K25" s="16"/>
      <c r="L25" s="17"/>
    </row>
    <row r="26" spans="5:12" x14ac:dyDescent="0.35">
      <c r="J26" s="15"/>
      <c r="K26" s="16"/>
      <c r="L26" s="17"/>
    </row>
    <row r="27" spans="5:12" x14ac:dyDescent="0.35">
      <c r="J27" s="15"/>
      <c r="K27" s="16"/>
      <c r="L27" s="17"/>
    </row>
    <row r="28" spans="5:12" x14ac:dyDescent="0.35">
      <c r="J28" s="15"/>
      <c r="K28" s="16"/>
      <c r="L28" s="17"/>
    </row>
    <row r="29" spans="5:12" x14ac:dyDescent="0.35">
      <c r="J29" s="15"/>
      <c r="K29" s="16"/>
      <c r="L29" s="17"/>
    </row>
    <row r="30" spans="5:12" x14ac:dyDescent="0.35">
      <c r="J30" s="15"/>
      <c r="K30" s="16"/>
      <c r="L30" s="17"/>
    </row>
    <row r="31" spans="5:12" x14ac:dyDescent="0.35">
      <c r="J31" s="18"/>
      <c r="K31" s="19"/>
      <c r="L31" s="20"/>
    </row>
  </sheetData>
  <mergeCells count="1">
    <mergeCell ref="A1:I1"/>
  </mergeCells>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D10EA-0160-45D7-8400-41AE169B2EFD}">
  <sheetPr codeName="Sheet6"/>
  <dimension ref="A1"/>
  <sheetViews>
    <sheetView workbookViewId="0"/>
  </sheetViews>
  <sheetFormatPr defaultRowHeight="14.5" x14ac:dyDescent="0.35"/>
  <sheetData>
    <row r="1" spans="1:1" x14ac:dyDescent="0.35">
      <c r="A1" s="3" t="s">
        <v>3237</v>
      </c>
    </row>
  </sheetData>
  <hyperlinks>
    <hyperlink ref="A1" r:id="rId1" xr:uid="{8D475E25-1E33-4EA6-BECA-3C44E063A392}"/>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6BD181-8059-4560-9275-C582210903DA}">
  <sheetPr codeName="Sheet8"/>
  <dimension ref="A1:B13"/>
  <sheetViews>
    <sheetView tabSelected="1" zoomScale="77" workbookViewId="0">
      <selection activeCell="C16" sqref="C16"/>
    </sheetView>
  </sheetViews>
  <sheetFormatPr defaultRowHeight="14.5" x14ac:dyDescent="0.35"/>
  <cols>
    <col min="1" max="1" width="13.453125" bestFit="1" customWidth="1"/>
    <col min="2" max="2" width="17.81640625" bestFit="1" customWidth="1"/>
  </cols>
  <sheetData>
    <row r="1" spans="1:2" x14ac:dyDescent="0.35">
      <c r="A1" s="9" t="s">
        <v>3257</v>
      </c>
      <c r="B1">
        <v>503381</v>
      </c>
    </row>
    <row r="2" spans="1:2" x14ac:dyDescent="0.35">
      <c r="A2" s="9"/>
    </row>
    <row r="3" spans="1:2" x14ac:dyDescent="0.35">
      <c r="A3" s="9"/>
    </row>
    <row r="5" spans="1:2" x14ac:dyDescent="0.35">
      <c r="A5" s="7" t="s">
        <v>3247</v>
      </c>
      <c r="B5" t="s">
        <v>3256</v>
      </c>
    </row>
    <row r="6" spans="1:2" x14ac:dyDescent="0.35">
      <c r="A6" s="8" t="s">
        <v>43</v>
      </c>
      <c r="B6" s="21">
        <v>394</v>
      </c>
    </row>
    <row r="7" spans="1:2" x14ac:dyDescent="0.35">
      <c r="A7" s="8" t="s">
        <v>56</v>
      </c>
      <c r="B7" s="21">
        <v>221</v>
      </c>
    </row>
    <row r="8" spans="1:2" x14ac:dyDescent="0.35">
      <c r="A8" s="8" t="s">
        <v>26</v>
      </c>
      <c r="B8" s="21">
        <v>97</v>
      </c>
    </row>
    <row r="9" spans="1:2" x14ac:dyDescent="0.35">
      <c r="A9" s="8" t="s">
        <v>67</v>
      </c>
      <c r="B9" s="21">
        <v>302</v>
      </c>
    </row>
    <row r="10" spans="1:2" x14ac:dyDescent="0.35">
      <c r="A10" s="8" t="s">
        <v>34</v>
      </c>
      <c r="B10" s="21">
        <v>254</v>
      </c>
    </row>
    <row r="11" spans="1:2" x14ac:dyDescent="0.35">
      <c r="A11" s="8" t="s">
        <v>50</v>
      </c>
      <c r="B11" s="21">
        <v>191</v>
      </c>
    </row>
    <row r="12" spans="1:2" x14ac:dyDescent="0.35">
      <c r="A12" s="8" t="s">
        <v>146</v>
      </c>
      <c r="B12" s="21">
        <v>40</v>
      </c>
    </row>
    <row r="13" spans="1:2" x14ac:dyDescent="0.35">
      <c r="A13" s="8" t="s">
        <v>3248</v>
      </c>
      <c r="B13" s="21">
        <v>1499</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4.CreateUberDashboard">
                <anchor moveWithCells="1" sizeWithCells="1">
                  <from>
                    <xdr:col>3</xdr:col>
                    <xdr:colOff>25400</xdr:colOff>
                    <xdr:row>3</xdr:row>
                    <xdr:rowOff>38100</xdr:rowOff>
                  </from>
                  <to>
                    <xdr:col>4</xdr:col>
                    <xdr:colOff>406400</xdr:colOff>
                    <xdr:row>5</xdr:row>
                    <xdr:rowOff>101600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Uber Data Excel Project</vt:lpstr>
      <vt:lpstr>Dashboard Using Function</vt:lpstr>
      <vt:lpstr>Rough Work</vt:lpstr>
      <vt:lpstr>Dashboard Using Pivot</vt:lpstr>
      <vt:lpstr>Data Link</vt:lpstr>
      <vt:lpstr>Macro 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Viram Yadav</dc:creator>
  <cp:lastModifiedBy>Viram Yadav</cp:lastModifiedBy>
  <dcterms:created xsi:type="dcterms:W3CDTF">2025-09-05T15:05:20Z</dcterms:created>
  <dcterms:modified xsi:type="dcterms:W3CDTF">2025-09-21T14:09:43Z</dcterms:modified>
</cp:coreProperties>
</file>